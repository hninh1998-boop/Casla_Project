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ANDV\Downloads\"/>
    </mc:Choice>
  </mc:AlternateContent>
  <xr:revisionPtr revIDLastSave="0" documentId="13_ncr:1_{0F96BFA9-EC36-49BD-8D34-D2DBB4F55DEB}" xr6:coauthVersionLast="47" xr6:coauthVersionMax="47" xr10:uidLastSave="{00000000-0000-0000-0000-000000000000}"/>
  <bookViews>
    <workbookView xWindow="-120" yWindow="-120" windowWidth="29040" windowHeight="15720" xr2:uid="{8FA1E89E-4DF1-42A0-A067-AE5ADE327E28}"/>
  </bookViews>
  <sheets>
    <sheet name="Báo cáo" sheetId="1" r:id="rId1"/>
    <sheet name="Dữ liệu test" sheetId="2" r:id="rId2"/>
  </sheets>
  <externalReferences>
    <externalReference r:id="rId3"/>
    <externalReference r:id="rId4"/>
  </externalReferences>
  <definedNames>
    <definedName name="__bookmark_1">'[1]Báo cáo'!$A$1:$V$32,#REF!,#REF!,#REF!</definedName>
    <definedName name="_xlnm._FilterDatabase" localSheetId="0" hidden="1">'Báo cáo'!$A$12:$Z$1886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M1886" i="1" l="1"/>
  <c r="H1886" i="1"/>
  <c r="M1885" i="1"/>
  <c r="H1885" i="1"/>
  <c r="M1884" i="1"/>
  <c r="H1884" i="1"/>
  <c r="M1883" i="1"/>
  <c r="H1883" i="1"/>
  <c r="M1882" i="1"/>
  <c r="H1882" i="1"/>
  <c r="M1881" i="1"/>
  <c r="H1881" i="1"/>
  <c r="M1880" i="1"/>
  <c r="H1880" i="1"/>
  <c r="M1879" i="1"/>
  <c r="H1879" i="1"/>
  <c r="M1878" i="1"/>
  <c r="H1878" i="1"/>
  <c r="M1877" i="1"/>
  <c r="H1877" i="1"/>
  <c r="M1876" i="1"/>
  <c r="H1876" i="1"/>
  <c r="M1875" i="1"/>
  <c r="H1875" i="1"/>
  <c r="M1874" i="1"/>
  <c r="H1874" i="1"/>
  <c r="M1873" i="1"/>
  <c r="H1873" i="1"/>
  <c r="M1872" i="1"/>
  <c r="H1872" i="1"/>
  <c r="M1871" i="1"/>
  <c r="H1871" i="1"/>
  <c r="M1870" i="1"/>
  <c r="H1870" i="1"/>
  <c r="M1869" i="1"/>
  <c r="H1869" i="1"/>
  <c r="M1868" i="1"/>
  <c r="H1868" i="1"/>
  <c r="M1867" i="1"/>
  <c r="H1867" i="1"/>
  <c r="M1866" i="1"/>
  <c r="H1866" i="1"/>
  <c r="M1865" i="1"/>
  <c r="H1865" i="1"/>
  <c r="M1864" i="1"/>
  <c r="H1864" i="1"/>
  <c r="M1863" i="1"/>
  <c r="H1863" i="1"/>
  <c r="M1862" i="1"/>
  <c r="H1862" i="1"/>
  <c r="M1861" i="1"/>
  <c r="H1861" i="1"/>
  <c r="M1860" i="1"/>
  <c r="H1860" i="1"/>
  <c r="M1859" i="1"/>
  <c r="H1859" i="1"/>
  <c r="M1858" i="1"/>
  <c r="H1858" i="1"/>
  <c r="M1857" i="1"/>
  <c r="H1857" i="1"/>
  <c r="M1856" i="1"/>
  <c r="H1856" i="1"/>
  <c r="M1855" i="1"/>
  <c r="H1855" i="1"/>
  <c r="M1854" i="1"/>
  <c r="H1854" i="1"/>
  <c r="M1853" i="1"/>
  <c r="H1853" i="1"/>
  <c r="M1852" i="1"/>
  <c r="H1852" i="1"/>
  <c r="M1851" i="1"/>
  <c r="H1851" i="1"/>
  <c r="M1850" i="1"/>
  <c r="H1850" i="1"/>
  <c r="M1849" i="1"/>
  <c r="H1849" i="1"/>
  <c r="M1848" i="1"/>
  <c r="H1848" i="1"/>
  <c r="M1847" i="1"/>
  <c r="H1847" i="1"/>
  <c r="M1846" i="1"/>
  <c r="H1846" i="1"/>
  <c r="M1845" i="1"/>
  <c r="H1845" i="1"/>
  <c r="M1844" i="1"/>
  <c r="H1844" i="1"/>
  <c r="M1843" i="1"/>
  <c r="H1843" i="1"/>
  <c r="M1842" i="1"/>
  <c r="H1842" i="1"/>
  <c r="M1841" i="1"/>
  <c r="H1841" i="1"/>
  <c r="M1840" i="1"/>
  <c r="H1840" i="1"/>
  <c r="M1839" i="1"/>
  <c r="H1839" i="1"/>
  <c r="M1838" i="1"/>
  <c r="H1838" i="1"/>
  <c r="M1837" i="1"/>
  <c r="H1837" i="1"/>
  <c r="M1836" i="1"/>
  <c r="H1836" i="1"/>
  <c r="M1835" i="1"/>
  <c r="H1835" i="1"/>
  <c r="M1834" i="1"/>
  <c r="H1834" i="1"/>
  <c r="M1833" i="1"/>
  <c r="H1833" i="1"/>
  <c r="M1832" i="1"/>
  <c r="H1832" i="1"/>
  <c r="M1831" i="1"/>
  <c r="H1831" i="1"/>
  <c r="M1830" i="1"/>
  <c r="H1830" i="1"/>
  <c r="M1829" i="1"/>
  <c r="H1829" i="1"/>
  <c r="M1828" i="1"/>
  <c r="H1828" i="1"/>
  <c r="M1827" i="1"/>
  <c r="H1827" i="1"/>
  <c r="M1826" i="1"/>
  <c r="H1826" i="1"/>
  <c r="M1825" i="1"/>
  <c r="H1825" i="1"/>
  <c r="M1824" i="1"/>
  <c r="H1824" i="1"/>
  <c r="M1823" i="1"/>
  <c r="H1823" i="1"/>
  <c r="M1822" i="1"/>
  <c r="H1822" i="1"/>
  <c r="M1821" i="1"/>
  <c r="H1821" i="1"/>
  <c r="M1820" i="1"/>
  <c r="H1820" i="1"/>
  <c r="M1819" i="1"/>
  <c r="H1819" i="1"/>
  <c r="M1818" i="1"/>
  <c r="H1818" i="1"/>
  <c r="M1817" i="1"/>
  <c r="H1817" i="1"/>
  <c r="M1816" i="1"/>
  <c r="H1816" i="1"/>
  <c r="M1815" i="1"/>
  <c r="H1815" i="1"/>
  <c r="M1814" i="1"/>
  <c r="H1814" i="1"/>
  <c r="M1813" i="1"/>
  <c r="H1813" i="1"/>
  <c r="L1812" i="1"/>
  <c r="M1812" i="1" s="1"/>
  <c r="H1812" i="1"/>
  <c r="H1811" i="1"/>
  <c r="K1811" i="1" s="1"/>
  <c r="M1811" i="1" s="1"/>
  <c r="H1810" i="1"/>
  <c r="K1810" i="1" s="1"/>
  <c r="M1810" i="1" s="1"/>
  <c r="H1809" i="1"/>
  <c r="K1809" i="1" s="1"/>
  <c r="M1809" i="1" s="1"/>
  <c r="H1808" i="1"/>
  <c r="K1808" i="1" s="1"/>
  <c r="M1808" i="1" s="1"/>
  <c r="H1807" i="1"/>
  <c r="K1807" i="1" s="1"/>
  <c r="M1807" i="1" s="1"/>
  <c r="H1806" i="1"/>
  <c r="K1806" i="1" s="1"/>
  <c r="M1806" i="1" s="1"/>
  <c r="H1805" i="1"/>
  <c r="K1805" i="1" s="1"/>
  <c r="M1805" i="1" s="1"/>
  <c r="H1804" i="1"/>
  <c r="K1804" i="1" s="1"/>
  <c r="M1804" i="1" s="1"/>
  <c r="H1803" i="1"/>
  <c r="K1803" i="1" s="1"/>
  <c r="M1803" i="1" s="1"/>
  <c r="H1802" i="1"/>
  <c r="K1802" i="1" s="1"/>
  <c r="M1802" i="1" s="1"/>
  <c r="K1801" i="1"/>
  <c r="M1801" i="1" s="1"/>
  <c r="H1801" i="1"/>
  <c r="K1800" i="1"/>
  <c r="M1800" i="1" s="1"/>
  <c r="H1800" i="1"/>
  <c r="K1799" i="1"/>
  <c r="M1799" i="1" s="1"/>
  <c r="H1799" i="1"/>
  <c r="M1798" i="1"/>
  <c r="H1798" i="1"/>
  <c r="M1797" i="1"/>
  <c r="H1797" i="1"/>
  <c r="M1796" i="1"/>
  <c r="H1796" i="1"/>
  <c r="M1794" i="1"/>
  <c r="H1794" i="1"/>
  <c r="M1793" i="1"/>
  <c r="H1793" i="1"/>
  <c r="M1792" i="1"/>
  <c r="H1792" i="1"/>
  <c r="M1791" i="1"/>
  <c r="H1791" i="1"/>
  <c r="M1790" i="1"/>
  <c r="H1790" i="1"/>
  <c r="M1789" i="1"/>
  <c r="H1789" i="1"/>
  <c r="M1788" i="1"/>
  <c r="H1788" i="1"/>
  <c r="M1787" i="1"/>
  <c r="H1787" i="1"/>
  <c r="M1786" i="1"/>
  <c r="H1786" i="1"/>
  <c r="M1785" i="1"/>
  <c r="H1785" i="1"/>
  <c r="M1784" i="1"/>
  <c r="H1784" i="1"/>
  <c r="M1783" i="1"/>
  <c r="H1783" i="1"/>
  <c r="M1782" i="1"/>
  <c r="H1782" i="1"/>
  <c r="M1781" i="1"/>
  <c r="H1781" i="1"/>
  <c r="M1780" i="1"/>
  <c r="H1780" i="1"/>
  <c r="M1779" i="1"/>
  <c r="H1779" i="1"/>
  <c r="M1778" i="1"/>
  <c r="H1778" i="1"/>
  <c r="M1777" i="1"/>
  <c r="H1777" i="1"/>
  <c r="M1776" i="1"/>
  <c r="H1776" i="1"/>
  <c r="M1775" i="1"/>
  <c r="H1775" i="1"/>
  <c r="H1774" i="1"/>
  <c r="H1773" i="1"/>
  <c r="H1772" i="1"/>
  <c r="H1771" i="1"/>
  <c r="H1770" i="1"/>
  <c r="H1769" i="1"/>
  <c r="H1768" i="1"/>
  <c r="M1767" i="1"/>
  <c r="H1767" i="1"/>
  <c r="M1766" i="1"/>
  <c r="H1766" i="1"/>
  <c r="M1765" i="1"/>
  <c r="H1765" i="1"/>
  <c r="M1764" i="1"/>
  <c r="H1764" i="1"/>
  <c r="M1763" i="1"/>
  <c r="H1763" i="1"/>
  <c r="M1762" i="1"/>
  <c r="H1762" i="1"/>
  <c r="H1761" i="1"/>
  <c r="H1760" i="1"/>
  <c r="H1759" i="1"/>
  <c r="H1758" i="1"/>
  <c r="H1757" i="1"/>
  <c r="H1756" i="1"/>
  <c r="K1756" i="1" s="1"/>
  <c r="M1756" i="1" s="1"/>
  <c r="H1755" i="1"/>
  <c r="K1755" i="1" s="1"/>
  <c r="M1755" i="1" s="1"/>
  <c r="M1754" i="1"/>
  <c r="H1754" i="1"/>
  <c r="M1753" i="1"/>
  <c r="H1753" i="1"/>
  <c r="M1752" i="1"/>
  <c r="H1752" i="1"/>
  <c r="M1751" i="1"/>
  <c r="H1751" i="1"/>
  <c r="H1750" i="1"/>
  <c r="H1749" i="1"/>
  <c r="M1748" i="1"/>
  <c r="H1748" i="1"/>
  <c r="M1747" i="1"/>
  <c r="H1747" i="1"/>
  <c r="M1746" i="1"/>
  <c r="H1746" i="1"/>
  <c r="M1745" i="1"/>
  <c r="H1745" i="1"/>
  <c r="M1744" i="1"/>
  <c r="H1744" i="1"/>
  <c r="M1743" i="1"/>
  <c r="H1743" i="1"/>
  <c r="M1742" i="1"/>
  <c r="H1742" i="1"/>
  <c r="M1741" i="1"/>
  <c r="H1741" i="1"/>
  <c r="M1740" i="1"/>
  <c r="H1740" i="1"/>
  <c r="M1739" i="1"/>
  <c r="H1739" i="1"/>
  <c r="M1738" i="1"/>
  <c r="H1738" i="1"/>
  <c r="M1737" i="1"/>
  <c r="H1737" i="1"/>
  <c r="M1736" i="1"/>
  <c r="H1736" i="1"/>
  <c r="M1735" i="1"/>
  <c r="H1735" i="1"/>
  <c r="M1734" i="1"/>
  <c r="H1734" i="1"/>
  <c r="M1733" i="1"/>
  <c r="H1733" i="1"/>
  <c r="M1732" i="1"/>
  <c r="H1732" i="1"/>
  <c r="M1731" i="1"/>
  <c r="H1731" i="1"/>
  <c r="M1730" i="1"/>
  <c r="H1730" i="1"/>
  <c r="M1729" i="1"/>
  <c r="H1729" i="1"/>
  <c r="M1728" i="1"/>
  <c r="H1728" i="1"/>
  <c r="M1727" i="1"/>
  <c r="H1727" i="1"/>
  <c r="M1726" i="1"/>
  <c r="H1726" i="1"/>
  <c r="M1725" i="1"/>
  <c r="H1725" i="1"/>
  <c r="M1724" i="1"/>
  <c r="H1724" i="1"/>
  <c r="M1723" i="1"/>
  <c r="H1723" i="1"/>
  <c r="M1722" i="1"/>
  <c r="H1722" i="1"/>
  <c r="M1721" i="1"/>
  <c r="H1721" i="1"/>
  <c r="M1720" i="1"/>
  <c r="H1720" i="1"/>
  <c r="M1719" i="1"/>
  <c r="H1719" i="1"/>
  <c r="M1718" i="1"/>
  <c r="H1718" i="1"/>
  <c r="M1717" i="1"/>
  <c r="H1717" i="1"/>
  <c r="M1716" i="1"/>
  <c r="H1716" i="1"/>
  <c r="M1715" i="1"/>
  <c r="H1715" i="1"/>
  <c r="M1714" i="1"/>
  <c r="H1714" i="1"/>
  <c r="M1713" i="1"/>
  <c r="H1713" i="1"/>
  <c r="M1712" i="1"/>
  <c r="H1712" i="1"/>
  <c r="M1711" i="1"/>
  <c r="H1711" i="1"/>
  <c r="M1710" i="1"/>
  <c r="H1710" i="1"/>
  <c r="M1709" i="1"/>
  <c r="H1709" i="1"/>
  <c r="M1708" i="1"/>
  <c r="H1708" i="1"/>
  <c r="M1707" i="1"/>
  <c r="H1707" i="1"/>
  <c r="M1706" i="1"/>
  <c r="H1706" i="1"/>
  <c r="M1705" i="1"/>
  <c r="H1705" i="1"/>
  <c r="M1704" i="1"/>
  <c r="H1704" i="1"/>
  <c r="M1703" i="1"/>
  <c r="H1703" i="1"/>
  <c r="M1702" i="1"/>
  <c r="H1702" i="1"/>
  <c r="M1701" i="1"/>
  <c r="H1701" i="1"/>
  <c r="M1700" i="1"/>
  <c r="H1700" i="1"/>
  <c r="M1699" i="1"/>
  <c r="H1699" i="1"/>
  <c r="M1698" i="1"/>
  <c r="H1698" i="1"/>
  <c r="M1697" i="1"/>
  <c r="H1697" i="1"/>
  <c r="M1696" i="1"/>
  <c r="H1696" i="1"/>
  <c r="M1695" i="1"/>
  <c r="H1695" i="1"/>
  <c r="M1694" i="1"/>
  <c r="H1694" i="1"/>
  <c r="M1693" i="1"/>
  <c r="H1693" i="1"/>
  <c r="M1692" i="1"/>
  <c r="H1692" i="1"/>
  <c r="M1691" i="1"/>
  <c r="H1691" i="1"/>
  <c r="M1690" i="1"/>
  <c r="H1690" i="1"/>
  <c r="M1689" i="1"/>
  <c r="H1689" i="1"/>
  <c r="M1688" i="1"/>
  <c r="H1688" i="1"/>
  <c r="M1687" i="1"/>
  <c r="H1687" i="1"/>
  <c r="M1686" i="1"/>
  <c r="H1686" i="1"/>
  <c r="M1685" i="1"/>
  <c r="H1685" i="1"/>
  <c r="M1684" i="1"/>
  <c r="H1684" i="1"/>
  <c r="M1683" i="1"/>
  <c r="H1683" i="1"/>
  <c r="M1682" i="1"/>
  <c r="H1682" i="1"/>
  <c r="M1681" i="1"/>
  <c r="H1681" i="1"/>
  <c r="M1680" i="1"/>
  <c r="H1680" i="1"/>
  <c r="M1679" i="1"/>
  <c r="H1679" i="1"/>
  <c r="M1678" i="1"/>
  <c r="H1678" i="1"/>
  <c r="M1677" i="1"/>
  <c r="H1677" i="1"/>
  <c r="M1676" i="1"/>
  <c r="H1676" i="1"/>
  <c r="M1675" i="1"/>
  <c r="H1675" i="1"/>
  <c r="M1674" i="1"/>
  <c r="H1674" i="1"/>
  <c r="M1673" i="1"/>
  <c r="H1673" i="1"/>
  <c r="M1672" i="1"/>
  <c r="H1672" i="1"/>
  <c r="M1671" i="1"/>
  <c r="H1671" i="1"/>
  <c r="M1670" i="1"/>
  <c r="H1670" i="1"/>
  <c r="M1669" i="1"/>
  <c r="H1669" i="1"/>
  <c r="M1668" i="1"/>
  <c r="H1668" i="1"/>
  <c r="M1667" i="1"/>
  <c r="H1667" i="1"/>
  <c r="M1666" i="1"/>
  <c r="H1666" i="1"/>
  <c r="M1665" i="1"/>
  <c r="H1665" i="1"/>
  <c r="M1664" i="1"/>
  <c r="H1664" i="1"/>
  <c r="M1663" i="1"/>
  <c r="H1663" i="1"/>
  <c r="M1662" i="1"/>
  <c r="H1662" i="1"/>
  <c r="M1661" i="1"/>
  <c r="H1661" i="1"/>
  <c r="M1660" i="1"/>
  <c r="H1660" i="1"/>
  <c r="M1659" i="1"/>
  <c r="H1659" i="1"/>
  <c r="M1658" i="1"/>
  <c r="H1658" i="1"/>
  <c r="M1657" i="1"/>
  <c r="H1657" i="1"/>
  <c r="M1656" i="1"/>
  <c r="H1656" i="1"/>
  <c r="M1655" i="1"/>
  <c r="H1655" i="1"/>
  <c r="M1654" i="1"/>
  <c r="H1654" i="1"/>
  <c r="M1653" i="1"/>
  <c r="H1653" i="1"/>
  <c r="M1652" i="1"/>
  <c r="H1652" i="1"/>
  <c r="M1651" i="1"/>
  <c r="H1651" i="1"/>
  <c r="M1650" i="1"/>
  <c r="H1650" i="1"/>
  <c r="M1649" i="1"/>
  <c r="H1649" i="1"/>
  <c r="M1648" i="1"/>
  <c r="H1648" i="1"/>
  <c r="M1647" i="1"/>
  <c r="H1647" i="1"/>
  <c r="M1646" i="1"/>
  <c r="H1646" i="1"/>
  <c r="M1645" i="1"/>
  <c r="H1645" i="1"/>
  <c r="M1644" i="1"/>
  <c r="H1644" i="1"/>
  <c r="M1643" i="1"/>
  <c r="H1643" i="1"/>
  <c r="M1642" i="1"/>
  <c r="H1642" i="1"/>
  <c r="M1641" i="1"/>
  <c r="H1641" i="1"/>
  <c r="M1640" i="1"/>
  <c r="H1640" i="1"/>
  <c r="M1639" i="1"/>
  <c r="H1639" i="1"/>
  <c r="H1638" i="1"/>
  <c r="K1638" i="1" s="1"/>
  <c r="M1638" i="1" s="1"/>
  <c r="K1637" i="1"/>
  <c r="M1637" i="1" s="1"/>
  <c r="H1637" i="1"/>
  <c r="H1636" i="1"/>
  <c r="K1636" i="1" s="1"/>
  <c r="M1636" i="1" s="1"/>
  <c r="H1635" i="1"/>
  <c r="K1635" i="1" s="1"/>
  <c r="M1635" i="1" s="1"/>
  <c r="K1634" i="1"/>
  <c r="M1634" i="1" s="1"/>
  <c r="H1634" i="1"/>
  <c r="H1633" i="1"/>
  <c r="K1633" i="1" s="1"/>
  <c r="M1633" i="1" s="1"/>
  <c r="M1632" i="1"/>
  <c r="H1632" i="1"/>
  <c r="M1631" i="1"/>
  <c r="H1631" i="1"/>
  <c r="M1630" i="1"/>
  <c r="H1630" i="1"/>
  <c r="M1629" i="1"/>
  <c r="H1629" i="1"/>
  <c r="M1628" i="1"/>
  <c r="H1628" i="1"/>
  <c r="M1627" i="1"/>
  <c r="H1627" i="1"/>
  <c r="M1626" i="1"/>
  <c r="H1626" i="1"/>
  <c r="M1625" i="1"/>
  <c r="H1625" i="1"/>
  <c r="M1624" i="1"/>
  <c r="H1624" i="1"/>
  <c r="M1623" i="1"/>
  <c r="H1623" i="1"/>
  <c r="M1622" i="1"/>
  <c r="H1622" i="1"/>
  <c r="M1621" i="1"/>
  <c r="H1621" i="1"/>
  <c r="M1620" i="1"/>
  <c r="H1620" i="1"/>
  <c r="M1619" i="1"/>
  <c r="H1619" i="1"/>
  <c r="M1618" i="1"/>
  <c r="H1618" i="1"/>
  <c r="M1617" i="1"/>
  <c r="H1617" i="1"/>
  <c r="M1616" i="1"/>
  <c r="H1616" i="1"/>
  <c r="M1615" i="1"/>
  <c r="H1615" i="1"/>
  <c r="M1614" i="1"/>
  <c r="H1614" i="1"/>
  <c r="M1613" i="1"/>
  <c r="H1613" i="1"/>
  <c r="M1612" i="1"/>
  <c r="H1612" i="1"/>
  <c r="M1611" i="1"/>
  <c r="H1611" i="1"/>
  <c r="M1610" i="1"/>
  <c r="H1610" i="1"/>
  <c r="M1609" i="1"/>
  <c r="H1609" i="1"/>
  <c r="M1608" i="1"/>
  <c r="H1608" i="1"/>
  <c r="M1607" i="1"/>
  <c r="H1607" i="1"/>
  <c r="M1606" i="1"/>
  <c r="H1606" i="1"/>
  <c r="M1605" i="1"/>
  <c r="H1605" i="1"/>
  <c r="M1604" i="1"/>
  <c r="H1604" i="1"/>
  <c r="M1603" i="1"/>
  <c r="H1603" i="1"/>
  <c r="M1602" i="1"/>
  <c r="H1602" i="1"/>
  <c r="M1601" i="1"/>
  <c r="H1601" i="1"/>
  <c r="M1600" i="1"/>
  <c r="H1600" i="1"/>
  <c r="M1599" i="1"/>
  <c r="H1599" i="1"/>
  <c r="M1598" i="1"/>
  <c r="H1598" i="1"/>
  <c r="M1597" i="1"/>
  <c r="H1597" i="1"/>
  <c r="M1596" i="1"/>
  <c r="H1596" i="1"/>
  <c r="M1595" i="1"/>
  <c r="H1595" i="1"/>
  <c r="M1594" i="1"/>
  <c r="H1594" i="1"/>
  <c r="M1593" i="1"/>
  <c r="H1593" i="1"/>
  <c r="M1592" i="1"/>
  <c r="H1592" i="1"/>
  <c r="M1591" i="1"/>
  <c r="H1591" i="1"/>
  <c r="M1590" i="1"/>
  <c r="H1590" i="1"/>
  <c r="M1589" i="1"/>
  <c r="H1589" i="1"/>
  <c r="M1588" i="1"/>
  <c r="H1588" i="1"/>
  <c r="M1587" i="1"/>
  <c r="H1587" i="1"/>
  <c r="M1586" i="1"/>
  <c r="H1586" i="1"/>
  <c r="M1585" i="1"/>
  <c r="H1585" i="1"/>
  <c r="M1584" i="1"/>
  <c r="H1584" i="1"/>
  <c r="M1583" i="1"/>
  <c r="H1583" i="1"/>
  <c r="M1582" i="1"/>
  <c r="H1582" i="1"/>
  <c r="M1581" i="1"/>
  <c r="H1581" i="1"/>
  <c r="M1580" i="1"/>
  <c r="H1580" i="1"/>
  <c r="M1579" i="1"/>
  <c r="H1579" i="1"/>
  <c r="M1578" i="1"/>
  <c r="H1578" i="1"/>
  <c r="M1577" i="1"/>
  <c r="H1577" i="1"/>
  <c r="M1576" i="1"/>
  <c r="H1576" i="1"/>
  <c r="M1575" i="1"/>
  <c r="H1575" i="1"/>
  <c r="M1574" i="1"/>
  <c r="H1574" i="1"/>
  <c r="M1573" i="1"/>
  <c r="H1573" i="1"/>
  <c r="M1572" i="1"/>
  <c r="H1572" i="1"/>
  <c r="M1571" i="1"/>
  <c r="H1571" i="1"/>
  <c r="M1570" i="1"/>
  <c r="H1570" i="1"/>
  <c r="M1569" i="1"/>
  <c r="H1569" i="1"/>
  <c r="M1568" i="1"/>
  <c r="H1568" i="1"/>
  <c r="M1567" i="1"/>
  <c r="H1567" i="1"/>
  <c r="M1566" i="1"/>
  <c r="H1566" i="1"/>
  <c r="M1565" i="1"/>
  <c r="H1565" i="1"/>
  <c r="M1564" i="1"/>
  <c r="H1564" i="1"/>
  <c r="M1563" i="1"/>
  <c r="H1563" i="1"/>
  <c r="M1562" i="1"/>
  <c r="H1562" i="1"/>
  <c r="M1561" i="1"/>
  <c r="H1561" i="1"/>
  <c r="M1560" i="1"/>
  <c r="H1560" i="1"/>
  <c r="M1559" i="1"/>
  <c r="H1559" i="1"/>
  <c r="M1558" i="1"/>
  <c r="H1558" i="1"/>
  <c r="M1557" i="1"/>
  <c r="H1557" i="1"/>
  <c r="M1556" i="1"/>
  <c r="H1556" i="1"/>
  <c r="M1555" i="1"/>
  <c r="H1555" i="1"/>
  <c r="M1554" i="1"/>
  <c r="H1554" i="1"/>
  <c r="M1553" i="1"/>
  <c r="H1553" i="1"/>
  <c r="M1552" i="1"/>
  <c r="H1552" i="1"/>
  <c r="M1551" i="1"/>
  <c r="H1551" i="1"/>
  <c r="M1550" i="1"/>
  <c r="H1550" i="1"/>
  <c r="M1549" i="1"/>
  <c r="H1549" i="1"/>
  <c r="M1548" i="1"/>
  <c r="H1548" i="1"/>
  <c r="M1547" i="1"/>
  <c r="H1547" i="1"/>
  <c r="M1546" i="1"/>
  <c r="H1546" i="1"/>
  <c r="M1545" i="1"/>
  <c r="H1545" i="1"/>
  <c r="M1544" i="1"/>
  <c r="H1544" i="1"/>
  <c r="M1543" i="1"/>
  <c r="H1543" i="1"/>
  <c r="M1542" i="1"/>
  <c r="H1542" i="1"/>
  <c r="H1541" i="1"/>
  <c r="K1541" i="1" s="1"/>
  <c r="M1541" i="1" s="1"/>
  <c r="H1540" i="1"/>
  <c r="K1540" i="1" s="1"/>
  <c r="M1540" i="1" s="1"/>
  <c r="H1539" i="1"/>
  <c r="K1539" i="1" s="1"/>
  <c r="M1539" i="1" s="1"/>
  <c r="H1538" i="1"/>
  <c r="K1538" i="1" s="1"/>
  <c r="M1538" i="1" s="1"/>
  <c r="H1537" i="1"/>
  <c r="K1537" i="1" s="1"/>
  <c r="M1537" i="1" s="1"/>
  <c r="H1536" i="1"/>
  <c r="K1536" i="1" s="1"/>
  <c r="M1536" i="1" s="1"/>
  <c r="H1535" i="1"/>
  <c r="K1535" i="1" s="1"/>
  <c r="M1535" i="1" s="1"/>
  <c r="H1534" i="1"/>
  <c r="K1534" i="1" s="1"/>
  <c r="M1534" i="1" s="1"/>
  <c r="M1533" i="1"/>
  <c r="H1533" i="1"/>
  <c r="M1532" i="1"/>
  <c r="H1532" i="1"/>
  <c r="M1531" i="1"/>
  <c r="H1531" i="1"/>
  <c r="M1530" i="1"/>
  <c r="H1530" i="1"/>
  <c r="M1529" i="1"/>
  <c r="H1529" i="1"/>
  <c r="M1528" i="1"/>
  <c r="H1528" i="1"/>
  <c r="M1527" i="1"/>
  <c r="H1527" i="1"/>
  <c r="M1526" i="1"/>
  <c r="H1526" i="1"/>
  <c r="M1525" i="1"/>
  <c r="H1525" i="1"/>
  <c r="M1524" i="1"/>
  <c r="H1524" i="1"/>
  <c r="M1523" i="1"/>
  <c r="H1523" i="1"/>
  <c r="M1522" i="1"/>
  <c r="H1522" i="1"/>
  <c r="H1521" i="1"/>
  <c r="K1521" i="1" s="1"/>
  <c r="M1521" i="1" s="1"/>
  <c r="H1520" i="1"/>
  <c r="K1520" i="1" s="1"/>
  <c r="M1520" i="1" s="1"/>
  <c r="H1519" i="1"/>
  <c r="K1519" i="1" s="1"/>
  <c r="M1519" i="1" s="1"/>
  <c r="H1518" i="1"/>
  <c r="K1518" i="1" s="1"/>
  <c r="M1518" i="1" s="1"/>
  <c r="H1517" i="1"/>
  <c r="K1517" i="1" s="1"/>
  <c r="M1517" i="1" s="1"/>
  <c r="K1516" i="1"/>
  <c r="M1516" i="1" s="1"/>
  <c r="H1516" i="1"/>
  <c r="M1515" i="1"/>
  <c r="H1515" i="1"/>
  <c r="M1514" i="1"/>
  <c r="H1514" i="1"/>
  <c r="M1513" i="1"/>
  <c r="H1513" i="1"/>
  <c r="H1512" i="1"/>
  <c r="K1512" i="1" s="1"/>
  <c r="M1512" i="1" s="1"/>
  <c r="K1511" i="1"/>
  <c r="M1511" i="1" s="1"/>
  <c r="H1511" i="1"/>
  <c r="M1510" i="1"/>
  <c r="H1510" i="1"/>
  <c r="M1509" i="1"/>
  <c r="H1509" i="1"/>
  <c r="M1508" i="1"/>
  <c r="H1508" i="1"/>
  <c r="M1507" i="1"/>
  <c r="H1507" i="1"/>
  <c r="M1506" i="1"/>
  <c r="H1506" i="1"/>
  <c r="M1505" i="1"/>
  <c r="H1505" i="1"/>
  <c r="M1504" i="1"/>
  <c r="H1504" i="1"/>
  <c r="M1503" i="1"/>
  <c r="H1503" i="1"/>
  <c r="M1502" i="1"/>
  <c r="H1502" i="1"/>
  <c r="M1501" i="1"/>
  <c r="H1501" i="1"/>
  <c r="H1500" i="1"/>
  <c r="K1500" i="1" s="1"/>
  <c r="M1500" i="1" s="1"/>
  <c r="H1499" i="1"/>
  <c r="K1499" i="1" s="1"/>
  <c r="M1499" i="1" s="1"/>
  <c r="M1498" i="1"/>
  <c r="H1498" i="1"/>
  <c r="H1497" i="1"/>
  <c r="K1497" i="1" s="1"/>
  <c r="M1497" i="1" s="1"/>
  <c r="H1496" i="1"/>
  <c r="K1496" i="1" s="1"/>
  <c r="M1496" i="1" s="1"/>
  <c r="H1495" i="1"/>
  <c r="K1495" i="1" s="1"/>
  <c r="M1495" i="1" s="1"/>
  <c r="H1494" i="1"/>
  <c r="K1494" i="1" s="1"/>
  <c r="M1494" i="1" s="1"/>
  <c r="K1493" i="1"/>
  <c r="M1493" i="1" s="1"/>
  <c r="H1493" i="1"/>
  <c r="K1492" i="1"/>
  <c r="M1492" i="1" s="1"/>
  <c r="H1492" i="1"/>
  <c r="H1491" i="1"/>
  <c r="K1491" i="1" s="1"/>
  <c r="M1491" i="1" s="1"/>
  <c r="H1490" i="1"/>
  <c r="K1490" i="1" s="1"/>
  <c r="M1490" i="1" s="1"/>
  <c r="H1489" i="1"/>
  <c r="K1489" i="1" s="1"/>
  <c r="M1489" i="1" s="1"/>
  <c r="K1488" i="1"/>
  <c r="M1488" i="1" s="1"/>
  <c r="H1488" i="1"/>
  <c r="K1487" i="1"/>
  <c r="M1487" i="1" s="1"/>
  <c r="H1487" i="1"/>
  <c r="L1486" i="1"/>
  <c r="M1486" i="1" s="1"/>
  <c r="H1486" i="1"/>
  <c r="L1485" i="1"/>
  <c r="M1485" i="1" s="1"/>
  <c r="H1485" i="1"/>
  <c r="H1484" i="1"/>
  <c r="K1484" i="1" s="1"/>
  <c r="M1484" i="1" s="1"/>
  <c r="H1483" i="1"/>
  <c r="K1483" i="1" s="1"/>
  <c r="M1483" i="1" s="1"/>
  <c r="H1482" i="1"/>
  <c r="K1482" i="1" s="1"/>
  <c r="M1482" i="1" s="1"/>
  <c r="M1481" i="1"/>
  <c r="H1481" i="1"/>
  <c r="M1480" i="1"/>
  <c r="H1480" i="1"/>
  <c r="M1479" i="1"/>
  <c r="H1479" i="1"/>
  <c r="M1478" i="1"/>
  <c r="H1478" i="1"/>
  <c r="H1477" i="1"/>
  <c r="K1477" i="1" s="1"/>
  <c r="M1477" i="1" s="1"/>
  <c r="H1476" i="1"/>
  <c r="K1476" i="1" s="1"/>
  <c r="M1476" i="1" s="1"/>
  <c r="H1475" i="1"/>
  <c r="K1475" i="1" s="1"/>
  <c r="M1475" i="1" s="1"/>
  <c r="H1474" i="1"/>
  <c r="K1474" i="1" s="1"/>
  <c r="M1474" i="1" s="1"/>
  <c r="H1473" i="1"/>
  <c r="K1473" i="1" s="1"/>
  <c r="M1473" i="1" s="1"/>
  <c r="H1472" i="1"/>
  <c r="K1472" i="1" s="1"/>
  <c r="M1472" i="1" s="1"/>
  <c r="H1471" i="1"/>
  <c r="K1471" i="1" s="1"/>
  <c r="M1471" i="1" s="1"/>
  <c r="H1470" i="1"/>
  <c r="K1470" i="1" s="1"/>
  <c r="M1470" i="1" s="1"/>
  <c r="H1469" i="1"/>
  <c r="K1469" i="1" s="1"/>
  <c r="M1469" i="1" s="1"/>
  <c r="H1468" i="1"/>
  <c r="K1468" i="1" s="1"/>
  <c r="M1468" i="1" s="1"/>
  <c r="H1467" i="1"/>
  <c r="K1467" i="1" s="1"/>
  <c r="M1467" i="1" s="1"/>
  <c r="H1466" i="1"/>
  <c r="K1466" i="1" s="1"/>
  <c r="M1466" i="1" s="1"/>
  <c r="H1465" i="1"/>
  <c r="K1465" i="1" s="1"/>
  <c r="M1465" i="1" s="1"/>
  <c r="H1464" i="1"/>
  <c r="K1464" i="1" s="1"/>
  <c r="M1464" i="1" s="1"/>
  <c r="H1463" i="1"/>
  <c r="K1463" i="1" s="1"/>
  <c r="M1463" i="1" s="1"/>
  <c r="H1462" i="1"/>
  <c r="K1462" i="1" s="1"/>
  <c r="M1462" i="1" s="1"/>
  <c r="H1461" i="1"/>
  <c r="K1461" i="1" s="1"/>
  <c r="M1461" i="1" s="1"/>
  <c r="H1460" i="1"/>
  <c r="K1460" i="1" s="1"/>
  <c r="M1460" i="1" s="1"/>
  <c r="H1459" i="1"/>
  <c r="K1459" i="1" s="1"/>
  <c r="M1459" i="1" s="1"/>
  <c r="K1458" i="1"/>
  <c r="M1458" i="1" s="1"/>
  <c r="H1458" i="1"/>
  <c r="H1457" i="1"/>
  <c r="K1457" i="1" s="1"/>
  <c r="M1457" i="1" s="1"/>
  <c r="M1456" i="1"/>
  <c r="H1456" i="1"/>
  <c r="M1455" i="1"/>
  <c r="H1455" i="1"/>
  <c r="H1454" i="1"/>
  <c r="K1454" i="1" s="1"/>
  <c r="M1454" i="1" s="1"/>
  <c r="H1453" i="1"/>
  <c r="K1453" i="1" s="1"/>
  <c r="M1453" i="1" s="1"/>
  <c r="H1452" i="1"/>
  <c r="K1452" i="1" s="1"/>
  <c r="M1452" i="1" s="1"/>
  <c r="H1451" i="1"/>
  <c r="K1451" i="1" s="1"/>
  <c r="M1451" i="1" s="1"/>
  <c r="H1450" i="1"/>
  <c r="K1450" i="1" s="1"/>
  <c r="M1450" i="1" s="1"/>
  <c r="H1449" i="1"/>
  <c r="K1449" i="1" s="1"/>
  <c r="M1449" i="1" s="1"/>
  <c r="H1448" i="1"/>
  <c r="K1448" i="1" s="1"/>
  <c r="M1448" i="1" s="1"/>
  <c r="H1447" i="1"/>
  <c r="K1447" i="1" s="1"/>
  <c r="M1447" i="1" s="1"/>
  <c r="H1446" i="1"/>
  <c r="K1446" i="1" s="1"/>
  <c r="M1446" i="1" s="1"/>
  <c r="H1445" i="1"/>
  <c r="K1445" i="1" s="1"/>
  <c r="M1445" i="1" s="1"/>
  <c r="H1444" i="1"/>
  <c r="K1444" i="1" s="1"/>
  <c r="M1444" i="1" s="1"/>
  <c r="H1443" i="1"/>
  <c r="K1443" i="1" s="1"/>
  <c r="M1443" i="1" s="1"/>
  <c r="H1442" i="1"/>
  <c r="K1442" i="1" s="1"/>
  <c r="M1442" i="1" s="1"/>
  <c r="H1441" i="1"/>
  <c r="K1441" i="1" s="1"/>
  <c r="M1441" i="1" s="1"/>
  <c r="H1440" i="1"/>
  <c r="K1440" i="1" s="1"/>
  <c r="M1440" i="1" s="1"/>
  <c r="H1439" i="1"/>
  <c r="K1439" i="1" s="1"/>
  <c r="M1439" i="1" s="1"/>
  <c r="M1438" i="1"/>
  <c r="H1438" i="1"/>
  <c r="H1437" i="1"/>
  <c r="K1437" i="1" s="1"/>
  <c r="M1437" i="1" s="1"/>
  <c r="M1436" i="1"/>
  <c r="H1436" i="1"/>
  <c r="H1435" i="1"/>
  <c r="K1435" i="1" s="1"/>
  <c r="M1435" i="1" s="1"/>
  <c r="M1434" i="1"/>
  <c r="H1434" i="1"/>
  <c r="H1433" i="1"/>
  <c r="K1433" i="1" s="1"/>
  <c r="M1433" i="1" s="1"/>
  <c r="K1432" i="1"/>
  <c r="M1432" i="1" s="1"/>
  <c r="H1432" i="1"/>
  <c r="H1431" i="1"/>
  <c r="K1431" i="1" s="1"/>
  <c r="M1431" i="1" s="1"/>
  <c r="K1430" i="1"/>
  <c r="M1430" i="1" s="1"/>
  <c r="H1430" i="1"/>
  <c r="L1429" i="1"/>
  <c r="M1429" i="1" s="1"/>
  <c r="H1429" i="1"/>
  <c r="Z1428" i="1"/>
  <c r="H1428" i="1"/>
  <c r="K1428" i="1" s="1"/>
  <c r="M1428" i="1" s="1"/>
  <c r="Z1427" i="1"/>
  <c r="H1427" i="1"/>
  <c r="K1427" i="1" s="1"/>
  <c r="M1427" i="1" s="1"/>
  <c r="Z1426" i="1"/>
  <c r="H1426" i="1"/>
  <c r="K1426" i="1" s="1"/>
  <c r="M1426" i="1" s="1"/>
  <c r="Z1425" i="1"/>
  <c r="H1425" i="1"/>
  <c r="K1425" i="1" s="1"/>
  <c r="M1425" i="1" s="1"/>
  <c r="Z1424" i="1"/>
  <c r="H1424" i="1"/>
  <c r="K1424" i="1" s="1"/>
  <c r="M1424" i="1" s="1"/>
  <c r="Z1423" i="1"/>
  <c r="H1423" i="1"/>
  <c r="K1423" i="1" s="1"/>
  <c r="M1423" i="1" s="1"/>
  <c r="Z1422" i="1"/>
  <c r="H1422" i="1"/>
  <c r="K1422" i="1" s="1"/>
  <c r="M1422" i="1" s="1"/>
  <c r="Z1421" i="1"/>
  <c r="H1421" i="1"/>
  <c r="K1421" i="1" s="1"/>
  <c r="M1421" i="1" s="1"/>
  <c r="Z1420" i="1"/>
  <c r="H1420" i="1"/>
  <c r="K1420" i="1" s="1"/>
  <c r="M1420" i="1" s="1"/>
  <c r="Z1419" i="1"/>
  <c r="H1419" i="1"/>
  <c r="K1419" i="1" s="1"/>
  <c r="M1419" i="1" s="1"/>
  <c r="Z1418" i="1"/>
  <c r="H1418" i="1"/>
  <c r="K1418" i="1" s="1"/>
  <c r="M1418" i="1" s="1"/>
  <c r="Z1417" i="1"/>
  <c r="H1417" i="1"/>
  <c r="K1417" i="1" s="1"/>
  <c r="M1417" i="1" s="1"/>
  <c r="Z1416" i="1"/>
  <c r="H1416" i="1"/>
  <c r="K1416" i="1" s="1"/>
  <c r="M1416" i="1" s="1"/>
  <c r="Z1415" i="1"/>
  <c r="H1415" i="1"/>
  <c r="K1415" i="1" s="1"/>
  <c r="M1415" i="1" s="1"/>
  <c r="Z1414" i="1"/>
  <c r="H1414" i="1"/>
  <c r="K1414" i="1" s="1"/>
  <c r="M1414" i="1" s="1"/>
  <c r="Z1413" i="1"/>
  <c r="H1413" i="1"/>
  <c r="K1413" i="1" s="1"/>
  <c r="M1413" i="1" s="1"/>
  <c r="Z1412" i="1"/>
  <c r="K1412" i="1"/>
  <c r="M1412" i="1" s="1"/>
  <c r="H1412" i="1"/>
  <c r="Z1411" i="1"/>
  <c r="H1411" i="1"/>
  <c r="K1411" i="1" s="1"/>
  <c r="M1411" i="1" s="1"/>
  <c r="Z1410" i="1"/>
  <c r="H1410" i="1"/>
  <c r="K1410" i="1" s="1"/>
  <c r="M1410" i="1" s="1"/>
  <c r="Z1409" i="1"/>
  <c r="H1409" i="1"/>
  <c r="K1409" i="1" s="1"/>
  <c r="M1409" i="1" s="1"/>
  <c r="Z1408" i="1"/>
  <c r="H1408" i="1"/>
  <c r="K1408" i="1" s="1"/>
  <c r="M1408" i="1" s="1"/>
  <c r="Z1407" i="1"/>
  <c r="H1407" i="1"/>
  <c r="K1407" i="1" s="1"/>
  <c r="M1407" i="1" s="1"/>
  <c r="Z1406" i="1"/>
  <c r="K1406" i="1"/>
  <c r="M1406" i="1" s="1"/>
  <c r="H1406" i="1"/>
  <c r="Z1405" i="1"/>
  <c r="K1405" i="1"/>
  <c r="M1405" i="1" s="1"/>
  <c r="H1405" i="1"/>
  <c r="Z1404" i="1"/>
  <c r="H1404" i="1"/>
  <c r="K1404" i="1" s="1"/>
  <c r="M1404" i="1" s="1"/>
  <c r="Z1403" i="1"/>
  <c r="H1403" i="1"/>
  <c r="K1403" i="1" s="1"/>
  <c r="M1403" i="1" s="1"/>
  <c r="Z1402" i="1"/>
  <c r="H1402" i="1"/>
  <c r="K1402" i="1" s="1"/>
  <c r="M1402" i="1" s="1"/>
  <c r="Z1401" i="1"/>
  <c r="H1401" i="1"/>
  <c r="K1401" i="1" s="1"/>
  <c r="M1401" i="1" s="1"/>
  <c r="Z1400" i="1"/>
  <c r="K1400" i="1"/>
  <c r="M1400" i="1" s="1"/>
  <c r="H1400" i="1"/>
  <c r="Z1399" i="1"/>
  <c r="H1399" i="1"/>
  <c r="K1399" i="1" s="1"/>
  <c r="M1399" i="1" s="1"/>
  <c r="Z1398" i="1"/>
  <c r="H1398" i="1"/>
  <c r="K1398" i="1" s="1"/>
  <c r="M1398" i="1" s="1"/>
  <c r="Z1397" i="1"/>
  <c r="K1397" i="1"/>
  <c r="M1397" i="1" s="1"/>
  <c r="H1397" i="1"/>
  <c r="Z1396" i="1"/>
  <c r="H1396" i="1"/>
  <c r="K1396" i="1" s="1"/>
  <c r="M1396" i="1" s="1"/>
  <c r="Z1395" i="1"/>
  <c r="H1395" i="1"/>
  <c r="K1395" i="1" s="1"/>
  <c r="M1395" i="1" s="1"/>
  <c r="Z1394" i="1"/>
  <c r="H1394" i="1"/>
  <c r="K1394" i="1" s="1"/>
  <c r="M1394" i="1" s="1"/>
  <c r="Z1393" i="1"/>
  <c r="H1393" i="1"/>
  <c r="K1393" i="1" s="1"/>
  <c r="M1393" i="1" s="1"/>
  <c r="Z1392" i="1"/>
  <c r="K1392" i="1"/>
  <c r="M1392" i="1" s="1"/>
  <c r="H1392" i="1"/>
  <c r="Z1391" i="1"/>
  <c r="H1391" i="1"/>
  <c r="K1391" i="1" s="1"/>
  <c r="M1391" i="1" s="1"/>
  <c r="Z1390" i="1"/>
  <c r="H1390" i="1"/>
  <c r="K1390" i="1" s="1"/>
  <c r="M1390" i="1" s="1"/>
  <c r="Z1389" i="1"/>
  <c r="H1389" i="1"/>
  <c r="K1389" i="1" s="1"/>
  <c r="M1389" i="1" s="1"/>
  <c r="Z1388" i="1"/>
  <c r="H1388" i="1"/>
  <c r="K1388" i="1" s="1"/>
  <c r="M1388" i="1" s="1"/>
  <c r="Z1387" i="1"/>
  <c r="H1387" i="1"/>
  <c r="K1387" i="1" s="1"/>
  <c r="M1387" i="1" s="1"/>
  <c r="Z1386" i="1"/>
  <c r="H1386" i="1"/>
  <c r="K1386" i="1" s="1"/>
  <c r="M1386" i="1" s="1"/>
  <c r="Z1385" i="1"/>
  <c r="H1385" i="1"/>
  <c r="K1385" i="1" s="1"/>
  <c r="M1385" i="1" s="1"/>
  <c r="Z1384" i="1"/>
  <c r="H1384" i="1"/>
  <c r="K1384" i="1" s="1"/>
  <c r="M1384" i="1" s="1"/>
  <c r="Z1383" i="1"/>
  <c r="H1383" i="1"/>
  <c r="K1383" i="1" s="1"/>
  <c r="M1383" i="1" s="1"/>
  <c r="Z1382" i="1"/>
  <c r="H1382" i="1"/>
  <c r="K1382" i="1" s="1"/>
  <c r="M1382" i="1" s="1"/>
  <c r="Z1381" i="1"/>
  <c r="H1381" i="1"/>
  <c r="K1381" i="1" s="1"/>
  <c r="M1381" i="1" s="1"/>
  <c r="Z1380" i="1"/>
  <c r="H1380" i="1"/>
  <c r="K1380" i="1" s="1"/>
  <c r="M1380" i="1" s="1"/>
  <c r="Z1379" i="1"/>
  <c r="H1379" i="1"/>
  <c r="K1379" i="1" s="1"/>
  <c r="M1379" i="1" s="1"/>
  <c r="Z1378" i="1"/>
  <c r="H1378" i="1"/>
  <c r="K1378" i="1" s="1"/>
  <c r="M1378" i="1" s="1"/>
  <c r="Z1377" i="1"/>
  <c r="H1377" i="1"/>
  <c r="K1377" i="1" s="1"/>
  <c r="M1377" i="1" s="1"/>
  <c r="Z1376" i="1"/>
  <c r="H1376" i="1"/>
  <c r="K1376" i="1" s="1"/>
  <c r="M1376" i="1" s="1"/>
  <c r="Z1375" i="1"/>
  <c r="M1375" i="1"/>
  <c r="H1375" i="1"/>
  <c r="Z1374" i="1"/>
  <c r="M1374" i="1"/>
  <c r="H1374" i="1"/>
  <c r="Z1373" i="1"/>
  <c r="M1373" i="1"/>
  <c r="H1373" i="1"/>
  <c r="Z1372" i="1"/>
  <c r="M1372" i="1"/>
  <c r="H1372" i="1"/>
  <c r="Z1371" i="1"/>
  <c r="M1371" i="1"/>
  <c r="H1371" i="1"/>
  <c r="Z1370" i="1"/>
  <c r="M1370" i="1"/>
  <c r="H1370" i="1"/>
  <c r="Z1369" i="1"/>
  <c r="M1369" i="1"/>
  <c r="H1369" i="1"/>
  <c r="Z1368" i="1"/>
  <c r="M1368" i="1"/>
  <c r="H1368" i="1"/>
  <c r="Z1367" i="1"/>
  <c r="M1367" i="1"/>
  <c r="H1367" i="1"/>
  <c r="Z1366" i="1"/>
  <c r="M1366" i="1"/>
  <c r="H1366" i="1"/>
  <c r="Z1365" i="1"/>
  <c r="H1365" i="1"/>
  <c r="K1365" i="1" s="1"/>
  <c r="M1365" i="1" s="1"/>
  <c r="Z1364" i="1"/>
  <c r="H1364" i="1"/>
  <c r="K1364" i="1" s="1"/>
  <c r="M1364" i="1" s="1"/>
  <c r="Z1363" i="1"/>
  <c r="H1363" i="1"/>
  <c r="K1363" i="1" s="1"/>
  <c r="M1363" i="1" s="1"/>
  <c r="Z1362" i="1"/>
  <c r="H1362" i="1"/>
  <c r="K1362" i="1" s="1"/>
  <c r="M1362" i="1" s="1"/>
  <c r="Z1361" i="1"/>
  <c r="K1361" i="1"/>
  <c r="M1361" i="1" s="1"/>
  <c r="H1361" i="1"/>
  <c r="Z1360" i="1"/>
  <c r="H1360" i="1"/>
  <c r="K1360" i="1" s="1"/>
  <c r="M1360" i="1" s="1"/>
  <c r="Z1359" i="1"/>
  <c r="K1359" i="1"/>
  <c r="M1359" i="1" s="1"/>
  <c r="H1359" i="1"/>
  <c r="Z1358" i="1"/>
  <c r="M1358" i="1"/>
  <c r="H1358" i="1"/>
  <c r="Z1357" i="1"/>
  <c r="M1357" i="1"/>
  <c r="H1357" i="1"/>
  <c r="Z1356" i="1"/>
  <c r="M1356" i="1"/>
  <c r="H1356" i="1"/>
  <c r="Z1355" i="1"/>
  <c r="M1355" i="1"/>
  <c r="H1355" i="1"/>
  <c r="Z1354" i="1"/>
  <c r="H1354" i="1"/>
  <c r="K1354" i="1" s="1"/>
  <c r="M1354" i="1" s="1"/>
  <c r="Z1353" i="1"/>
  <c r="H1353" i="1"/>
  <c r="K1353" i="1" s="1"/>
  <c r="M1353" i="1" s="1"/>
  <c r="Z1352" i="1"/>
  <c r="H1352" i="1"/>
  <c r="K1352" i="1" s="1"/>
  <c r="M1352" i="1" s="1"/>
  <c r="Z1351" i="1"/>
  <c r="H1351" i="1"/>
  <c r="K1351" i="1" s="1"/>
  <c r="M1351" i="1" s="1"/>
  <c r="Z1350" i="1"/>
  <c r="K1350" i="1"/>
  <c r="M1350" i="1" s="1"/>
  <c r="H1350" i="1"/>
  <c r="Z1349" i="1"/>
  <c r="M1349" i="1"/>
  <c r="H1349" i="1"/>
  <c r="Z1348" i="1"/>
  <c r="M1348" i="1"/>
  <c r="H1348" i="1"/>
  <c r="Z1347" i="1"/>
  <c r="M1347" i="1"/>
  <c r="H1347" i="1"/>
  <c r="Z1346" i="1"/>
  <c r="M1346" i="1"/>
  <c r="H1346" i="1"/>
  <c r="Z1345" i="1"/>
  <c r="M1345" i="1"/>
  <c r="H1345" i="1"/>
  <c r="Z1344" i="1"/>
  <c r="M1344" i="1"/>
  <c r="H1344" i="1"/>
  <c r="Z1343" i="1"/>
  <c r="M1343" i="1"/>
  <c r="H1343" i="1"/>
  <c r="Z1342" i="1"/>
  <c r="M1342" i="1"/>
  <c r="H1342" i="1"/>
  <c r="Z1341" i="1"/>
  <c r="M1341" i="1"/>
  <c r="H1341" i="1"/>
  <c r="Z1340" i="1"/>
  <c r="M1340" i="1"/>
  <c r="H1340" i="1"/>
  <c r="Z1339" i="1"/>
  <c r="M1339" i="1"/>
  <c r="H1339" i="1"/>
  <c r="Z1338" i="1"/>
  <c r="M1338" i="1"/>
  <c r="H1338" i="1"/>
  <c r="Z1337" i="1"/>
  <c r="M1337" i="1"/>
  <c r="H1337" i="1"/>
  <c r="Z1336" i="1"/>
  <c r="M1336" i="1"/>
  <c r="H1336" i="1"/>
  <c r="Z1335" i="1"/>
  <c r="M1335" i="1"/>
  <c r="H1335" i="1"/>
  <c r="Z1334" i="1"/>
  <c r="H1334" i="1"/>
  <c r="K1334" i="1" s="1"/>
  <c r="M1334" i="1" s="1"/>
  <c r="Z1333" i="1"/>
  <c r="H1333" i="1"/>
  <c r="K1333" i="1" s="1"/>
  <c r="M1333" i="1" s="1"/>
  <c r="Z1332" i="1"/>
  <c r="H1332" i="1"/>
  <c r="K1332" i="1" s="1"/>
  <c r="M1332" i="1" s="1"/>
  <c r="Z1331" i="1"/>
  <c r="H1331" i="1"/>
  <c r="K1331" i="1" s="1"/>
  <c r="M1331" i="1" s="1"/>
  <c r="Z1330" i="1"/>
  <c r="H1330" i="1"/>
  <c r="K1330" i="1" s="1"/>
  <c r="M1330" i="1" s="1"/>
  <c r="Z1329" i="1"/>
  <c r="H1329" i="1"/>
  <c r="K1329" i="1" s="1"/>
  <c r="M1329" i="1" s="1"/>
  <c r="Z1328" i="1"/>
  <c r="H1328" i="1"/>
  <c r="K1328" i="1" s="1"/>
  <c r="M1328" i="1" s="1"/>
  <c r="Z1327" i="1"/>
  <c r="M1327" i="1"/>
  <c r="H1327" i="1"/>
  <c r="Z1326" i="1"/>
  <c r="M1326" i="1"/>
  <c r="H1326" i="1"/>
  <c r="Z1325" i="1"/>
  <c r="M1325" i="1"/>
  <c r="H1325" i="1"/>
  <c r="Z1324" i="1"/>
  <c r="M1324" i="1"/>
  <c r="H1324" i="1"/>
  <c r="Z1323" i="1"/>
  <c r="M1323" i="1"/>
  <c r="H1323" i="1"/>
  <c r="Z1322" i="1"/>
  <c r="H1322" i="1"/>
  <c r="K1322" i="1" s="1"/>
  <c r="M1322" i="1" s="1"/>
  <c r="Z1321" i="1"/>
  <c r="H1321" i="1"/>
  <c r="K1321" i="1" s="1"/>
  <c r="M1321" i="1" s="1"/>
  <c r="Z1320" i="1"/>
  <c r="H1320" i="1"/>
  <c r="K1320" i="1" s="1"/>
  <c r="M1320" i="1" s="1"/>
  <c r="Z1319" i="1"/>
  <c r="H1319" i="1"/>
  <c r="K1319" i="1" s="1"/>
  <c r="M1319" i="1" s="1"/>
  <c r="Z1318" i="1"/>
  <c r="H1318" i="1"/>
  <c r="K1318" i="1" s="1"/>
  <c r="M1318" i="1" s="1"/>
  <c r="Z1317" i="1"/>
  <c r="H1317" i="1"/>
  <c r="K1317" i="1" s="1"/>
  <c r="M1317" i="1" s="1"/>
  <c r="Z1316" i="1"/>
  <c r="H1316" i="1"/>
  <c r="K1316" i="1" s="1"/>
  <c r="M1316" i="1" s="1"/>
  <c r="Z1315" i="1"/>
  <c r="H1315" i="1"/>
  <c r="K1315" i="1" s="1"/>
  <c r="M1315" i="1" s="1"/>
  <c r="Z1314" i="1"/>
  <c r="H1314" i="1"/>
  <c r="K1314" i="1" s="1"/>
  <c r="M1314" i="1" s="1"/>
  <c r="Z1313" i="1"/>
  <c r="H1313" i="1"/>
  <c r="K1313" i="1" s="1"/>
  <c r="M1313" i="1" s="1"/>
  <c r="Z1312" i="1"/>
  <c r="H1312" i="1"/>
  <c r="K1312" i="1" s="1"/>
  <c r="M1312" i="1" s="1"/>
  <c r="Z1311" i="1"/>
  <c r="H1311" i="1"/>
  <c r="K1311" i="1" s="1"/>
  <c r="M1311" i="1" s="1"/>
  <c r="Z1310" i="1"/>
  <c r="H1310" i="1"/>
  <c r="K1310" i="1" s="1"/>
  <c r="M1310" i="1" s="1"/>
  <c r="Z1309" i="1"/>
  <c r="H1309" i="1"/>
  <c r="K1309" i="1" s="1"/>
  <c r="M1309" i="1" s="1"/>
  <c r="Z1308" i="1"/>
  <c r="H1308" i="1"/>
  <c r="K1308" i="1" s="1"/>
  <c r="M1308" i="1" s="1"/>
  <c r="Z1307" i="1"/>
  <c r="H1307" i="1"/>
  <c r="K1307" i="1" s="1"/>
  <c r="M1307" i="1" s="1"/>
  <c r="Z1306" i="1"/>
  <c r="H1306" i="1"/>
  <c r="K1306" i="1" s="1"/>
  <c r="M1306" i="1" s="1"/>
  <c r="Z1305" i="1"/>
  <c r="H1305" i="1"/>
  <c r="K1305" i="1" s="1"/>
  <c r="M1305" i="1" s="1"/>
  <c r="Z1304" i="1"/>
  <c r="H1304" i="1"/>
  <c r="K1304" i="1" s="1"/>
  <c r="M1304" i="1" s="1"/>
  <c r="Z1303" i="1"/>
  <c r="H1303" i="1"/>
  <c r="K1303" i="1" s="1"/>
  <c r="M1303" i="1" s="1"/>
  <c r="Z1302" i="1"/>
  <c r="H1302" i="1"/>
  <c r="K1302" i="1" s="1"/>
  <c r="M1302" i="1" s="1"/>
  <c r="Z1301" i="1"/>
  <c r="M1301" i="1"/>
  <c r="H1301" i="1"/>
  <c r="Z1300" i="1"/>
  <c r="M1300" i="1"/>
  <c r="H1300" i="1"/>
  <c r="Z1299" i="1"/>
  <c r="M1299" i="1"/>
  <c r="H1299" i="1"/>
  <c r="Z1298" i="1"/>
  <c r="M1298" i="1"/>
  <c r="H1298" i="1"/>
  <c r="Z1297" i="1"/>
  <c r="H1297" i="1"/>
  <c r="K1297" i="1" s="1"/>
  <c r="M1297" i="1" s="1"/>
  <c r="Z1296" i="1"/>
  <c r="H1296" i="1"/>
  <c r="K1296" i="1" s="1"/>
  <c r="M1296" i="1" s="1"/>
  <c r="Z1295" i="1"/>
  <c r="K1295" i="1"/>
  <c r="M1295" i="1" s="1"/>
  <c r="H1295" i="1"/>
  <c r="Z1294" i="1"/>
  <c r="H1294" i="1"/>
  <c r="K1294" i="1" s="1"/>
  <c r="M1294" i="1" s="1"/>
  <c r="Z1293" i="1"/>
  <c r="K1293" i="1"/>
  <c r="M1293" i="1" s="1"/>
  <c r="H1293" i="1"/>
  <c r="Z1292" i="1"/>
  <c r="H1292" i="1"/>
  <c r="K1292" i="1" s="1"/>
  <c r="M1292" i="1" s="1"/>
  <c r="Z1291" i="1"/>
  <c r="H1291" i="1"/>
  <c r="K1291" i="1" s="1"/>
  <c r="M1291" i="1" s="1"/>
  <c r="Z1290" i="1"/>
  <c r="H1290" i="1"/>
  <c r="K1290" i="1" s="1"/>
  <c r="M1290" i="1" s="1"/>
  <c r="Z1289" i="1"/>
  <c r="H1289" i="1"/>
  <c r="K1289" i="1" s="1"/>
  <c r="M1289" i="1" s="1"/>
  <c r="Z1288" i="1"/>
  <c r="H1288" i="1"/>
  <c r="K1288" i="1" s="1"/>
  <c r="M1288" i="1" s="1"/>
  <c r="Z1287" i="1"/>
  <c r="H1287" i="1"/>
  <c r="K1287" i="1" s="1"/>
  <c r="M1287" i="1" s="1"/>
  <c r="Z1286" i="1"/>
  <c r="H1286" i="1"/>
  <c r="K1286" i="1" s="1"/>
  <c r="M1286" i="1" s="1"/>
  <c r="Z1285" i="1"/>
  <c r="H1285" i="1"/>
  <c r="K1285" i="1" s="1"/>
  <c r="M1285" i="1" s="1"/>
  <c r="Z1284" i="1"/>
  <c r="H1284" i="1"/>
  <c r="K1284" i="1" s="1"/>
  <c r="M1284" i="1" s="1"/>
  <c r="Z1283" i="1"/>
  <c r="H1283" i="1"/>
  <c r="K1283" i="1" s="1"/>
  <c r="M1283" i="1" s="1"/>
  <c r="Z1282" i="1"/>
  <c r="H1282" i="1"/>
  <c r="K1282" i="1" s="1"/>
  <c r="M1282" i="1" s="1"/>
  <c r="Z1281" i="1"/>
  <c r="H1281" i="1"/>
  <c r="K1281" i="1" s="1"/>
  <c r="M1281" i="1" s="1"/>
  <c r="Z1280" i="1"/>
  <c r="H1280" i="1"/>
  <c r="K1280" i="1" s="1"/>
  <c r="M1280" i="1" s="1"/>
  <c r="Z1279" i="1"/>
  <c r="H1279" i="1"/>
  <c r="K1279" i="1" s="1"/>
  <c r="M1279" i="1" s="1"/>
  <c r="Z1278" i="1"/>
  <c r="H1278" i="1"/>
  <c r="K1278" i="1" s="1"/>
  <c r="M1278" i="1" s="1"/>
  <c r="Z1277" i="1"/>
  <c r="H1277" i="1"/>
  <c r="K1277" i="1" s="1"/>
  <c r="M1277" i="1" s="1"/>
  <c r="Z1276" i="1"/>
  <c r="K1276" i="1"/>
  <c r="M1276" i="1" s="1"/>
  <c r="H1276" i="1"/>
  <c r="Z1275" i="1"/>
  <c r="K1275" i="1"/>
  <c r="M1275" i="1" s="1"/>
  <c r="H1275" i="1"/>
  <c r="Z1274" i="1"/>
  <c r="H1274" i="1"/>
  <c r="K1274" i="1" s="1"/>
  <c r="M1274" i="1" s="1"/>
  <c r="Z1273" i="1"/>
  <c r="H1273" i="1"/>
  <c r="K1273" i="1" s="1"/>
  <c r="M1273" i="1" s="1"/>
  <c r="Z1272" i="1"/>
  <c r="H1272" i="1"/>
  <c r="K1272" i="1" s="1"/>
  <c r="M1272" i="1" s="1"/>
  <c r="Z1271" i="1"/>
  <c r="M1271" i="1"/>
  <c r="H1271" i="1"/>
  <c r="Z1270" i="1"/>
  <c r="H1270" i="1"/>
  <c r="K1270" i="1" s="1"/>
  <c r="M1270" i="1" s="1"/>
  <c r="Z1269" i="1"/>
  <c r="H1269" i="1"/>
  <c r="K1269" i="1" s="1"/>
  <c r="M1269" i="1" s="1"/>
  <c r="Z1268" i="1"/>
  <c r="H1268" i="1"/>
  <c r="K1268" i="1" s="1"/>
  <c r="M1268" i="1" s="1"/>
  <c r="Z1267" i="1"/>
  <c r="L1267" i="1"/>
  <c r="H1267" i="1"/>
  <c r="K1267" i="1" s="1"/>
  <c r="Z1266" i="1"/>
  <c r="H1266" i="1"/>
  <c r="K1266" i="1" s="1"/>
  <c r="M1266" i="1" s="1"/>
  <c r="Z1265" i="1"/>
  <c r="K1265" i="1"/>
  <c r="M1265" i="1" s="1"/>
  <c r="H1265" i="1"/>
  <c r="Z1264" i="1"/>
  <c r="H1264" i="1"/>
  <c r="K1264" i="1" s="1"/>
  <c r="M1264" i="1" s="1"/>
  <c r="Z1263" i="1"/>
  <c r="K1263" i="1"/>
  <c r="M1263" i="1" s="1"/>
  <c r="H1263" i="1"/>
  <c r="Z1262" i="1"/>
  <c r="K1262" i="1"/>
  <c r="M1262" i="1" s="1"/>
  <c r="H1262" i="1"/>
  <c r="Z1261" i="1"/>
  <c r="K1261" i="1"/>
  <c r="M1261" i="1" s="1"/>
  <c r="H1261" i="1"/>
  <c r="Z1260" i="1"/>
  <c r="K1260" i="1"/>
  <c r="M1260" i="1" s="1"/>
  <c r="H1260" i="1"/>
  <c r="Z1259" i="1"/>
  <c r="H1259" i="1"/>
  <c r="K1259" i="1" s="1"/>
  <c r="M1259" i="1" s="1"/>
  <c r="Z1258" i="1"/>
  <c r="H1258" i="1"/>
  <c r="K1258" i="1" s="1"/>
  <c r="M1258" i="1" s="1"/>
  <c r="Z1257" i="1"/>
  <c r="H1257" i="1"/>
  <c r="K1257" i="1" s="1"/>
  <c r="M1257" i="1" s="1"/>
  <c r="Z1256" i="1"/>
  <c r="H1256" i="1"/>
  <c r="K1256" i="1" s="1"/>
  <c r="M1256" i="1" s="1"/>
  <c r="Z1255" i="1"/>
  <c r="K1255" i="1"/>
  <c r="M1255" i="1" s="1"/>
  <c r="H1255" i="1"/>
  <c r="Z1254" i="1"/>
  <c r="H1254" i="1"/>
  <c r="K1254" i="1" s="1"/>
  <c r="M1254" i="1" s="1"/>
  <c r="Z1253" i="1"/>
  <c r="H1253" i="1"/>
  <c r="K1253" i="1" s="1"/>
  <c r="M1253" i="1" s="1"/>
  <c r="Z1252" i="1"/>
  <c r="H1252" i="1"/>
  <c r="K1252" i="1" s="1"/>
  <c r="M1252" i="1" s="1"/>
  <c r="Z1251" i="1"/>
  <c r="H1251" i="1"/>
  <c r="K1251" i="1" s="1"/>
  <c r="M1251" i="1" s="1"/>
  <c r="Z1250" i="1"/>
  <c r="H1250" i="1"/>
  <c r="K1250" i="1" s="1"/>
  <c r="M1250" i="1" s="1"/>
  <c r="Z1249" i="1"/>
  <c r="H1249" i="1"/>
  <c r="K1249" i="1" s="1"/>
  <c r="M1249" i="1" s="1"/>
  <c r="Z1248" i="1"/>
  <c r="K1248" i="1"/>
  <c r="M1248" i="1" s="1"/>
  <c r="H1248" i="1"/>
  <c r="Z1247" i="1"/>
  <c r="H1247" i="1"/>
  <c r="K1247" i="1" s="1"/>
  <c r="M1247" i="1" s="1"/>
  <c r="Z1246" i="1"/>
  <c r="H1246" i="1"/>
  <c r="K1246" i="1" s="1"/>
  <c r="M1246" i="1" s="1"/>
  <c r="Z1245" i="1"/>
  <c r="H1245" i="1"/>
  <c r="K1245" i="1" s="1"/>
  <c r="M1245" i="1" s="1"/>
  <c r="Z1244" i="1"/>
  <c r="H1244" i="1"/>
  <c r="K1244" i="1" s="1"/>
  <c r="M1244" i="1" s="1"/>
  <c r="Z1243" i="1"/>
  <c r="K1243" i="1"/>
  <c r="M1243" i="1" s="1"/>
  <c r="H1243" i="1"/>
  <c r="Z1242" i="1"/>
  <c r="H1242" i="1"/>
  <c r="K1242" i="1" s="1"/>
  <c r="M1242" i="1" s="1"/>
  <c r="Z1241" i="1"/>
  <c r="H1241" i="1"/>
  <c r="K1241" i="1" s="1"/>
  <c r="M1241" i="1" s="1"/>
  <c r="Z1240" i="1"/>
  <c r="H1240" i="1"/>
  <c r="K1240" i="1" s="1"/>
  <c r="M1240" i="1" s="1"/>
  <c r="Z1239" i="1"/>
  <c r="K1239" i="1"/>
  <c r="M1239" i="1" s="1"/>
  <c r="H1239" i="1"/>
  <c r="Z1238" i="1"/>
  <c r="K1238" i="1"/>
  <c r="M1238" i="1" s="1"/>
  <c r="H1238" i="1"/>
  <c r="Z1237" i="1"/>
  <c r="K1237" i="1"/>
  <c r="M1237" i="1" s="1"/>
  <c r="H1237" i="1"/>
  <c r="Z1236" i="1"/>
  <c r="K1236" i="1"/>
  <c r="M1236" i="1" s="1"/>
  <c r="H1236" i="1"/>
  <c r="Z1235" i="1"/>
  <c r="M1235" i="1"/>
  <c r="H1235" i="1"/>
  <c r="Z1234" i="1"/>
  <c r="H1234" i="1"/>
  <c r="K1234" i="1" s="1"/>
  <c r="M1234" i="1" s="1"/>
  <c r="Z1233" i="1"/>
  <c r="H1233" i="1"/>
  <c r="K1233" i="1" s="1"/>
  <c r="M1233" i="1" s="1"/>
  <c r="Z1232" i="1"/>
  <c r="H1232" i="1"/>
  <c r="K1232" i="1" s="1"/>
  <c r="M1232" i="1" s="1"/>
  <c r="Z1231" i="1"/>
  <c r="K1231" i="1"/>
  <c r="M1231" i="1" s="1"/>
  <c r="H1231" i="1"/>
  <c r="Z1230" i="1"/>
  <c r="H1230" i="1"/>
  <c r="K1230" i="1" s="1"/>
  <c r="M1230" i="1" s="1"/>
  <c r="Z1229" i="1"/>
  <c r="H1229" i="1"/>
  <c r="K1229" i="1" s="1"/>
  <c r="M1229" i="1" s="1"/>
  <c r="Z1228" i="1"/>
  <c r="H1228" i="1"/>
  <c r="K1228" i="1" s="1"/>
  <c r="M1228" i="1" s="1"/>
  <c r="Z1227" i="1"/>
  <c r="H1227" i="1"/>
  <c r="K1227" i="1" s="1"/>
  <c r="M1227" i="1" s="1"/>
  <c r="Z1226" i="1"/>
  <c r="H1226" i="1"/>
  <c r="K1226" i="1" s="1"/>
  <c r="M1226" i="1" s="1"/>
  <c r="Z1225" i="1"/>
  <c r="H1225" i="1"/>
  <c r="K1225" i="1" s="1"/>
  <c r="M1225" i="1" s="1"/>
  <c r="Z1224" i="1"/>
  <c r="H1224" i="1"/>
  <c r="K1224" i="1" s="1"/>
  <c r="M1224" i="1" s="1"/>
  <c r="Z1223" i="1"/>
  <c r="K1223" i="1"/>
  <c r="M1223" i="1" s="1"/>
  <c r="H1223" i="1"/>
  <c r="Z1222" i="1"/>
  <c r="K1222" i="1"/>
  <c r="M1222" i="1" s="1"/>
  <c r="H1222" i="1"/>
  <c r="Z1221" i="1"/>
  <c r="K1221" i="1"/>
  <c r="M1221" i="1" s="1"/>
  <c r="H1221" i="1"/>
  <c r="Z1220" i="1"/>
  <c r="H1220" i="1"/>
  <c r="K1220" i="1" s="1"/>
  <c r="M1220" i="1" s="1"/>
  <c r="Z1219" i="1"/>
  <c r="H1219" i="1"/>
  <c r="K1219" i="1" s="1"/>
  <c r="M1219" i="1" s="1"/>
  <c r="Z1218" i="1"/>
  <c r="H1218" i="1"/>
  <c r="K1218" i="1" s="1"/>
  <c r="M1218" i="1" s="1"/>
  <c r="Z1217" i="1"/>
  <c r="H1217" i="1"/>
  <c r="K1217" i="1" s="1"/>
  <c r="M1217" i="1" s="1"/>
  <c r="Z1216" i="1"/>
  <c r="H1216" i="1"/>
  <c r="K1216" i="1" s="1"/>
  <c r="M1216" i="1" s="1"/>
  <c r="Z1215" i="1"/>
  <c r="H1215" i="1"/>
  <c r="K1215" i="1" s="1"/>
  <c r="M1215" i="1" s="1"/>
  <c r="Z1214" i="1"/>
  <c r="H1214" i="1"/>
  <c r="K1214" i="1" s="1"/>
  <c r="M1214" i="1" s="1"/>
  <c r="Z1213" i="1"/>
  <c r="H1213" i="1"/>
  <c r="K1213" i="1" s="1"/>
  <c r="M1213" i="1" s="1"/>
  <c r="Z1212" i="1"/>
  <c r="H1212" i="1"/>
  <c r="K1212" i="1" s="1"/>
  <c r="M1212" i="1" s="1"/>
  <c r="Z1211" i="1"/>
  <c r="H1211" i="1"/>
  <c r="K1211" i="1" s="1"/>
  <c r="M1211" i="1" s="1"/>
  <c r="Z1210" i="1"/>
  <c r="H1210" i="1"/>
  <c r="K1210" i="1" s="1"/>
  <c r="M1210" i="1" s="1"/>
  <c r="Z1209" i="1"/>
  <c r="H1209" i="1"/>
  <c r="K1209" i="1" s="1"/>
  <c r="M1209" i="1" s="1"/>
  <c r="Z1208" i="1"/>
  <c r="H1208" i="1"/>
  <c r="K1208" i="1" s="1"/>
  <c r="M1208" i="1" s="1"/>
  <c r="Z1207" i="1"/>
  <c r="H1207" i="1"/>
  <c r="K1207" i="1" s="1"/>
  <c r="M1207" i="1" s="1"/>
  <c r="Z1206" i="1"/>
  <c r="H1206" i="1"/>
  <c r="K1206" i="1" s="1"/>
  <c r="M1206" i="1" s="1"/>
  <c r="Z1205" i="1"/>
  <c r="H1205" i="1"/>
  <c r="K1205" i="1" s="1"/>
  <c r="M1205" i="1" s="1"/>
  <c r="Z1204" i="1"/>
  <c r="K1204" i="1"/>
  <c r="M1204" i="1" s="1"/>
  <c r="H1204" i="1"/>
  <c r="Z1203" i="1"/>
  <c r="K1203" i="1"/>
  <c r="M1203" i="1" s="1"/>
  <c r="H1203" i="1"/>
  <c r="Z1202" i="1"/>
  <c r="K1202" i="1"/>
  <c r="M1202" i="1" s="1"/>
  <c r="H1202" i="1"/>
  <c r="Z1201" i="1"/>
  <c r="K1201" i="1"/>
  <c r="M1201" i="1" s="1"/>
  <c r="H1201" i="1"/>
  <c r="Z1200" i="1"/>
  <c r="H1200" i="1"/>
  <c r="K1200" i="1" s="1"/>
  <c r="M1200" i="1" s="1"/>
  <c r="Z1199" i="1"/>
  <c r="K1199" i="1"/>
  <c r="M1199" i="1" s="1"/>
  <c r="H1199" i="1"/>
  <c r="Z1198" i="1"/>
  <c r="K1198" i="1"/>
  <c r="M1198" i="1" s="1"/>
  <c r="H1198" i="1"/>
  <c r="Z1197" i="1"/>
  <c r="K1197" i="1"/>
  <c r="M1197" i="1" s="1"/>
  <c r="H1197" i="1"/>
  <c r="Z1196" i="1"/>
  <c r="K1196" i="1"/>
  <c r="M1196" i="1" s="1"/>
  <c r="H1196" i="1"/>
  <c r="Z1195" i="1"/>
  <c r="K1195" i="1"/>
  <c r="M1195" i="1" s="1"/>
  <c r="H1195" i="1"/>
  <c r="Z1194" i="1"/>
  <c r="H1194" i="1"/>
  <c r="K1194" i="1" s="1"/>
  <c r="M1194" i="1" s="1"/>
  <c r="Z1193" i="1"/>
  <c r="H1193" i="1"/>
  <c r="K1193" i="1" s="1"/>
  <c r="M1193" i="1" s="1"/>
  <c r="Z1192" i="1"/>
  <c r="K1192" i="1"/>
  <c r="M1192" i="1" s="1"/>
  <c r="H1192" i="1"/>
  <c r="Z1191" i="1"/>
  <c r="K1191" i="1"/>
  <c r="M1191" i="1" s="1"/>
  <c r="H1191" i="1"/>
  <c r="Z1190" i="1"/>
  <c r="K1190" i="1"/>
  <c r="M1190" i="1" s="1"/>
  <c r="H1190" i="1"/>
  <c r="Z1189" i="1"/>
  <c r="K1189" i="1"/>
  <c r="M1189" i="1" s="1"/>
  <c r="H1189" i="1"/>
  <c r="Z1188" i="1"/>
  <c r="K1188" i="1"/>
  <c r="M1188" i="1" s="1"/>
  <c r="H1188" i="1"/>
  <c r="Z1187" i="1"/>
  <c r="H1187" i="1"/>
  <c r="K1187" i="1" s="1"/>
  <c r="M1187" i="1" s="1"/>
  <c r="Z1186" i="1"/>
  <c r="H1186" i="1"/>
  <c r="K1186" i="1" s="1"/>
  <c r="M1186" i="1" s="1"/>
  <c r="Z1185" i="1"/>
  <c r="H1185" i="1"/>
  <c r="K1185" i="1" s="1"/>
  <c r="M1185" i="1" s="1"/>
  <c r="Z1184" i="1"/>
  <c r="H1184" i="1"/>
  <c r="K1184" i="1" s="1"/>
  <c r="M1184" i="1" s="1"/>
  <c r="Z1183" i="1"/>
  <c r="H1183" i="1"/>
  <c r="K1183" i="1" s="1"/>
  <c r="M1183" i="1" s="1"/>
  <c r="Z1182" i="1"/>
  <c r="M1182" i="1"/>
  <c r="H1182" i="1"/>
  <c r="Z1181" i="1"/>
  <c r="M1181" i="1"/>
  <c r="H1181" i="1"/>
  <c r="Z1180" i="1"/>
  <c r="H1180" i="1"/>
  <c r="K1180" i="1" s="1"/>
  <c r="M1180" i="1" s="1"/>
  <c r="Z1179" i="1"/>
  <c r="H1179" i="1"/>
  <c r="K1179" i="1" s="1"/>
  <c r="M1179" i="1" s="1"/>
  <c r="Z1178" i="1"/>
  <c r="H1178" i="1"/>
  <c r="K1178" i="1" s="1"/>
  <c r="M1178" i="1" s="1"/>
  <c r="Z1177" i="1"/>
  <c r="M1177" i="1"/>
  <c r="H1177" i="1"/>
  <c r="Z1176" i="1"/>
  <c r="H1176" i="1"/>
  <c r="K1176" i="1" s="1"/>
  <c r="M1176" i="1" s="1"/>
  <c r="Z1175" i="1"/>
  <c r="H1175" i="1"/>
  <c r="K1175" i="1" s="1"/>
  <c r="M1175" i="1" s="1"/>
  <c r="Z1174" i="1"/>
  <c r="H1174" i="1"/>
  <c r="K1174" i="1" s="1"/>
  <c r="M1174" i="1" s="1"/>
  <c r="Z1173" i="1"/>
  <c r="H1173" i="1"/>
  <c r="K1173" i="1" s="1"/>
  <c r="M1173" i="1" s="1"/>
  <c r="Z1172" i="1"/>
  <c r="H1172" i="1"/>
  <c r="K1172" i="1" s="1"/>
  <c r="M1172" i="1" s="1"/>
  <c r="Z1171" i="1"/>
  <c r="H1171" i="1"/>
  <c r="K1171" i="1" s="1"/>
  <c r="M1171" i="1" s="1"/>
  <c r="Z1170" i="1"/>
  <c r="H1170" i="1"/>
  <c r="K1170" i="1" s="1"/>
  <c r="M1170" i="1" s="1"/>
  <c r="Z1169" i="1"/>
  <c r="H1169" i="1"/>
  <c r="K1169" i="1" s="1"/>
  <c r="M1169" i="1" s="1"/>
  <c r="Z1168" i="1"/>
  <c r="H1168" i="1"/>
  <c r="K1168" i="1" s="1"/>
  <c r="M1168" i="1" s="1"/>
  <c r="Z1167" i="1"/>
  <c r="H1167" i="1"/>
  <c r="K1167" i="1" s="1"/>
  <c r="M1167" i="1" s="1"/>
  <c r="Z1166" i="1"/>
  <c r="H1166" i="1"/>
  <c r="K1166" i="1" s="1"/>
  <c r="M1166" i="1" s="1"/>
  <c r="Z1165" i="1"/>
  <c r="H1165" i="1"/>
  <c r="K1165" i="1" s="1"/>
  <c r="M1165" i="1" s="1"/>
  <c r="Z1164" i="1"/>
  <c r="H1164" i="1"/>
  <c r="K1164" i="1" s="1"/>
  <c r="M1164" i="1" s="1"/>
  <c r="Z1163" i="1"/>
  <c r="H1163" i="1"/>
  <c r="K1163" i="1" s="1"/>
  <c r="M1163" i="1" s="1"/>
  <c r="Z1162" i="1"/>
  <c r="H1162" i="1"/>
  <c r="K1162" i="1" s="1"/>
  <c r="M1162" i="1" s="1"/>
  <c r="Z1161" i="1"/>
  <c r="M1161" i="1"/>
  <c r="H1161" i="1"/>
  <c r="Z1160" i="1"/>
  <c r="M1160" i="1"/>
  <c r="H1160" i="1"/>
  <c r="Z1159" i="1"/>
  <c r="H1159" i="1"/>
  <c r="K1159" i="1" s="1"/>
  <c r="M1159" i="1" s="1"/>
  <c r="Z1158" i="1"/>
  <c r="H1158" i="1"/>
  <c r="K1158" i="1" s="1"/>
  <c r="M1158" i="1" s="1"/>
  <c r="Z1157" i="1"/>
  <c r="H1157" i="1"/>
  <c r="K1157" i="1" s="1"/>
  <c r="M1157" i="1" s="1"/>
  <c r="Z1156" i="1"/>
  <c r="H1156" i="1"/>
  <c r="K1156" i="1" s="1"/>
  <c r="M1156" i="1" s="1"/>
  <c r="Z1155" i="1"/>
  <c r="H1155" i="1"/>
  <c r="K1155" i="1" s="1"/>
  <c r="M1155" i="1" s="1"/>
  <c r="Z1154" i="1"/>
  <c r="H1154" i="1"/>
  <c r="K1154" i="1" s="1"/>
  <c r="M1154" i="1" s="1"/>
  <c r="Z1153" i="1"/>
  <c r="H1153" i="1"/>
  <c r="K1153" i="1" s="1"/>
  <c r="M1153" i="1" s="1"/>
  <c r="Z1152" i="1"/>
  <c r="H1152" i="1"/>
  <c r="K1152" i="1" s="1"/>
  <c r="M1152" i="1" s="1"/>
  <c r="Z1151" i="1"/>
  <c r="H1151" i="1"/>
  <c r="K1151" i="1" s="1"/>
  <c r="M1151" i="1" s="1"/>
  <c r="Z1150" i="1"/>
  <c r="H1150" i="1"/>
  <c r="K1150" i="1" s="1"/>
  <c r="M1150" i="1" s="1"/>
  <c r="Z1149" i="1"/>
  <c r="H1149" i="1"/>
  <c r="K1149" i="1" s="1"/>
  <c r="M1149" i="1" s="1"/>
  <c r="Z1148" i="1"/>
  <c r="H1148" i="1"/>
  <c r="K1148" i="1" s="1"/>
  <c r="M1148" i="1" s="1"/>
  <c r="Z1147" i="1"/>
  <c r="H1147" i="1"/>
  <c r="K1147" i="1" s="1"/>
  <c r="M1147" i="1" s="1"/>
  <c r="Z1146" i="1"/>
  <c r="H1146" i="1"/>
  <c r="K1146" i="1" s="1"/>
  <c r="M1146" i="1" s="1"/>
  <c r="Z1145" i="1"/>
  <c r="H1145" i="1"/>
  <c r="K1145" i="1" s="1"/>
  <c r="M1145" i="1" s="1"/>
  <c r="Z1144" i="1"/>
  <c r="H1144" i="1"/>
  <c r="K1144" i="1" s="1"/>
  <c r="M1144" i="1" s="1"/>
  <c r="Z1143" i="1"/>
  <c r="H1143" i="1"/>
  <c r="K1143" i="1" s="1"/>
  <c r="M1143" i="1" s="1"/>
  <c r="Z1142" i="1"/>
  <c r="H1142" i="1"/>
  <c r="K1142" i="1" s="1"/>
  <c r="M1142" i="1" s="1"/>
  <c r="Z1141" i="1"/>
  <c r="H1141" i="1"/>
  <c r="K1141" i="1" s="1"/>
  <c r="M1141" i="1" s="1"/>
  <c r="Z1140" i="1"/>
  <c r="H1140" i="1"/>
  <c r="K1140" i="1" s="1"/>
  <c r="M1140" i="1" s="1"/>
  <c r="Z1139" i="1"/>
  <c r="H1139" i="1"/>
  <c r="K1139" i="1" s="1"/>
  <c r="M1139" i="1" s="1"/>
  <c r="Z1138" i="1"/>
  <c r="H1138" i="1"/>
  <c r="K1138" i="1" s="1"/>
  <c r="M1138" i="1" s="1"/>
  <c r="Z1137" i="1"/>
  <c r="H1137" i="1"/>
  <c r="K1137" i="1" s="1"/>
  <c r="M1137" i="1" s="1"/>
  <c r="Z1136" i="1"/>
  <c r="H1136" i="1"/>
  <c r="K1136" i="1" s="1"/>
  <c r="M1136" i="1" s="1"/>
  <c r="Z1135" i="1"/>
  <c r="H1135" i="1"/>
  <c r="K1135" i="1" s="1"/>
  <c r="M1135" i="1" s="1"/>
  <c r="Z1134" i="1"/>
  <c r="H1134" i="1"/>
  <c r="K1134" i="1" s="1"/>
  <c r="M1134" i="1" s="1"/>
  <c r="Z1133" i="1"/>
  <c r="K1133" i="1"/>
  <c r="M1133" i="1" s="1"/>
  <c r="H1133" i="1"/>
  <c r="Z1132" i="1"/>
  <c r="K1132" i="1"/>
  <c r="M1132" i="1" s="1"/>
  <c r="H1132" i="1"/>
  <c r="Z1131" i="1"/>
  <c r="H1131" i="1"/>
  <c r="K1131" i="1" s="1"/>
  <c r="M1131" i="1" s="1"/>
  <c r="Z1130" i="1"/>
  <c r="H1130" i="1"/>
  <c r="K1130" i="1" s="1"/>
  <c r="M1130" i="1" s="1"/>
  <c r="Z1129" i="1"/>
  <c r="H1129" i="1"/>
  <c r="K1129" i="1" s="1"/>
  <c r="M1129" i="1" s="1"/>
  <c r="Z1128" i="1"/>
  <c r="H1128" i="1"/>
  <c r="K1128" i="1" s="1"/>
  <c r="M1128" i="1" s="1"/>
  <c r="Z1127" i="1"/>
  <c r="H1127" i="1"/>
  <c r="K1127" i="1" s="1"/>
  <c r="M1127" i="1" s="1"/>
  <c r="Z1126" i="1"/>
  <c r="H1126" i="1"/>
  <c r="K1126" i="1" s="1"/>
  <c r="M1126" i="1" s="1"/>
  <c r="Z1125" i="1"/>
  <c r="H1125" i="1"/>
  <c r="K1125" i="1" s="1"/>
  <c r="M1125" i="1" s="1"/>
  <c r="Z1124" i="1"/>
  <c r="H1124" i="1"/>
  <c r="K1124" i="1" s="1"/>
  <c r="M1124" i="1" s="1"/>
  <c r="Z1123" i="1"/>
  <c r="H1123" i="1"/>
  <c r="K1123" i="1" s="1"/>
  <c r="M1123" i="1" s="1"/>
  <c r="Z1122" i="1"/>
  <c r="H1122" i="1"/>
  <c r="K1122" i="1" s="1"/>
  <c r="M1122" i="1" s="1"/>
  <c r="Z1121" i="1"/>
  <c r="H1121" i="1"/>
  <c r="K1121" i="1" s="1"/>
  <c r="M1121" i="1" s="1"/>
  <c r="Z1120" i="1"/>
  <c r="H1120" i="1"/>
  <c r="K1120" i="1" s="1"/>
  <c r="M1120" i="1" s="1"/>
  <c r="Z1119" i="1"/>
  <c r="H1119" i="1"/>
  <c r="K1119" i="1" s="1"/>
  <c r="M1119" i="1" s="1"/>
  <c r="Z1118" i="1"/>
  <c r="H1118" i="1"/>
  <c r="K1118" i="1" s="1"/>
  <c r="M1118" i="1" s="1"/>
  <c r="Z1117" i="1"/>
  <c r="H1117" i="1"/>
  <c r="K1117" i="1" s="1"/>
  <c r="M1117" i="1" s="1"/>
  <c r="Z1116" i="1"/>
  <c r="H1116" i="1"/>
  <c r="K1116" i="1" s="1"/>
  <c r="M1116" i="1" s="1"/>
  <c r="Z1115" i="1"/>
  <c r="H1115" i="1"/>
  <c r="K1115" i="1" s="1"/>
  <c r="M1115" i="1" s="1"/>
  <c r="Z1114" i="1"/>
  <c r="H1114" i="1"/>
  <c r="K1114" i="1" s="1"/>
  <c r="M1114" i="1" s="1"/>
  <c r="Z1113" i="1"/>
  <c r="H1113" i="1"/>
  <c r="K1113" i="1" s="1"/>
  <c r="M1113" i="1" s="1"/>
  <c r="Z1112" i="1"/>
  <c r="H1112" i="1"/>
  <c r="K1112" i="1" s="1"/>
  <c r="M1112" i="1" s="1"/>
  <c r="Z1111" i="1"/>
  <c r="H1111" i="1"/>
  <c r="K1111" i="1" s="1"/>
  <c r="M1111" i="1" s="1"/>
  <c r="Z1110" i="1"/>
  <c r="H1110" i="1"/>
  <c r="K1110" i="1" s="1"/>
  <c r="M1110" i="1" s="1"/>
  <c r="Z1109" i="1"/>
  <c r="H1109" i="1"/>
  <c r="K1109" i="1" s="1"/>
  <c r="M1109" i="1" s="1"/>
  <c r="Z1108" i="1"/>
  <c r="H1108" i="1"/>
  <c r="K1108" i="1" s="1"/>
  <c r="M1108" i="1" s="1"/>
  <c r="Z1107" i="1"/>
  <c r="H1107" i="1"/>
  <c r="K1107" i="1" s="1"/>
  <c r="M1107" i="1" s="1"/>
  <c r="Z1106" i="1"/>
  <c r="H1106" i="1"/>
  <c r="K1106" i="1" s="1"/>
  <c r="M1106" i="1" s="1"/>
  <c r="Z1105" i="1"/>
  <c r="H1105" i="1"/>
  <c r="K1105" i="1" s="1"/>
  <c r="M1105" i="1" s="1"/>
  <c r="Z1104" i="1"/>
  <c r="H1104" i="1"/>
  <c r="K1104" i="1" s="1"/>
  <c r="M1104" i="1" s="1"/>
  <c r="Z1103" i="1"/>
  <c r="H1103" i="1"/>
  <c r="K1103" i="1" s="1"/>
  <c r="M1103" i="1" s="1"/>
  <c r="Z1102" i="1"/>
  <c r="H1102" i="1"/>
  <c r="K1102" i="1" s="1"/>
  <c r="M1102" i="1" s="1"/>
  <c r="Z1101" i="1"/>
  <c r="H1101" i="1"/>
  <c r="K1101" i="1" s="1"/>
  <c r="M1101" i="1" s="1"/>
  <c r="Z1100" i="1"/>
  <c r="H1100" i="1"/>
  <c r="K1100" i="1" s="1"/>
  <c r="M1100" i="1" s="1"/>
  <c r="Z1099" i="1"/>
  <c r="H1099" i="1"/>
  <c r="K1099" i="1" s="1"/>
  <c r="M1099" i="1" s="1"/>
  <c r="Z1098" i="1"/>
  <c r="H1098" i="1"/>
  <c r="K1098" i="1" s="1"/>
  <c r="M1098" i="1" s="1"/>
  <c r="Z1097" i="1"/>
  <c r="H1097" i="1"/>
  <c r="K1097" i="1" s="1"/>
  <c r="M1097" i="1" s="1"/>
  <c r="Z1096" i="1"/>
  <c r="H1096" i="1"/>
  <c r="K1096" i="1" s="1"/>
  <c r="M1096" i="1" s="1"/>
  <c r="Z1095" i="1"/>
  <c r="K1095" i="1"/>
  <c r="M1095" i="1" s="1"/>
  <c r="H1095" i="1"/>
  <c r="Z1094" i="1"/>
  <c r="K1094" i="1"/>
  <c r="M1094" i="1" s="1"/>
  <c r="H1094" i="1"/>
  <c r="Z1093" i="1"/>
  <c r="H1093" i="1"/>
  <c r="K1093" i="1" s="1"/>
  <c r="M1093" i="1" s="1"/>
  <c r="Z1092" i="1"/>
  <c r="H1092" i="1"/>
  <c r="K1092" i="1" s="1"/>
  <c r="M1092" i="1" s="1"/>
  <c r="Z1091" i="1"/>
  <c r="H1091" i="1"/>
  <c r="K1091" i="1" s="1"/>
  <c r="M1091" i="1" s="1"/>
  <c r="Z1090" i="1"/>
  <c r="H1090" i="1"/>
  <c r="K1090" i="1" s="1"/>
  <c r="M1090" i="1" s="1"/>
  <c r="Z1089" i="1"/>
  <c r="H1089" i="1"/>
  <c r="K1089" i="1" s="1"/>
  <c r="M1089" i="1" s="1"/>
  <c r="Z1088" i="1"/>
  <c r="H1088" i="1"/>
  <c r="K1088" i="1" s="1"/>
  <c r="M1088" i="1" s="1"/>
  <c r="Z1087" i="1"/>
  <c r="H1087" i="1"/>
  <c r="K1087" i="1" s="1"/>
  <c r="M1087" i="1" s="1"/>
  <c r="Z1086" i="1"/>
  <c r="H1086" i="1"/>
  <c r="K1086" i="1" s="1"/>
  <c r="M1086" i="1" s="1"/>
  <c r="Z1085" i="1"/>
  <c r="H1085" i="1"/>
  <c r="K1085" i="1" s="1"/>
  <c r="M1085" i="1" s="1"/>
  <c r="Z1084" i="1"/>
  <c r="H1084" i="1"/>
  <c r="K1084" i="1" s="1"/>
  <c r="M1084" i="1" s="1"/>
  <c r="Z1083" i="1"/>
  <c r="H1083" i="1"/>
  <c r="K1083" i="1" s="1"/>
  <c r="M1083" i="1" s="1"/>
  <c r="Z1082" i="1"/>
  <c r="H1082" i="1"/>
  <c r="K1082" i="1" s="1"/>
  <c r="M1082" i="1" s="1"/>
  <c r="Z1081" i="1"/>
  <c r="H1081" i="1"/>
  <c r="K1081" i="1" s="1"/>
  <c r="M1081" i="1" s="1"/>
  <c r="Z1080" i="1"/>
  <c r="H1080" i="1"/>
  <c r="K1080" i="1" s="1"/>
  <c r="M1080" i="1" s="1"/>
  <c r="Z1079" i="1"/>
  <c r="H1079" i="1"/>
  <c r="K1079" i="1" s="1"/>
  <c r="M1079" i="1" s="1"/>
  <c r="Z1078" i="1"/>
  <c r="H1078" i="1"/>
  <c r="K1078" i="1" s="1"/>
  <c r="M1078" i="1" s="1"/>
  <c r="Z1077" i="1"/>
  <c r="H1077" i="1"/>
  <c r="K1077" i="1" s="1"/>
  <c r="M1077" i="1" s="1"/>
  <c r="Z1076" i="1"/>
  <c r="H1076" i="1"/>
  <c r="K1076" i="1" s="1"/>
  <c r="M1076" i="1" s="1"/>
  <c r="Z1075" i="1"/>
  <c r="H1075" i="1"/>
  <c r="K1075" i="1" s="1"/>
  <c r="M1075" i="1" s="1"/>
  <c r="Z1074" i="1"/>
  <c r="H1074" i="1"/>
  <c r="K1074" i="1" s="1"/>
  <c r="M1074" i="1" s="1"/>
  <c r="Z1073" i="1"/>
  <c r="H1073" i="1"/>
  <c r="K1073" i="1" s="1"/>
  <c r="M1073" i="1" s="1"/>
  <c r="Z1072" i="1"/>
  <c r="H1072" i="1"/>
  <c r="K1072" i="1" s="1"/>
  <c r="M1072" i="1" s="1"/>
  <c r="Z1071" i="1"/>
  <c r="H1071" i="1"/>
  <c r="K1071" i="1" s="1"/>
  <c r="M1071" i="1" s="1"/>
  <c r="Z1070" i="1"/>
  <c r="M1070" i="1"/>
  <c r="H1070" i="1"/>
  <c r="Z1069" i="1"/>
  <c r="H1069" i="1"/>
  <c r="K1069" i="1" s="1"/>
  <c r="M1069" i="1" s="1"/>
  <c r="Z1068" i="1"/>
  <c r="H1068" i="1"/>
  <c r="K1068" i="1" s="1"/>
  <c r="M1068" i="1" s="1"/>
  <c r="Z1067" i="1"/>
  <c r="H1067" i="1"/>
  <c r="K1067" i="1" s="1"/>
  <c r="M1067" i="1" s="1"/>
  <c r="Z1066" i="1"/>
  <c r="H1066" i="1"/>
  <c r="K1066" i="1" s="1"/>
  <c r="M1066" i="1" s="1"/>
  <c r="Z1065" i="1"/>
  <c r="H1065" i="1"/>
  <c r="K1065" i="1" s="1"/>
  <c r="M1065" i="1" s="1"/>
  <c r="Z1064" i="1"/>
  <c r="H1064" i="1"/>
  <c r="K1064" i="1" s="1"/>
  <c r="M1064" i="1" s="1"/>
  <c r="Z1063" i="1"/>
  <c r="H1063" i="1"/>
  <c r="K1063" i="1" s="1"/>
  <c r="M1063" i="1" s="1"/>
  <c r="Z1062" i="1"/>
  <c r="M1062" i="1"/>
  <c r="H1062" i="1"/>
  <c r="Z1061" i="1"/>
  <c r="H1061" i="1"/>
  <c r="K1061" i="1" s="1"/>
  <c r="M1061" i="1" s="1"/>
  <c r="Z1060" i="1"/>
  <c r="H1060" i="1"/>
  <c r="K1060" i="1" s="1"/>
  <c r="M1060" i="1" s="1"/>
  <c r="Z1059" i="1"/>
  <c r="H1059" i="1"/>
  <c r="K1059" i="1" s="1"/>
  <c r="M1059" i="1" s="1"/>
  <c r="Z1058" i="1"/>
  <c r="H1058" i="1"/>
  <c r="K1058" i="1" s="1"/>
  <c r="M1058" i="1" s="1"/>
  <c r="Z1057" i="1"/>
  <c r="H1057" i="1"/>
  <c r="K1057" i="1" s="1"/>
  <c r="M1057" i="1" s="1"/>
  <c r="Z1056" i="1"/>
  <c r="H1056" i="1"/>
  <c r="K1056" i="1" s="1"/>
  <c r="M1056" i="1" s="1"/>
  <c r="Z1055" i="1"/>
  <c r="H1055" i="1"/>
  <c r="K1055" i="1" s="1"/>
  <c r="M1055" i="1" s="1"/>
  <c r="Z1054" i="1"/>
  <c r="H1054" i="1"/>
  <c r="K1054" i="1" s="1"/>
  <c r="M1054" i="1" s="1"/>
  <c r="Z1053" i="1"/>
  <c r="H1053" i="1"/>
  <c r="K1053" i="1" s="1"/>
  <c r="M1053" i="1" s="1"/>
  <c r="Z1052" i="1"/>
  <c r="H1052" i="1"/>
  <c r="K1052" i="1" s="1"/>
  <c r="M1052" i="1" s="1"/>
  <c r="Z1051" i="1"/>
  <c r="H1051" i="1"/>
  <c r="K1051" i="1" s="1"/>
  <c r="M1051" i="1" s="1"/>
  <c r="Z1050" i="1"/>
  <c r="H1050" i="1"/>
  <c r="K1050" i="1" s="1"/>
  <c r="M1050" i="1" s="1"/>
  <c r="Z1049" i="1"/>
  <c r="H1049" i="1"/>
  <c r="K1049" i="1" s="1"/>
  <c r="M1049" i="1" s="1"/>
  <c r="Z1048" i="1"/>
  <c r="H1048" i="1"/>
  <c r="K1048" i="1" s="1"/>
  <c r="M1048" i="1" s="1"/>
  <c r="Z1047" i="1"/>
  <c r="H1047" i="1"/>
  <c r="K1047" i="1" s="1"/>
  <c r="M1047" i="1" s="1"/>
  <c r="Z1046" i="1"/>
  <c r="H1046" i="1"/>
  <c r="K1046" i="1" s="1"/>
  <c r="M1046" i="1" s="1"/>
  <c r="Z1045" i="1"/>
  <c r="H1045" i="1"/>
  <c r="K1045" i="1" s="1"/>
  <c r="M1045" i="1" s="1"/>
  <c r="Z1044" i="1"/>
  <c r="K1044" i="1"/>
  <c r="M1044" i="1" s="1"/>
  <c r="H1044" i="1"/>
  <c r="Z1043" i="1"/>
  <c r="H1043" i="1"/>
  <c r="K1043" i="1" s="1"/>
  <c r="M1043" i="1" s="1"/>
  <c r="Z1042" i="1"/>
  <c r="H1042" i="1"/>
  <c r="K1042" i="1" s="1"/>
  <c r="M1042" i="1" s="1"/>
  <c r="Z1041" i="1"/>
  <c r="H1041" i="1"/>
  <c r="K1041" i="1" s="1"/>
  <c r="M1041" i="1" s="1"/>
  <c r="Z1040" i="1"/>
  <c r="K1040" i="1"/>
  <c r="M1040" i="1" s="1"/>
  <c r="H1040" i="1"/>
  <c r="Z1039" i="1"/>
  <c r="H1039" i="1"/>
  <c r="K1039" i="1" s="1"/>
  <c r="M1039" i="1" s="1"/>
  <c r="Z1038" i="1"/>
  <c r="K1038" i="1"/>
  <c r="M1038" i="1" s="1"/>
  <c r="H1038" i="1"/>
  <c r="Z1037" i="1"/>
  <c r="H1037" i="1"/>
  <c r="K1037" i="1" s="1"/>
  <c r="M1037" i="1" s="1"/>
  <c r="Z1036" i="1"/>
  <c r="M1036" i="1"/>
  <c r="H1036" i="1"/>
  <c r="Z1035" i="1"/>
  <c r="M1035" i="1"/>
  <c r="H1035" i="1"/>
  <c r="Z1034" i="1"/>
  <c r="H1034" i="1"/>
  <c r="K1034" i="1" s="1"/>
  <c r="M1034" i="1" s="1"/>
  <c r="Z1033" i="1"/>
  <c r="H1033" i="1"/>
  <c r="K1033" i="1" s="1"/>
  <c r="M1033" i="1" s="1"/>
  <c r="Z1032" i="1"/>
  <c r="H1032" i="1"/>
  <c r="K1032" i="1" s="1"/>
  <c r="M1032" i="1" s="1"/>
  <c r="Z1031" i="1"/>
  <c r="H1031" i="1"/>
  <c r="K1031" i="1" s="1"/>
  <c r="M1031" i="1" s="1"/>
  <c r="Z1030" i="1"/>
  <c r="H1030" i="1"/>
  <c r="K1030" i="1" s="1"/>
  <c r="M1030" i="1" s="1"/>
  <c r="Z1029" i="1"/>
  <c r="H1029" i="1"/>
  <c r="K1029" i="1" s="1"/>
  <c r="M1029" i="1" s="1"/>
  <c r="Z1028" i="1"/>
  <c r="H1028" i="1"/>
  <c r="K1028" i="1" s="1"/>
  <c r="M1028" i="1" s="1"/>
  <c r="Z1027" i="1"/>
  <c r="H1027" i="1"/>
  <c r="K1027" i="1" s="1"/>
  <c r="M1027" i="1" s="1"/>
  <c r="Z1026" i="1"/>
  <c r="H1026" i="1"/>
  <c r="K1026" i="1" s="1"/>
  <c r="M1026" i="1" s="1"/>
  <c r="Z1025" i="1"/>
  <c r="H1025" i="1"/>
  <c r="K1025" i="1" s="1"/>
  <c r="M1025" i="1" s="1"/>
  <c r="Z1024" i="1"/>
  <c r="H1024" i="1"/>
  <c r="K1024" i="1" s="1"/>
  <c r="M1024" i="1" s="1"/>
  <c r="Z1023" i="1"/>
  <c r="H1023" i="1"/>
  <c r="K1023" i="1" s="1"/>
  <c r="M1023" i="1" s="1"/>
  <c r="Z1022" i="1"/>
  <c r="H1022" i="1"/>
  <c r="K1022" i="1" s="1"/>
  <c r="M1022" i="1" s="1"/>
  <c r="Z1021" i="1"/>
  <c r="H1021" i="1"/>
  <c r="K1021" i="1" s="1"/>
  <c r="M1021" i="1" s="1"/>
  <c r="Z1020" i="1"/>
  <c r="H1020" i="1"/>
  <c r="K1020" i="1" s="1"/>
  <c r="M1020" i="1" s="1"/>
  <c r="Z1019" i="1"/>
  <c r="H1019" i="1"/>
  <c r="K1019" i="1" s="1"/>
  <c r="M1019" i="1" s="1"/>
  <c r="Z1018" i="1"/>
  <c r="H1018" i="1"/>
  <c r="K1018" i="1" s="1"/>
  <c r="M1018" i="1" s="1"/>
  <c r="Z1017" i="1"/>
  <c r="H1017" i="1"/>
  <c r="K1017" i="1" s="1"/>
  <c r="M1017" i="1" s="1"/>
  <c r="Z1016" i="1"/>
  <c r="H1016" i="1"/>
  <c r="K1016" i="1" s="1"/>
  <c r="M1016" i="1" s="1"/>
  <c r="Z1015" i="1"/>
  <c r="H1015" i="1"/>
  <c r="K1015" i="1" s="1"/>
  <c r="M1015" i="1" s="1"/>
  <c r="Z1014" i="1"/>
  <c r="H1014" i="1"/>
  <c r="K1014" i="1" s="1"/>
  <c r="M1014" i="1" s="1"/>
  <c r="Z1013" i="1"/>
  <c r="H1013" i="1"/>
  <c r="K1013" i="1" s="1"/>
  <c r="M1013" i="1" s="1"/>
  <c r="Z1012" i="1"/>
  <c r="H1012" i="1"/>
  <c r="K1012" i="1" s="1"/>
  <c r="M1012" i="1" s="1"/>
  <c r="Z1011" i="1"/>
  <c r="H1011" i="1"/>
  <c r="K1011" i="1" s="1"/>
  <c r="M1011" i="1" s="1"/>
  <c r="Z1010" i="1"/>
  <c r="H1010" i="1"/>
  <c r="K1010" i="1" s="1"/>
  <c r="M1010" i="1" s="1"/>
  <c r="Z1009" i="1"/>
  <c r="K1009" i="1"/>
  <c r="M1009" i="1" s="1"/>
  <c r="H1009" i="1"/>
  <c r="Z1008" i="1"/>
  <c r="H1008" i="1"/>
  <c r="K1008" i="1" s="1"/>
  <c r="M1008" i="1" s="1"/>
  <c r="Z1007" i="1"/>
  <c r="K1007" i="1"/>
  <c r="M1007" i="1" s="1"/>
  <c r="H1007" i="1"/>
  <c r="Z1006" i="1"/>
  <c r="H1006" i="1"/>
  <c r="K1006" i="1" s="1"/>
  <c r="M1006" i="1" s="1"/>
  <c r="Z1005" i="1"/>
  <c r="H1005" i="1"/>
  <c r="K1005" i="1" s="1"/>
  <c r="M1005" i="1" s="1"/>
  <c r="Z1004" i="1"/>
  <c r="H1004" i="1"/>
  <c r="K1004" i="1" s="1"/>
  <c r="M1004" i="1" s="1"/>
  <c r="Z1003" i="1"/>
  <c r="H1003" i="1"/>
  <c r="K1003" i="1" s="1"/>
  <c r="M1003" i="1" s="1"/>
  <c r="Z1002" i="1"/>
  <c r="H1002" i="1"/>
  <c r="K1002" i="1" s="1"/>
  <c r="M1002" i="1" s="1"/>
  <c r="Z1001" i="1"/>
  <c r="H1001" i="1"/>
  <c r="K1001" i="1" s="1"/>
  <c r="M1001" i="1" s="1"/>
  <c r="Z1000" i="1"/>
  <c r="H1000" i="1"/>
  <c r="K1000" i="1" s="1"/>
  <c r="M1000" i="1" s="1"/>
  <c r="Z999" i="1"/>
  <c r="H999" i="1"/>
  <c r="K999" i="1" s="1"/>
  <c r="M999" i="1" s="1"/>
  <c r="Z998" i="1"/>
  <c r="H998" i="1"/>
  <c r="K998" i="1" s="1"/>
  <c r="M998" i="1" s="1"/>
  <c r="Z997" i="1"/>
  <c r="H997" i="1"/>
  <c r="K997" i="1" s="1"/>
  <c r="M997" i="1" s="1"/>
  <c r="Z996" i="1"/>
  <c r="H996" i="1"/>
  <c r="K996" i="1" s="1"/>
  <c r="M996" i="1" s="1"/>
  <c r="Z995" i="1"/>
  <c r="H995" i="1"/>
  <c r="K995" i="1" s="1"/>
  <c r="M995" i="1" s="1"/>
  <c r="Z994" i="1"/>
  <c r="H994" i="1"/>
  <c r="K994" i="1" s="1"/>
  <c r="M994" i="1" s="1"/>
  <c r="Z993" i="1"/>
  <c r="H993" i="1"/>
  <c r="K993" i="1" s="1"/>
  <c r="M993" i="1" s="1"/>
  <c r="Z992" i="1"/>
  <c r="K992" i="1"/>
  <c r="M992" i="1" s="1"/>
  <c r="H992" i="1"/>
  <c r="Z991" i="1"/>
  <c r="H991" i="1"/>
  <c r="K991" i="1" s="1"/>
  <c r="M991" i="1" s="1"/>
  <c r="Z990" i="1"/>
  <c r="H990" i="1"/>
  <c r="K990" i="1" s="1"/>
  <c r="M990" i="1" s="1"/>
  <c r="Z989" i="1"/>
  <c r="H989" i="1"/>
  <c r="K989" i="1" s="1"/>
  <c r="M989" i="1" s="1"/>
  <c r="Z988" i="1"/>
  <c r="H988" i="1"/>
  <c r="K988" i="1" s="1"/>
  <c r="M988" i="1" s="1"/>
  <c r="Z987" i="1"/>
  <c r="H987" i="1"/>
  <c r="K987" i="1" s="1"/>
  <c r="M987" i="1" s="1"/>
  <c r="Z986" i="1"/>
  <c r="H986" i="1"/>
  <c r="K986" i="1" s="1"/>
  <c r="M986" i="1" s="1"/>
  <c r="Z985" i="1"/>
  <c r="K985" i="1"/>
  <c r="M985" i="1" s="1"/>
  <c r="H985" i="1"/>
  <c r="Z984" i="1"/>
  <c r="K984" i="1"/>
  <c r="M984" i="1" s="1"/>
  <c r="H984" i="1"/>
  <c r="Z983" i="1"/>
  <c r="K983" i="1"/>
  <c r="M983" i="1" s="1"/>
  <c r="H983" i="1"/>
  <c r="Z982" i="1"/>
  <c r="H982" i="1"/>
  <c r="K982" i="1" s="1"/>
  <c r="M982" i="1" s="1"/>
  <c r="Z981" i="1"/>
  <c r="H981" i="1"/>
  <c r="K981" i="1" s="1"/>
  <c r="M981" i="1" s="1"/>
  <c r="Z980" i="1"/>
  <c r="M980" i="1"/>
  <c r="H980" i="1"/>
  <c r="Z979" i="1"/>
  <c r="H979" i="1"/>
  <c r="K979" i="1" s="1"/>
  <c r="M979" i="1" s="1"/>
  <c r="Z978" i="1"/>
  <c r="H978" i="1"/>
  <c r="K978" i="1" s="1"/>
  <c r="M978" i="1" s="1"/>
  <c r="Z977" i="1"/>
  <c r="H977" i="1"/>
  <c r="K977" i="1" s="1"/>
  <c r="M977" i="1" s="1"/>
  <c r="Z976" i="1"/>
  <c r="M976" i="1"/>
  <c r="H976" i="1"/>
  <c r="Z975" i="1"/>
  <c r="M975" i="1"/>
  <c r="H975" i="1"/>
  <c r="Z974" i="1"/>
  <c r="M974" i="1"/>
  <c r="H974" i="1"/>
  <c r="Z973" i="1"/>
  <c r="M973" i="1"/>
  <c r="H973" i="1"/>
  <c r="Z972" i="1"/>
  <c r="H972" i="1"/>
  <c r="K972" i="1" s="1"/>
  <c r="M972" i="1" s="1"/>
  <c r="Z971" i="1"/>
  <c r="H971" i="1"/>
  <c r="K971" i="1" s="1"/>
  <c r="M971" i="1" s="1"/>
  <c r="Z970" i="1"/>
  <c r="H970" i="1"/>
  <c r="K970" i="1" s="1"/>
  <c r="M970" i="1" s="1"/>
  <c r="Z969" i="1"/>
  <c r="H969" i="1"/>
  <c r="K969" i="1" s="1"/>
  <c r="M969" i="1" s="1"/>
  <c r="Z968" i="1"/>
  <c r="H968" i="1"/>
  <c r="K968" i="1" s="1"/>
  <c r="M968" i="1" s="1"/>
  <c r="Z967" i="1"/>
  <c r="H967" i="1"/>
  <c r="K967" i="1" s="1"/>
  <c r="M967" i="1" s="1"/>
  <c r="Z966" i="1"/>
  <c r="K966" i="1"/>
  <c r="M966" i="1" s="1"/>
  <c r="H966" i="1"/>
  <c r="Z965" i="1"/>
  <c r="K965" i="1"/>
  <c r="M965" i="1" s="1"/>
  <c r="H965" i="1"/>
  <c r="Z964" i="1"/>
  <c r="H964" i="1"/>
  <c r="K964" i="1" s="1"/>
  <c r="M964" i="1" s="1"/>
  <c r="Z963" i="1"/>
  <c r="K963" i="1"/>
  <c r="M963" i="1" s="1"/>
  <c r="H963" i="1"/>
  <c r="Z962" i="1"/>
  <c r="H962" i="1"/>
  <c r="K962" i="1" s="1"/>
  <c r="M962" i="1" s="1"/>
  <c r="Z961" i="1"/>
  <c r="K961" i="1"/>
  <c r="M961" i="1" s="1"/>
  <c r="H961" i="1"/>
  <c r="Z960" i="1"/>
  <c r="H960" i="1"/>
  <c r="K960" i="1" s="1"/>
  <c r="M960" i="1" s="1"/>
  <c r="Z959" i="1"/>
  <c r="H959" i="1"/>
  <c r="K959" i="1" s="1"/>
  <c r="M959" i="1" s="1"/>
  <c r="Z958" i="1"/>
  <c r="H958" i="1"/>
  <c r="K958" i="1" s="1"/>
  <c r="M958" i="1" s="1"/>
  <c r="Z957" i="1"/>
  <c r="H957" i="1"/>
  <c r="K957" i="1" s="1"/>
  <c r="M957" i="1" s="1"/>
  <c r="Z956" i="1"/>
  <c r="H956" i="1"/>
  <c r="K956" i="1" s="1"/>
  <c r="M956" i="1" s="1"/>
  <c r="Z955" i="1"/>
  <c r="H955" i="1"/>
  <c r="K955" i="1" s="1"/>
  <c r="M955" i="1" s="1"/>
  <c r="Z954" i="1"/>
  <c r="M954" i="1"/>
  <c r="H954" i="1"/>
  <c r="Z953" i="1"/>
  <c r="M953" i="1"/>
  <c r="H953" i="1"/>
  <c r="Z952" i="1"/>
  <c r="M952" i="1"/>
  <c r="H952" i="1"/>
  <c r="Z951" i="1"/>
  <c r="M951" i="1"/>
  <c r="H951" i="1"/>
  <c r="Z950" i="1"/>
  <c r="M950" i="1"/>
  <c r="H950" i="1"/>
  <c r="Z949" i="1"/>
  <c r="M949" i="1"/>
  <c r="H949" i="1"/>
  <c r="Z948" i="1"/>
  <c r="M948" i="1"/>
  <c r="H948" i="1"/>
  <c r="Z947" i="1"/>
  <c r="M947" i="1"/>
  <c r="H947" i="1"/>
  <c r="Z946" i="1"/>
  <c r="M946" i="1"/>
  <c r="H946" i="1"/>
  <c r="Z945" i="1"/>
  <c r="M945" i="1"/>
  <c r="H945" i="1"/>
  <c r="Z944" i="1"/>
  <c r="M944" i="1"/>
  <c r="H944" i="1"/>
  <c r="Z943" i="1"/>
  <c r="M943" i="1"/>
  <c r="H943" i="1"/>
  <c r="Z942" i="1"/>
  <c r="M942" i="1"/>
  <c r="H942" i="1"/>
  <c r="Z941" i="1"/>
  <c r="M941" i="1"/>
  <c r="H941" i="1"/>
  <c r="Z940" i="1"/>
  <c r="M940" i="1"/>
  <c r="H940" i="1"/>
  <c r="Z939" i="1"/>
  <c r="M939" i="1"/>
  <c r="H939" i="1"/>
  <c r="Z938" i="1"/>
  <c r="M938" i="1"/>
  <c r="H938" i="1"/>
  <c r="Z937" i="1"/>
  <c r="M937" i="1"/>
  <c r="H937" i="1"/>
  <c r="Z936" i="1"/>
  <c r="M936" i="1"/>
  <c r="H936" i="1"/>
  <c r="Z935" i="1"/>
  <c r="M935" i="1"/>
  <c r="H935" i="1"/>
  <c r="Z934" i="1"/>
  <c r="M934" i="1"/>
  <c r="H934" i="1"/>
  <c r="Z933" i="1"/>
  <c r="M933" i="1"/>
  <c r="H933" i="1"/>
  <c r="Z932" i="1"/>
  <c r="M932" i="1"/>
  <c r="H932" i="1"/>
  <c r="Z931" i="1"/>
  <c r="M931" i="1"/>
  <c r="H931" i="1"/>
  <c r="Z930" i="1"/>
  <c r="M930" i="1"/>
  <c r="H930" i="1"/>
  <c r="Z929" i="1"/>
  <c r="M929" i="1"/>
  <c r="H929" i="1"/>
  <c r="Z928" i="1"/>
  <c r="M928" i="1"/>
  <c r="H928" i="1"/>
  <c r="Z927" i="1"/>
  <c r="H927" i="1"/>
  <c r="K927" i="1" s="1"/>
  <c r="M927" i="1" s="1"/>
  <c r="Z926" i="1"/>
  <c r="H926" i="1"/>
  <c r="K926" i="1" s="1"/>
  <c r="M926" i="1" s="1"/>
  <c r="Z925" i="1"/>
  <c r="K925" i="1"/>
  <c r="M925" i="1" s="1"/>
  <c r="H925" i="1"/>
  <c r="Z924" i="1"/>
  <c r="K924" i="1"/>
  <c r="M924" i="1" s="1"/>
  <c r="H924" i="1"/>
  <c r="Z923" i="1"/>
  <c r="M923" i="1"/>
  <c r="H923" i="1"/>
  <c r="Z922" i="1"/>
  <c r="H922" i="1"/>
  <c r="K922" i="1" s="1"/>
  <c r="M922" i="1" s="1"/>
  <c r="Z921" i="1"/>
  <c r="H921" i="1"/>
  <c r="K921" i="1" s="1"/>
  <c r="M921" i="1" s="1"/>
  <c r="Z920" i="1"/>
  <c r="H920" i="1"/>
  <c r="K920" i="1" s="1"/>
  <c r="M920" i="1" s="1"/>
  <c r="Z919" i="1"/>
  <c r="H919" i="1"/>
  <c r="K919" i="1" s="1"/>
  <c r="M919" i="1" s="1"/>
  <c r="Z918" i="1"/>
  <c r="H918" i="1"/>
  <c r="K918" i="1" s="1"/>
  <c r="M918" i="1" s="1"/>
  <c r="Z917" i="1"/>
  <c r="H917" i="1"/>
  <c r="K917" i="1" s="1"/>
  <c r="M917" i="1" s="1"/>
  <c r="Z916" i="1"/>
  <c r="H916" i="1"/>
  <c r="K916" i="1" s="1"/>
  <c r="M916" i="1" s="1"/>
  <c r="Z915" i="1"/>
  <c r="K915" i="1"/>
  <c r="M915" i="1" s="1"/>
  <c r="H915" i="1"/>
  <c r="Z914" i="1"/>
  <c r="H914" i="1"/>
  <c r="K914" i="1" s="1"/>
  <c r="M914" i="1" s="1"/>
  <c r="Z913" i="1"/>
  <c r="H913" i="1"/>
  <c r="K913" i="1" s="1"/>
  <c r="M913" i="1" s="1"/>
  <c r="Z912" i="1"/>
  <c r="H912" i="1"/>
  <c r="K912" i="1" s="1"/>
  <c r="M912" i="1" s="1"/>
  <c r="Z911" i="1"/>
  <c r="H911" i="1"/>
  <c r="K911" i="1" s="1"/>
  <c r="M911" i="1" s="1"/>
  <c r="Z910" i="1"/>
  <c r="H910" i="1"/>
  <c r="K910" i="1" s="1"/>
  <c r="M910" i="1" s="1"/>
  <c r="Z909" i="1"/>
  <c r="H909" i="1"/>
  <c r="K909" i="1" s="1"/>
  <c r="M909" i="1" s="1"/>
  <c r="Z908" i="1"/>
  <c r="H908" i="1"/>
  <c r="K908" i="1" s="1"/>
  <c r="M908" i="1" s="1"/>
  <c r="Z907" i="1"/>
  <c r="H907" i="1"/>
  <c r="K907" i="1" s="1"/>
  <c r="M907" i="1" s="1"/>
  <c r="Z906" i="1"/>
  <c r="H906" i="1"/>
  <c r="K906" i="1" s="1"/>
  <c r="M906" i="1" s="1"/>
  <c r="Z905" i="1"/>
  <c r="M905" i="1"/>
  <c r="H905" i="1"/>
  <c r="Z904" i="1"/>
  <c r="H904" i="1"/>
  <c r="K904" i="1" s="1"/>
  <c r="M904" i="1" s="1"/>
  <c r="Z903" i="1"/>
  <c r="H903" i="1"/>
  <c r="K903" i="1" s="1"/>
  <c r="M903" i="1" s="1"/>
  <c r="Z902" i="1"/>
  <c r="M902" i="1"/>
  <c r="H902" i="1"/>
  <c r="Z901" i="1"/>
  <c r="H901" i="1"/>
  <c r="K901" i="1" s="1"/>
  <c r="M901" i="1" s="1"/>
  <c r="Z900" i="1"/>
  <c r="H900" i="1"/>
  <c r="K900" i="1" s="1"/>
  <c r="M900" i="1" s="1"/>
  <c r="Z899" i="1"/>
  <c r="H899" i="1"/>
  <c r="K899" i="1" s="1"/>
  <c r="M899" i="1" s="1"/>
  <c r="Z898" i="1"/>
  <c r="H898" i="1"/>
  <c r="K898" i="1" s="1"/>
  <c r="M898" i="1" s="1"/>
  <c r="Z897" i="1"/>
  <c r="H897" i="1"/>
  <c r="K897" i="1" s="1"/>
  <c r="M897" i="1" s="1"/>
  <c r="Z896" i="1"/>
  <c r="H896" i="1"/>
  <c r="K896" i="1" s="1"/>
  <c r="M896" i="1" s="1"/>
  <c r="Z895" i="1"/>
  <c r="H895" i="1"/>
  <c r="K895" i="1" s="1"/>
  <c r="M895" i="1" s="1"/>
  <c r="Z894" i="1"/>
  <c r="H894" i="1"/>
  <c r="K894" i="1" s="1"/>
  <c r="M894" i="1" s="1"/>
  <c r="Z893" i="1"/>
  <c r="H893" i="1"/>
  <c r="K893" i="1" s="1"/>
  <c r="M893" i="1" s="1"/>
  <c r="Z892" i="1"/>
  <c r="K892" i="1"/>
  <c r="M892" i="1" s="1"/>
  <c r="H892" i="1"/>
  <c r="Z891" i="1"/>
  <c r="K891" i="1"/>
  <c r="M891" i="1" s="1"/>
  <c r="H891" i="1"/>
  <c r="Z890" i="1"/>
  <c r="H890" i="1"/>
  <c r="K890" i="1" s="1"/>
  <c r="M890" i="1" s="1"/>
  <c r="Z889" i="1"/>
  <c r="K889" i="1"/>
  <c r="M889" i="1" s="1"/>
  <c r="H889" i="1"/>
  <c r="Z888" i="1"/>
  <c r="K888" i="1"/>
  <c r="M888" i="1" s="1"/>
  <c r="H888" i="1"/>
  <c r="Z887" i="1"/>
  <c r="K887" i="1"/>
  <c r="M887" i="1" s="1"/>
  <c r="H887" i="1"/>
  <c r="Z886" i="1"/>
  <c r="M886" i="1"/>
  <c r="H886" i="1"/>
  <c r="Z885" i="1"/>
  <c r="H885" i="1"/>
  <c r="K885" i="1" s="1"/>
  <c r="M885" i="1" s="1"/>
  <c r="Z884" i="1"/>
  <c r="K884" i="1"/>
  <c r="M884" i="1" s="1"/>
  <c r="H884" i="1"/>
  <c r="Z883" i="1"/>
  <c r="M883" i="1"/>
  <c r="H883" i="1"/>
  <c r="Z882" i="1"/>
  <c r="H882" i="1"/>
  <c r="K882" i="1" s="1"/>
  <c r="M882" i="1" s="1"/>
  <c r="Z881" i="1"/>
  <c r="H881" i="1"/>
  <c r="K881" i="1" s="1"/>
  <c r="M881" i="1" s="1"/>
  <c r="Z880" i="1"/>
  <c r="H880" i="1"/>
  <c r="K880" i="1" s="1"/>
  <c r="M880" i="1" s="1"/>
  <c r="Z879" i="1"/>
  <c r="K879" i="1"/>
  <c r="M879" i="1" s="1"/>
  <c r="H879" i="1"/>
  <c r="Z878" i="1"/>
  <c r="K878" i="1"/>
  <c r="M878" i="1" s="1"/>
  <c r="H878" i="1"/>
  <c r="Z877" i="1"/>
  <c r="K877" i="1"/>
  <c r="M877" i="1" s="1"/>
  <c r="H877" i="1"/>
  <c r="Z876" i="1"/>
  <c r="K876" i="1"/>
  <c r="M876" i="1" s="1"/>
  <c r="H876" i="1"/>
  <c r="Z875" i="1"/>
  <c r="K875" i="1"/>
  <c r="M875" i="1" s="1"/>
  <c r="H875" i="1"/>
  <c r="Z874" i="1"/>
  <c r="H874" i="1"/>
  <c r="K874" i="1" s="1"/>
  <c r="M874" i="1" s="1"/>
  <c r="Z873" i="1"/>
  <c r="H873" i="1"/>
  <c r="K873" i="1" s="1"/>
  <c r="M873" i="1" s="1"/>
  <c r="Z872" i="1"/>
  <c r="H872" i="1"/>
  <c r="K872" i="1" s="1"/>
  <c r="M872" i="1" s="1"/>
  <c r="Z871" i="1"/>
  <c r="H871" i="1"/>
  <c r="K871" i="1" s="1"/>
  <c r="M871" i="1" s="1"/>
  <c r="Z870" i="1"/>
  <c r="H870" i="1"/>
  <c r="K870" i="1" s="1"/>
  <c r="M870" i="1" s="1"/>
  <c r="Z869" i="1"/>
  <c r="H869" i="1"/>
  <c r="K869" i="1" s="1"/>
  <c r="M869" i="1" s="1"/>
  <c r="Z868" i="1"/>
  <c r="H868" i="1"/>
  <c r="K868" i="1" s="1"/>
  <c r="M868" i="1" s="1"/>
  <c r="Z867" i="1"/>
  <c r="H867" i="1"/>
  <c r="K867" i="1" s="1"/>
  <c r="M867" i="1" s="1"/>
  <c r="Z866" i="1"/>
  <c r="H866" i="1"/>
  <c r="K866" i="1" s="1"/>
  <c r="M866" i="1" s="1"/>
  <c r="Z865" i="1"/>
  <c r="H865" i="1"/>
  <c r="K865" i="1" s="1"/>
  <c r="M865" i="1" s="1"/>
  <c r="Z864" i="1"/>
  <c r="H864" i="1"/>
  <c r="K864" i="1" s="1"/>
  <c r="M864" i="1" s="1"/>
  <c r="Z863" i="1"/>
  <c r="H863" i="1"/>
  <c r="K863" i="1" s="1"/>
  <c r="M863" i="1" s="1"/>
  <c r="Z862" i="1"/>
  <c r="K862" i="1"/>
  <c r="M862" i="1" s="1"/>
  <c r="H862" i="1"/>
  <c r="Z861" i="1"/>
  <c r="K861" i="1"/>
  <c r="M861" i="1" s="1"/>
  <c r="H861" i="1"/>
  <c r="Z860" i="1"/>
  <c r="K860" i="1"/>
  <c r="M860" i="1" s="1"/>
  <c r="H860" i="1"/>
  <c r="Z859" i="1"/>
  <c r="K859" i="1"/>
  <c r="M859" i="1" s="1"/>
  <c r="H859" i="1"/>
  <c r="Z858" i="1"/>
  <c r="H858" i="1"/>
  <c r="K858" i="1" s="1"/>
  <c r="M858" i="1" s="1"/>
  <c r="Z857" i="1"/>
  <c r="H857" i="1"/>
  <c r="K857" i="1" s="1"/>
  <c r="M857" i="1" s="1"/>
  <c r="Z856" i="1"/>
  <c r="H856" i="1"/>
  <c r="K856" i="1" s="1"/>
  <c r="M856" i="1" s="1"/>
  <c r="Z855" i="1"/>
  <c r="H855" i="1"/>
  <c r="K855" i="1" s="1"/>
  <c r="M855" i="1" s="1"/>
  <c r="Z854" i="1"/>
  <c r="H854" i="1"/>
  <c r="K854" i="1" s="1"/>
  <c r="M854" i="1" s="1"/>
  <c r="Z853" i="1"/>
  <c r="H853" i="1"/>
  <c r="K853" i="1" s="1"/>
  <c r="M853" i="1" s="1"/>
  <c r="Z852" i="1"/>
  <c r="H852" i="1"/>
  <c r="K852" i="1" s="1"/>
  <c r="M852" i="1" s="1"/>
  <c r="Z851" i="1"/>
  <c r="H851" i="1"/>
  <c r="K851" i="1" s="1"/>
  <c r="M851" i="1" s="1"/>
  <c r="Z850" i="1"/>
  <c r="H850" i="1"/>
  <c r="K850" i="1" s="1"/>
  <c r="M850" i="1" s="1"/>
  <c r="Z849" i="1"/>
  <c r="H849" i="1"/>
  <c r="K849" i="1" s="1"/>
  <c r="M849" i="1" s="1"/>
  <c r="Z848" i="1"/>
  <c r="K848" i="1"/>
  <c r="M848" i="1" s="1"/>
  <c r="H848" i="1"/>
  <c r="Z847" i="1"/>
  <c r="K847" i="1"/>
  <c r="M847" i="1" s="1"/>
  <c r="H847" i="1"/>
  <c r="Z846" i="1"/>
  <c r="K846" i="1"/>
  <c r="M846" i="1" s="1"/>
  <c r="H846" i="1"/>
  <c r="Z845" i="1"/>
  <c r="K845" i="1"/>
  <c r="M845" i="1" s="1"/>
  <c r="H845" i="1"/>
  <c r="Z844" i="1"/>
  <c r="K844" i="1"/>
  <c r="M844" i="1" s="1"/>
  <c r="H844" i="1"/>
  <c r="Z843" i="1"/>
  <c r="K843" i="1"/>
  <c r="M843" i="1" s="1"/>
  <c r="H843" i="1"/>
  <c r="Z842" i="1"/>
  <c r="K842" i="1"/>
  <c r="M842" i="1" s="1"/>
  <c r="H842" i="1"/>
  <c r="Z841" i="1"/>
  <c r="K841" i="1"/>
  <c r="M841" i="1" s="1"/>
  <c r="H841" i="1"/>
  <c r="Z840" i="1"/>
  <c r="K840" i="1"/>
  <c r="M840" i="1" s="1"/>
  <c r="H840" i="1"/>
  <c r="Z839" i="1"/>
  <c r="K839" i="1"/>
  <c r="M839" i="1" s="1"/>
  <c r="H839" i="1"/>
  <c r="Z838" i="1"/>
  <c r="K838" i="1"/>
  <c r="M838" i="1" s="1"/>
  <c r="H838" i="1"/>
  <c r="Z837" i="1"/>
  <c r="K837" i="1"/>
  <c r="M837" i="1" s="1"/>
  <c r="H837" i="1"/>
  <c r="Z836" i="1"/>
  <c r="K836" i="1"/>
  <c r="M836" i="1" s="1"/>
  <c r="H836" i="1"/>
  <c r="Z835" i="1"/>
  <c r="K835" i="1"/>
  <c r="M835" i="1" s="1"/>
  <c r="H835" i="1"/>
  <c r="Z834" i="1"/>
  <c r="K834" i="1"/>
  <c r="M834" i="1" s="1"/>
  <c r="H834" i="1"/>
  <c r="Z833" i="1"/>
  <c r="K833" i="1"/>
  <c r="M833" i="1" s="1"/>
  <c r="H833" i="1"/>
  <c r="Z832" i="1"/>
  <c r="K832" i="1"/>
  <c r="M832" i="1" s="1"/>
  <c r="H832" i="1"/>
  <c r="Z831" i="1"/>
  <c r="K831" i="1"/>
  <c r="M831" i="1" s="1"/>
  <c r="H831" i="1"/>
  <c r="Z830" i="1"/>
  <c r="K830" i="1"/>
  <c r="M830" i="1" s="1"/>
  <c r="H830" i="1"/>
  <c r="Z829" i="1"/>
  <c r="K829" i="1"/>
  <c r="M829" i="1" s="1"/>
  <c r="H829" i="1"/>
  <c r="Z828" i="1"/>
  <c r="K828" i="1"/>
  <c r="M828" i="1" s="1"/>
  <c r="H828" i="1"/>
  <c r="Z827" i="1"/>
  <c r="K827" i="1"/>
  <c r="M827" i="1" s="1"/>
  <c r="H827" i="1"/>
  <c r="Z826" i="1"/>
  <c r="K826" i="1"/>
  <c r="M826" i="1" s="1"/>
  <c r="H826" i="1"/>
  <c r="Z825" i="1"/>
  <c r="K825" i="1"/>
  <c r="M825" i="1" s="1"/>
  <c r="H825" i="1"/>
  <c r="Z824" i="1"/>
  <c r="K824" i="1"/>
  <c r="M824" i="1" s="1"/>
  <c r="H824" i="1"/>
  <c r="Z823" i="1"/>
  <c r="K823" i="1"/>
  <c r="M823" i="1" s="1"/>
  <c r="H823" i="1"/>
  <c r="Z822" i="1"/>
  <c r="K822" i="1"/>
  <c r="M822" i="1" s="1"/>
  <c r="H822" i="1"/>
  <c r="Z821" i="1"/>
  <c r="K821" i="1"/>
  <c r="M821" i="1" s="1"/>
  <c r="H821" i="1"/>
  <c r="Z820" i="1"/>
  <c r="K820" i="1"/>
  <c r="M820" i="1" s="1"/>
  <c r="H820" i="1"/>
  <c r="Z819" i="1"/>
  <c r="K819" i="1"/>
  <c r="M819" i="1" s="1"/>
  <c r="H819" i="1"/>
  <c r="Z818" i="1"/>
  <c r="K818" i="1"/>
  <c r="M818" i="1" s="1"/>
  <c r="H818" i="1"/>
  <c r="Z817" i="1"/>
  <c r="K817" i="1"/>
  <c r="M817" i="1" s="1"/>
  <c r="H817" i="1"/>
  <c r="Z816" i="1"/>
  <c r="K816" i="1"/>
  <c r="M816" i="1" s="1"/>
  <c r="H816" i="1"/>
  <c r="Z815" i="1"/>
  <c r="K815" i="1"/>
  <c r="M815" i="1" s="1"/>
  <c r="H815" i="1"/>
  <c r="Z814" i="1"/>
  <c r="K814" i="1"/>
  <c r="M814" i="1" s="1"/>
  <c r="H814" i="1"/>
  <c r="Z813" i="1"/>
  <c r="K813" i="1"/>
  <c r="M813" i="1" s="1"/>
  <c r="H813" i="1"/>
  <c r="Z812" i="1"/>
  <c r="K812" i="1"/>
  <c r="M812" i="1" s="1"/>
  <c r="H812" i="1"/>
  <c r="Z811" i="1"/>
  <c r="K811" i="1"/>
  <c r="M811" i="1" s="1"/>
  <c r="H811" i="1"/>
  <c r="Z810" i="1"/>
  <c r="K810" i="1"/>
  <c r="M810" i="1" s="1"/>
  <c r="H810" i="1"/>
  <c r="Z809" i="1"/>
  <c r="K809" i="1"/>
  <c r="M809" i="1" s="1"/>
  <c r="H809" i="1"/>
  <c r="Z808" i="1"/>
  <c r="K808" i="1"/>
  <c r="M808" i="1" s="1"/>
  <c r="H808" i="1"/>
  <c r="Z807" i="1"/>
  <c r="K807" i="1"/>
  <c r="M807" i="1" s="1"/>
  <c r="H807" i="1"/>
  <c r="Z806" i="1"/>
  <c r="K806" i="1"/>
  <c r="M806" i="1" s="1"/>
  <c r="H806" i="1"/>
  <c r="Z805" i="1"/>
  <c r="K805" i="1"/>
  <c r="M805" i="1" s="1"/>
  <c r="H805" i="1"/>
  <c r="Z804" i="1"/>
  <c r="K804" i="1"/>
  <c r="M804" i="1" s="1"/>
  <c r="H804" i="1"/>
  <c r="Z803" i="1"/>
  <c r="K803" i="1"/>
  <c r="M803" i="1" s="1"/>
  <c r="H803" i="1"/>
  <c r="Z802" i="1"/>
  <c r="K802" i="1"/>
  <c r="M802" i="1" s="1"/>
  <c r="H802" i="1"/>
  <c r="Z801" i="1"/>
  <c r="K801" i="1"/>
  <c r="M801" i="1" s="1"/>
  <c r="H801" i="1"/>
  <c r="Z800" i="1"/>
  <c r="K800" i="1"/>
  <c r="M800" i="1" s="1"/>
  <c r="H800" i="1"/>
  <c r="Z799" i="1"/>
  <c r="K799" i="1"/>
  <c r="M799" i="1" s="1"/>
  <c r="H799" i="1"/>
  <c r="Z798" i="1"/>
  <c r="K798" i="1"/>
  <c r="M798" i="1" s="1"/>
  <c r="H798" i="1"/>
  <c r="Z797" i="1"/>
  <c r="K797" i="1"/>
  <c r="M797" i="1" s="1"/>
  <c r="H797" i="1"/>
  <c r="Z796" i="1"/>
  <c r="K796" i="1"/>
  <c r="M796" i="1" s="1"/>
  <c r="H796" i="1"/>
  <c r="Z795" i="1"/>
  <c r="K795" i="1"/>
  <c r="M795" i="1" s="1"/>
  <c r="H795" i="1"/>
  <c r="Z794" i="1"/>
  <c r="K794" i="1"/>
  <c r="M794" i="1" s="1"/>
  <c r="H794" i="1"/>
  <c r="Z793" i="1"/>
  <c r="K793" i="1"/>
  <c r="M793" i="1" s="1"/>
  <c r="H793" i="1"/>
  <c r="Z792" i="1"/>
  <c r="K792" i="1"/>
  <c r="M792" i="1" s="1"/>
  <c r="H792" i="1"/>
  <c r="Z791" i="1"/>
  <c r="K791" i="1"/>
  <c r="M791" i="1" s="1"/>
  <c r="H791" i="1"/>
  <c r="Z790" i="1"/>
  <c r="K790" i="1"/>
  <c r="M790" i="1" s="1"/>
  <c r="H790" i="1"/>
  <c r="Z789" i="1"/>
  <c r="K789" i="1"/>
  <c r="M789" i="1" s="1"/>
  <c r="H789" i="1"/>
  <c r="Z788" i="1"/>
  <c r="K788" i="1"/>
  <c r="M788" i="1" s="1"/>
  <c r="H788" i="1"/>
  <c r="Z787" i="1"/>
  <c r="K787" i="1"/>
  <c r="M787" i="1" s="1"/>
  <c r="H787" i="1"/>
  <c r="Z786" i="1"/>
  <c r="K786" i="1"/>
  <c r="M786" i="1" s="1"/>
  <c r="H786" i="1"/>
  <c r="Z785" i="1"/>
  <c r="K785" i="1"/>
  <c r="M785" i="1" s="1"/>
  <c r="H785" i="1"/>
  <c r="Z784" i="1"/>
  <c r="K784" i="1"/>
  <c r="M784" i="1" s="1"/>
  <c r="H784" i="1"/>
  <c r="Z783" i="1"/>
  <c r="K783" i="1"/>
  <c r="M783" i="1" s="1"/>
  <c r="H783" i="1"/>
  <c r="Z782" i="1"/>
  <c r="K782" i="1"/>
  <c r="M782" i="1" s="1"/>
  <c r="H782" i="1"/>
  <c r="Z781" i="1"/>
  <c r="K781" i="1"/>
  <c r="M781" i="1" s="1"/>
  <c r="H781" i="1"/>
  <c r="Z780" i="1"/>
  <c r="K780" i="1"/>
  <c r="M780" i="1" s="1"/>
  <c r="H780" i="1"/>
  <c r="Z779" i="1"/>
  <c r="K779" i="1"/>
  <c r="M779" i="1" s="1"/>
  <c r="H779" i="1"/>
  <c r="Z778" i="1"/>
  <c r="K778" i="1"/>
  <c r="M778" i="1" s="1"/>
  <c r="H778" i="1"/>
  <c r="Z777" i="1"/>
  <c r="K777" i="1"/>
  <c r="M777" i="1" s="1"/>
  <c r="H777" i="1"/>
  <c r="Z776" i="1"/>
  <c r="K776" i="1"/>
  <c r="M776" i="1" s="1"/>
  <c r="H776" i="1"/>
  <c r="Z775" i="1"/>
  <c r="K775" i="1"/>
  <c r="M775" i="1" s="1"/>
  <c r="H775" i="1"/>
  <c r="Z774" i="1"/>
  <c r="K774" i="1"/>
  <c r="M774" i="1" s="1"/>
  <c r="H774" i="1"/>
  <c r="Z773" i="1"/>
  <c r="M773" i="1"/>
  <c r="H773" i="1"/>
  <c r="Z772" i="1"/>
  <c r="H772" i="1"/>
  <c r="K772" i="1" s="1"/>
  <c r="M772" i="1" s="1"/>
  <c r="Z771" i="1"/>
  <c r="H771" i="1"/>
  <c r="K771" i="1" s="1"/>
  <c r="M771" i="1" s="1"/>
  <c r="Z770" i="1"/>
  <c r="M770" i="1"/>
  <c r="H770" i="1"/>
  <c r="Z769" i="1"/>
  <c r="H769" i="1"/>
  <c r="K769" i="1" s="1"/>
  <c r="M769" i="1" s="1"/>
  <c r="Z768" i="1"/>
  <c r="H768" i="1"/>
  <c r="K768" i="1" s="1"/>
  <c r="M768" i="1" s="1"/>
  <c r="Z767" i="1"/>
  <c r="M767" i="1"/>
  <c r="H767" i="1"/>
  <c r="Z766" i="1"/>
  <c r="M766" i="1"/>
  <c r="H766" i="1"/>
  <c r="Z765" i="1"/>
  <c r="M765" i="1"/>
  <c r="H765" i="1"/>
  <c r="Z764" i="1"/>
  <c r="M764" i="1"/>
  <c r="H764" i="1"/>
  <c r="Z763" i="1"/>
  <c r="M763" i="1"/>
  <c r="H763" i="1"/>
  <c r="Z762" i="1"/>
  <c r="M762" i="1"/>
  <c r="H762" i="1"/>
  <c r="Z761" i="1"/>
  <c r="H761" i="1"/>
  <c r="K761" i="1" s="1"/>
  <c r="M761" i="1" s="1"/>
  <c r="Z760" i="1"/>
  <c r="H760" i="1"/>
  <c r="K760" i="1" s="1"/>
  <c r="M760" i="1" s="1"/>
  <c r="Z759" i="1"/>
  <c r="H759" i="1"/>
  <c r="K759" i="1" s="1"/>
  <c r="M759" i="1" s="1"/>
  <c r="Z758" i="1"/>
  <c r="H758" i="1"/>
  <c r="K758" i="1" s="1"/>
  <c r="M758" i="1" s="1"/>
  <c r="Z757" i="1"/>
  <c r="H757" i="1"/>
  <c r="K757" i="1" s="1"/>
  <c r="M757" i="1" s="1"/>
  <c r="Z756" i="1"/>
  <c r="H756" i="1"/>
  <c r="K756" i="1" s="1"/>
  <c r="M756" i="1" s="1"/>
  <c r="Z755" i="1"/>
  <c r="H755" i="1"/>
  <c r="K755" i="1" s="1"/>
  <c r="M755" i="1" s="1"/>
  <c r="Z754" i="1"/>
  <c r="H754" i="1"/>
  <c r="K754" i="1" s="1"/>
  <c r="M754" i="1" s="1"/>
  <c r="Z753" i="1"/>
  <c r="K753" i="1"/>
  <c r="M753" i="1" s="1"/>
  <c r="H753" i="1"/>
  <c r="Z752" i="1"/>
  <c r="H752" i="1"/>
  <c r="K752" i="1" s="1"/>
  <c r="M752" i="1" s="1"/>
  <c r="Z751" i="1"/>
  <c r="H751" i="1"/>
  <c r="K751" i="1" s="1"/>
  <c r="M751" i="1" s="1"/>
  <c r="Z750" i="1"/>
  <c r="H750" i="1"/>
  <c r="K750" i="1" s="1"/>
  <c r="M750" i="1" s="1"/>
  <c r="Z749" i="1"/>
  <c r="K749" i="1"/>
  <c r="M749" i="1" s="1"/>
  <c r="H749" i="1"/>
  <c r="Z748" i="1"/>
  <c r="K748" i="1"/>
  <c r="M748" i="1" s="1"/>
  <c r="H748" i="1"/>
  <c r="Z747" i="1"/>
  <c r="K747" i="1"/>
  <c r="M747" i="1" s="1"/>
  <c r="H747" i="1"/>
  <c r="Z746" i="1"/>
  <c r="K746" i="1"/>
  <c r="M746" i="1" s="1"/>
  <c r="H746" i="1"/>
  <c r="Z745" i="1"/>
  <c r="H745" i="1"/>
  <c r="K745" i="1" s="1"/>
  <c r="M745" i="1" s="1"/>
  <c r="Z744" i="1"/>
  <c r="H744" i="1"/>
  <c r="K744" i="1" s="1"/>
  <c r="M744" i="1" s="1"/>
  <c r="Z743" i="1"/>
  <c r="H743" i="1"/>
  <c r="K743" i="1" s="1"/>
  <c r="M743" i="1" s="1"/>
  <c r="Z742" i="1"/>
  <c r="K742" i="1"/>
  <c r="M742" i="1" s="1"/>
  <c r="H742" i="1"/>
  <c r="Z741" i="1"/>
  <c r="H741" i="1"/>
  <c r="K741" i="1" s="1"/>
  <c r="M741" i="1" s="1"/>
  <c r="Z740" i="1"/>
  <c r="H740" i="1"/>
  <c r="K740" i="1" s="1"/>
  <c r="M740" i="1" s="1"/>
  <c r="Z739" i="1"/>
  <c r="H739" i="1"/>
  <c r="K739" i="1" s="1"/>
  <c r="M739" i="1" s="1"/>
  <c r="Z738" i="1"/>
  <c r="H738" i="1"/>
  <c r="K738" i="1" s="1"/>
  <c r="M738" i="1" s="1"/>
  <c r="Z737" i="1"/>
  <c r="K737" i="1"/>
  <c r="M737" i="1" s="1"/>
  <c r="H737" i="1"/>
  <c r="Z736" i="1"/>
  <c r="H736" i="1"/>
  <c r="K736" i="1" s="1"/>
  <c r="M736" i="1" s="1"/>
  <c r="Z735" i="1"/>
  <c r="H735" i="1"/>
  <c r="K735" i="1" s="1"/>
  <c r="M735" i="1" s="1"/>
  <c r="Z734" i="1"/>
  <c r="H734" i="1"/>
  <c r="K734" i="1" s="1"/>
  <c r="M734" i="1" s="1"/>
  <c r="Z733" i="1"/>
  <c r="K733" i="1"/>
  <c r="M733" i="1" s="1"/>
  <c r="H733" i="1"/>
  <c r="Z732" i="1"/>
  <c r="K732" i="1"/>
  <c r="M732" i="1" s="1"/>
  <c r="H732" i="1"/>
  <c r="Z731" i="1"/>
  <c r="K731" i="1"/>
  <c r="M731" i="1" s="1"/>
  <c r="H731" i="1"/>
  <c r="Z730" i="1"/>
  <c r="K730" i="1"/>
  <c r="M730" i="1" s="1"/>
  <c r="H730" i="1"/>
  <c r="Z729" i="1"/>
  <c r="H729" i="1"/>
  <c r="K729" i="1" s="1"/>
  <c r="M729" i="1" s="1"/>
  <c r="Z728" i="1"/>
  <c r="H728" i="1"/>
  <c r="K728" i="1" s="1"/>
  <c r="M728" i="1" s="1"/>
  <c r="Z727" i="1"/>
  <c r="H727" i="1"/>
  <c r="K727" i="1" s="1"/>
  <c r="M727" i="1" s="1"/>
  <c r="Z726" i="1"/>
  <c r="H726" i="1"/>
  <c r="K726" i="1" s="1"/>
  <c r="M726" i="1" s="1"/>
  <c r="Z725" i="1"/>
  <c r="H725" i="1"/>
  <c r="K725" i="1" s="1"/>
  <c r="M725" i="1" s="1"/>
  <c r="Z724" i="1"/>
  <c r="H724" i="1"/>
  <c r="K724" i="1" s="1"/>
  <c r="M724" i="1" s="1"/>
  <c r="Z723" i="1"/>
  <c r="H723" i="1"/>
  <c r="K723" i="1" s="1"/>
  <c r="M723" i="1" s="1"/>
  <c r="Z722" i="1"/>
  <c r="H722" i="1"/>
  <c r="K722" i="1" s="1"/>
  <c r="M722" i="1" s="1"/>
  <c r="Z721" i="1"/>
  <c r="H721" i="1"/>
  <c r="K721" i="1" s="1"/>
  <c r="M721" i="1" s="1"/>
  <c r="Z720" i="1"/>
  <c r="H720" i="1"/>
  <c r="K720" i="1" s="1"/>
  <c r="M720" i="1" s="1"/>
  <c r="Z719" i="1"/>
  <c r="H719" i="1"/>
  <c r="K719" i="1" s="1"/>
  <c r="M719" i="1" s="1"/>
  <c r="Z718" i="1"/>
  <c r="K718" i="1"/>
  <c r="M718" i="1" s="1"/>
  <c r="H718" i="1"/>
  <c r="Z717" i="1"/>
  <c r="H717" i="1"/>
  <c r="K717" i="1" s="1"/>
  <c r="M717" i="1" s="1"/>
  <c r="Z716" i="1"/>
  <c r="H716" i="1"/>
  <c r="K716" i="1" s="1"/>
  <c r="M716" i="1" s="1"/>
  <c r="Z715" i="1"/>
  <c r="H715" i="1"/>
  <c r="K715" i="1" s="1"/>
  <c r="M715" i="1" s="1"/>
  <c r="Z714" i="1"/>
  <c r="H714" i="1"/>
  <c r="K714" i="1" s="1"/>
  <c r="M714" i="1" s="1"/>
  <c r="Z713" i="1"/>
  <c r="K713" i="1"/>
  <c r="M713" i="1" s="1"/>
  <c r="H713" i="1"/>
  <c r="Z712" i="1"/>
  <c r="H712" i="1"/>
  <c r="K712" i="1" s="1"/>
  <c r="M712" i="1" s="1"/>
  <c r="Z711" i="1"/>
  <c r="K711" i="1"/>
  <c r="M711" i="1" s="1"/>
  <c r="H711" i="1"/>
  <c r="Z710" i="1"/>
  <c r="H710" i="1"/>
  <c r="K710" i="1" s="1"/>
  <c r="M710" i="1" s="1"/>
  <c r="Z709" i="1"/>
  <c r="H709" i="1"/>
  <c r="K709" i="1" s="1"/>
  <c r="M709" i="1" s="1"/>
  <c r="Z708" i="1"/>
  <c r="H708" i="1"/>
  <c r="K708" i="1" s="1"/>
  <c r="M708" i="1" s="1"/>
  <c r="Z707" i="1"/>
  <c r="M707" i="1"/>
  <c r="H707" i="1"/>
  <c r="Z706" i="1"/>
  <c r="H706" i="1"/>
  <c r="K706" i="1" s="1"/>
  <c r="M706" i="1" s="1"/>
  <c r="Z705" i="1"/>
  <c r="H705" i="1"/>
  <c r="K705" i="1" s="1"/>
  <c r="M705" i="1" s="1"/>
  <c r="Z704" i="1"/>
  <c r="H704" i="1"/>
  <c r="K704" i="1" s="1"/>
  <c r="M704" i="1" s="1"/>
  <c r="Z703" i="1"/>
  <c r="H703" i="1"/>
  <c r="K703" i="1" s="1"/>
  <c r="M703" i="1" s="1"/>
  <c r="Z702" i="1"/>
  <c r="H702" i="1"/>
  <c r="K702" i="1" s="1"/>
  <c r="M702" i="1" s="1"/>
  <c r="Z701" i="1"/>
  <c r="H701" i="1"/>
  <c r="K701" i="1" s="1"/>
  <c r="M701" i="1" s="1"/>
  <c r="Z700" i="1"/>
  <c r="H700" i="1"/>
  <c r="K700" i="1" s="1"/>
  <c r="M700" i="1" s="1"/>
  <c r="Z699" i="1"/>
  <c r="H699" i="1"/>
  <c r="K699" i="1" s="1"/>
  <c r="M699" i="1" s="1"/>
  <c r="Z698" i="1"/>
  <c r="H698" i="1"/>
  <c r="K698" i="1" s="1"/>
  <c r="M698" i="1" s="1"/>
  <c r="Z697" i="1"/>
  <c r="H697" i="1"/>
  <c r="K697" i="1" s="1"/>
  <c r="M697" i="1" s="1"/>
  <c r="Z696" i="1"/>
  <c r="H696" i="1"/>
  <c r="K696" i="1" s="1"/>
  <c r="M696" i="1" s="1"/>
  <c r="Z695" i="1"/>
  <c r="H695" i="1"/>
  <c r="K695" i="1" s="1"/>
  <c r="M695" i="1" s="1"/>
  <c r="Z694" i="1"/>
  <c r="H694" i="1"/>
  <c r="K694" i="1" s="1"/>
  <c r="M694" i="1" s="1"/>
  <c r="Z693" i="1"/>
  <c r="H693" i="1"/>
  <c r="K693" i="1" s="1"/>
  <c r="M693" i="1" s="1"/>
  <c r="Z692" i="1"/>
  <c r="H692" i="1"/>
  <c r="K692" i="1" s="1"/>
  <c r="M692" i="1" s="1"/>
  <c r="Z691" i="1"/>
  <c r="H691" i="1"/>
  <c r="K691" i="1" s="1"/>
  <c r="M691" i="1" s="1"/>
  <c r="Z690" i="1"/>
  <c r="M690" i="1"/>
  <c r="H690" i="1"/>
  <c r="Z689" i="1"/>
  <c r="K689" i="1"/>
  <c r="M689" i="1" s="1"/>
  <c r="H689" i="1"/>
  <c r="Z688" i="1"/>
  <c r="K688" i="1"/>
  <c r="M688" i="1" s="1"/>
  <c r="H688" i="1"/>
  <c r="Z687" i="1"/>
  <c r="M687" i="1"/>
  <c r="H687" i="1"/>
  <c r="Z686" i="1"/>
  <c r="M686" i="1"/>
  <c r="H686" i="1"/>
  <c r="Z685" i="1"/>
  <c r="M685" i="1"/>
  <c r="H685" i="1"/>
  <c r="Z684" i="1"/>
  <c r="M684" i="1"/>
  <c r="H684" i="1"/>
  <c r="Z683" i="1"/>
  <c r="M683" i="1"/>
  <c r="H683" i="1"/>
  <c r="Z682" i="1"/>
  <c r="M682" i="1"/>
  <c r="H682" i="1"/>
  <c r="Z681" i="1"/>
  <c r="M681" i="1"/>
  <c r="H681" i="1"/>
  <c r="Z680" i="1"/>
  <c r="H680" i="1"/>
  <c r="K680" i="1" s="1"/>
  <c r="M680" i="1" s="1"/>
  <c r="Z679" i="1"/>
  <c r="M679" i="1"/>
  <c r="H679" i="1"/>
  <c r="Z678" i="1"/>
  <c r="H678" i="1"/>
  <c r="K678" i="1" s="1"/>
  <c r="M678" i="1" s="1"/>
  <c r="Z677" i="1"/>
  <c r="M677" i="1"/>
  <c r="H677" i="1"/>
  <c r="Z676" i="1"/>
  <c r="H676" i="1"/>
  <c r="K676" i="1" s="1"/>
  <c r="M676" i="1" s="1"/>
  <c r="Z675" i="1"/>
  <c r="H675" i="1"/>
  <c r="K675" i="1" s="1"/>
  <c r="M675" i="1" s="1"/>
  <c r="Z674" i="1"/>
  <c r="H674" i="1"/>
  <c r="K674" i="1" s="1"/>
  <c r="M674" i="1" s="1"/>
  <c r="Z673" i="1"/>
  <c r="H673" i="1"/>
  <c r="K673" i="1" s="1"/>
  <c r="M673" i="1" s="1"/>
  <c r="Z672" i="1"/>
  <c r="H672" i="1"/>
  <c r="K672" i="1" s="1"/>
  <c r="M672" i="1" s="1"/>
  <c r="Z671" i="1"/>
  <c r="H671" i="1"/>
  <c r="K671" i="1" s="1"/>
  <c r="M671" i="1" s="1"/>
  <c r="Z670" i="1"/>
  <c r="H670" i="1"/>
  <c r="K670" i="1" s="1"/>
  <c r="M670" i="1" s="1"/>
  <c r="Z669" i="1"/>
  <c r="H669" i="1"/>
  <c r="K669" i="1" s="1"/>
  <c r="M669" i="1" s="1"/>
  <c r="Z668" i="1"/>
  <c r="H668" i="1"/>
  <c r="K668" i="1" s="1"/>
  <c r="M668" i="1" s="1"/>
  <c r="Z667" i="1"/>
  <c r="K667" i="1"/>
  <c r="M667" i="1" s="1"/>
  <c r="H667" i="1"/>
  <c r="Z666" i="1"/>
  <c r="H666" i="1"/>
  <c r="K666" i="1" s="1"/>
  <c r="M666" i="1" s="1"/>
  <c r="Z665" i="1"/>
  <c r="K665" i="1"/>
  <c r="M665" i="1" s="1"/>
  <c r="H665" i="1"/>
  <c r="Z664" i="1"/>
  <c r="H664" i="1"/>
  <c r="K664" i="1" s="1"/>
  <c r="M664" i="1" s="1"/>
  <c r="Z663" i="1"/>
  <c r="H663" i="1"/>
  <c r="K663" i="1" s="1"/>
  <c r="M663" i="1" s="1"/>
  <c r="Z662" i="1"/>
  <c r="H662" i="1"/>
  <c r="K662" i="1" s="1"/>
  <c r="M662" i="1" s="1"/>
  <c r="Z661" i="1"/>
  <c r="K661" i="1"/>
  <c r="M661" i="1" s="1"/>
  <c r="H661" i="1"/>
  <c r="Z660" i="1"/>
  <c r="K660" i="1"/>
  <c r="M660" i="1" s="1"/>
  <c r="H660" i="1"/>
  <c r="Z659" i="1"/>
  <c r="K659" i="1"/>
  <c r="M659" i="1" s="1"/>
  <c r="H659" i="1"/>
  <c r="Z658" i="1"/>
  <c r="K658" i="1"/>
  <c r="M658" i="1" s="1"/>
  <c r="H658" i="1"/>
  <c r="Z657" i="1"/>
  <c r="H657" i="1"/>
  <c r="K657" i="1" s="1"/>
  <c r="M657" i="1" s="1"/>
  <c r="Z656" i="1"/>
  <c r="H656" i="1"/>
  <c r="K656" i="1" s="1"/>
  <c r="M656" i="1" s="1"/>
  <c r="Z655" i="1"/>
  <c r="H655" i="1"/>
  <c r="K655" i="1" s="1"/>
  <c r="M655" i="1" s="1"/>
  <c r="Z654" i="1"/>
  <c r="H654" i="1"/>
  <c r="K654" i="1" s="1"/>
  <c r="M654" i="1" s="1"/>
  <c r="Z653" i="1"/>
  <c r="H653" i="1"/>
  <c r="K653" i="1" s="1"/>
  <c r="M653" i="1" s="1"/>
  <c r="Z652" i="1"/>
  <c r="K652" i="1"/>
  <c r="M652" i="1" s="1"/>
  <c r="H652" i="1"/>
  <c r="Z651" i="1"/>
  <c r="H651" i="1"/>
  <c r="K651" i="1" s="1"/>
  <c r="M651" i="1" s="1"/>
  <c r="Z650" i="1"/>
  <c r="H650" i="1"/>
  <c r="K650" i="1" s="1"/>
  <c r="M650" i="1" s="1"/>
  <c r="Z649" i="1"/>
  <c r="H649" i="1"/>
  <c r="K649" i="1" s="1"/>
  <c r="M649" i="1" s="1"/>
  <c r="Z648" i="1"/>
  <c r="H648" i="1"/>
  <c r="K648" i="1" s="1"/>
  <c r="M648" i="1" s="1"/>
  <c r="Z647" i="1"/>
  <c r="H647" i="1"/>
  <c r="K647" i="1" s="1"/>
  <c r="M647" i="1" s="1"/>
  <c r="Z646" i="1"/>
  <c r="H646" i="1"/>
  <c r="K646" i="1" s="1"/>
  <c r="M646" i="1" s="1"/>
  <c r="Z645" i="1"/>
  <c r="H645" i="1"/>
  <c r="K645" i="1" s="1"/>
  <c r="M645" i="1" s="1"/>
  <c r="Z644" i="1"/>
  <c r="H644" i="1"/>
  <c r="K644" i="1" s="1"/>
  <c r="M644" i="1" s="1"/>
  <c r="Z643" i="1"/>
  <c r="H643" i="1"/>
  <c r="K643" i="1" s="1"/>
  <c r="M643" i="1" s="1"/>
  <c r="Z642" i="1"/>
  <c r="K642" i="1"/>
  <c r="M642" i="1" s="1"/>
  <c r="H642" i="1"/>
  <c r="Z641" i="1"/>
  <c r="K641" i="1"/>
  <c r="M641" i="1" s="1"/>
  <c r="H641" i="1"/>
  <c r="Z640" i="1"/>
  <c r="K640" i="1"/>
  <c r="M640" i="1" s="1"/>
  <c r="H640" i="1"/>
  <c r="Z639" i="1"/>
  <c r="H639" i="1"/>
  <c r="K639" i="1" s="1"/>
  <c r="M639" i="1" s="1"/>
  <c r="Z638" i="1"/>
  <c r="H638" i="1"/>
  <c r="K638" i="1" s="1"/>
  <c r="M638" i="1" s="1"/>
  <c r="Z637" i="1"/>
  <c r="H637" i="1"/>
  <c r="K637" i="1" s="1"/>
  <c r="M637" i="1" s="1"/>
  <c r="Z636" i="1"/>
  <c r="H636" i="1"/>
  <c r="K636" i="1" s="1"/>
  <c r="M636" i="1" s="1"/>
  <c r="Z635" i="1"/>
  <c r="H635" i="1"/>
  <c r="K635" i="1" s="1"/>
  <c r="M635" i="1" s="1"/>
  <c r="Z634" i="1"/>
  <c r="H634" i="1"/>
  <c r="K634" i="1" s="1"/>
  <c r="M634" i="1" s="1"/>
  <c r="Z633" i="1"/>
  <c r="H633" i="1"/>
  <c r="K633" i="1" s="1"/>
  <c r="M633" i="1" s="1"/>
  <c r="Z632" i="1"/>
  <c r="K632" i="1"/>
  <c r="M632" i="1" s="1"/>
  <c r="H632" i="1"/>
  <c r="Z631" i="1"/>
  <c r="H631" i="1"/>
  <c r="K631" i="1" s="1"/>
  <c r="M631" i="1" s="1"/>
  <c r="Z630" i="1"/>
  <c r="H630" i="1"/>
  <c r="K630" i="1" s="1"/>
  <c r="M630" i="1" s="1"/>
  <c r="Z629" i="1"/>
  <c r="H629" i="1"/>
  <c r="K629" i="1" s="1"/>
  <c r="M629" i="1" s="1"/>
  <c r="Z628" i="1"/>
  <c r="H628" i="1"/>
  <c r="K628" i="1" s="1"/>
  <c r="M628" i="1" s="1"/>
  <c r="Z627" i="1"/>
  <c r="H627" i="1"/>
  <c r="K627" i="1" s="1"/>
  <c r="M627" i="1" s="1"/>
  <c r="Z626" i="1"/>
  <c r="H626" i="1"/>
  <c r="K626" i="1" s="1"/>
  <c r="M626" i="1" s="1"/>
  <c r="Z625" i="1"/>
  <c r="H625" i="1"/>
  <c r="K625" i="1" s="1"/>
  <c r="M625" i="1" s="1"/>
  <c r="Z624" i="1"/>
  <c r="H624" i="1"/>
  <c r="K624" i="1" s="1"/>
  <c r="M624" i="1" s="1"/>
  <c r="Z623" i="1"/>
  <c r="H623" i="1"/>
  <c r="K623" i="1" s="1"/>
  <c r="M623" i="1" s="1"/>
  <c r="Z622" i="1"/>
  <c r="H622" i="1"/>
  <c r="K622" i="1" s="1"/>
  <c r="M622" i="1" s="1"/>
  <c r="Z621" i="1"/>
  <c r="H621" i="1"/>
  <c r="K621" i="1" s="1"/>
  <c r="M621" i="1" s="1"/>
  <c r="Z620" i="1"/>
  <c r="H620" i="1"/>
  <c r="K620" i="1" s="1"/>
  <c r="M620" i="1" s="1"/>
  <c r="Z619" i="1"/>
  <c r="H619" i="1"/>
  <c r="K619" i="1" s="1"/>
  <c r="M619" i="1" s="1"/>
  <c r="Z618" i="1"/>
  <c r="H618" i="1"/>
  <c r="K618" i="1" s="1"/>
  <c r="M618" i="1" s="1"/>
  <c r="Z617" i="1"/>
  <c r="H617" i="1"/>
  <c r="K617" i="1" s="1"/>
  <c r="M617" i="1" s="1"/>
  <c r="Z616" i="1"/>
  <c r="K616" i="1"/>
  <c r="M616" i="1" s="1"/>
  <c r="H616" i="1"/>
  <c r="Z615" i="1"/>
  <c r="H615" i="1"/>
  <c r="K615" i="1" s="1"/>
  <c r="M615" i="1" s="1"/>
  <c r="Z614" i="1"/>
  <c r="H614" i="1"/>
  <c r="K614" i="1" s="1"/>
  <c r="M614" i="1" s="1"/>
  <c r="Z613" i="1"/>
  <c r="H613" i="1"/>
  <c r="K613" i="1" s="1"/>
  <c r="M613" i="1" s="1"/>
  <c r="Z612" i="1"/>
  <c r="H612" i="1"/>
  <c r="K612" i="1" s="1"/>
  <c r="M612" i="1" s="1"/>
  <c r="Z611" i="1"/>
  <c r="H611" i="1"/>
  <c r="K611" i="1" s="1"/>
  <c r="M611" i="1" s="1"/>
  <c r="Z610" i="1"/>
  <c r="H610" i="1"/>
  <c r="K610" i="1" s="1"/>
  <c r="M610" i="1" s="1"/>
  <c r="Z609" i="1"/>
  <c r="H609" i="1"/>
  <c r="K609" i="1" s="1"/>
  <c r="M609" i="1" s="1"/>
  <c r="Z608" i="1"/>
  <c r="H608" i="1"/>
  <c r="K608" i="1" s="1"/>
  <c r="M608" i="1" s="1"/>
  <c r="Z607" i="1"/>
  <c r="H607" i="1"/>
  <c r="K607" i="1" s="1"/>
  <c r="M607" i="1" s="1"/>
  <c r="Z606" i="1"/>
  <c r="K606" i="1"/>
  <c r="M606" i="1" s="1"/>
  <c r="H606" i="1"/>
  <c r="Z605" i="1"/>
  <c r="M605" i="1"/>
  <c r="H605" i="1"/>
  <c r="Z604" i="1"/>
  <c r="M604" i="1"/>
  <c r="H604" i="1"/>
  <c r="Z603" i="1"/>
  <c r="M603" i="1"/>
  <c r="H603" i="1"/>
  <c r="Z602" i="1"/>
  <c r="M602" i="1"/>
  <c r="H602" i="1"/>
  <c r="Z601" i="1"/>
  <c r="M601" i="1"/>
  <c r="H601" i="1"/>
  <c r="Z600" i="1"/>
  <c r="M600" i="1"/>
  <c r="H600" i="1"/>
  <c r="Z599" i="1"/>
  <c r="M599" i="1"/>
  <c r="H599" i="1"/>
  <c r="Z598" i="1"/>
  <c r="M598" i="1"/>
  <c r="H598" i="1"/>
  <c r="Z597" i="1"/>
  <c r="M597" i="1"/>
  <c r="H597" i="1"/>
  <c r="Z596" i="1"/>
  <c r="M596" i="1"/>
  <c r="H596" i="1"/>
  <c r="Z595" i="1"/>
  <c r="H595" i="1"/>
  <c r="K595" i="1" s="1"/>
  <c r="M595" i="1" s="1"/>
  <c r="Z594" i="1"/>
  <c r="H594" i="1"/>
  <c r="K594" i="1" s="1"/>
  <c r="M594" i="1" s="1"/>
  <c r="Z593" i="1"/>
  <c r="H593" i="1"/>
  <c r="K593" i="1" s="1"/>
  <c r="M593" i="1" s="1"/>
  <c r="Z592" i="1"/>
  <c r="H592" i="1"/>
  <c r="K592" i="1" s="1"/>
  <c r="M592" i="1" s="1"/>
  <c r="Z591" i="1"/>
  <c r="H591" i="1"/>
  <c r="K591" i="1" s="1"/>
  <c r="M591" i="1" s="1"/>
  <c r="Z590" i="1"/>
  <c r="K590" i="1"/>
  <c r="M590" i="1" s="1"/>
  <c r="H590" i="1"/>
  <c r="Z589" i="1"/>
  <c r="H589" i="1"/>
  <c r="K589" i="1" s="1"/>
  <c r="M589" i="1" s="1"/>
  <c r="Z588" i="1"/>
  <c r="H588" i="1"/>
  <c r="K588" i="1" s="1"/>
  <c r="M588" i="1" s="1"/>
  <c r="Z587" i="1"/>
  <c r="H587" i="1"/>
  <c r="K587" i="1" s="1"/>
  <c r="M587" i="1" s="1"/>
  <c r="Z586" i="1"/>
  <c r="H586" i="1"/>
  <c r="K586" i="1" s="1"/>
  <c r="M586" i="1" s="1"/>
  <c r="Z585" i="1"/>
  <c r="K585" i="1"/>
  <c r="M585" i="1" s="1"/>
  <c r="H585" i="1"/>
  <c r="Z584" i="1"/>
  <c r="H584" i="1"/>
  <c r="K584" i="1" s="1"/>
  <c r="M584" i="1" s="1"/>
  <c r="Z583" i="1"/>
  <c r="H583" i="1"/>
  <c r="K583" i="1" s="1"/>
  <c r="M583" i="1" s="1"/>
  <c r="Z582" i="1"/>
  <c r="H582" i="1"/>
  <c r="K582" i="1" s="1"/>
  <c r="M582" i="1" s="1"/>
  <c r="Z581" i="1"/>
  <c r="H581" i="1"/>
  <c r="K581" i="1" s="1"/>
  <c r="M581" i="1" s="1"/>
  <c r="Z580" i="1"/>
  <c r="H580" i="1"/>
  <c r="K580" i="1" s="1"/>
  <c r="M580" i="1" s="1"/>
  <c r="Z579" i="1"/>
  <c r="M579" i="1"/>
  <c r="H579" i="1"/>
  <c r="Z578" i="1"/>
  <c r="H578" i="1"/>
  <c r="K578" i="1" s="1"/>
  <c r="M578" i="1" s="1"/>
  <c r="Z577" i="1"/>
  <c r="H577" i="1"/>
  <c r="K577" i="1" s="1"/>
  <c r="M577" i="1" s="1"/>
  <c r="Z576" i="1"/>
  <c r="M576" i="1"/>
  <c r="H576" i="1"/>
  <c r="Z575" i="1"/>
  <c r="H575" i="1"/>
  <c r="K575" i="1" s="1"/>
  <c r="M575" i="1" s="1"/>
  <c r="Z574" i="1"/>
  <c r="M574" i="1"/>
  <c r="H574" i="1"/>
  <c r="Z573" i="1"/>
  <c r="H573" i="1"/>
  <c r="K573" i="1" s="1"/>
  <c r="M573" i="1" s="1"/>
  <c r="Z572" i="1"/>
  <c r="H572" i="1"/>
  <c r="K572" i="1" s="1"/>
  <c r="M572" i="1" s="1"/>
  <c r="Z571" i="1"/>
  <c r="K571" i="1"/>
  <c r="M571" i="1" s="1"/>
  <c r="H571" i="1"/>
  <c r="Z570" i="1"/>
  <c r="H570" i="1"/>
  <c r="K570" i="1" s="1"/>
  <c r="M570" i="1" s="1"/>
  <c r="Z569" i="1"/>
  <c r="H569" i="1"/>
  <c r="K569" i="1" s="1"/>
  <c r="M569" i="1" s="1"/>
  <c r="Z568" i="1"/>
  <c r="H568" i="1"/>
  <c r="K568" i="1" s="1"/>
  <c r="M568" i="1" s="1"/>
  <c r="Z567" i="1"/>
  <c r="H567" i="1"/>
  <c r="K567" i="1" s="1"/>
  <c r="M567" i="1" s="1"/>
  <c r="Z566" i="1"/>
  <c r="H566" i="1"/>
  <c r="K566" i="1" s="1"/>
  <c r="M566" i="1" s="1"/>
  <c r="Z565" i="1"/>
  <c r="H565" i="1"/>
  <c r="K565" i="1" s="1"/>
  <c r="M565" i="1" s="1"/>
  <c r="Z564" i="1"/>
  <c r="H564" i="1"/>
  <c r="K564" i="1" s="1"/>
  <c r="M564" i="1" s="1"/>
  <c r="Z563" i="1"/>
  <c r="H563" i="1"/>
  <c r="K563" i="1" s="1"/>
  <c r="M563" i="1" s="1"/>
  <c r="Z562" i="1"/>
  <c r="H562" i="1"/>
  <c r="K562" i="1" s="1"/>
  <c r="M562" i="1" s="1"/>
  <c r="Z561" i="1"/>
  <c r="H561" i="1"/>
  <c r="K561" i="1" s="1"/>
  <c r="M561" i="1" s="1"/>
  <c r="Z560" i="1"/>
  <c r="H560" i="1"/>
  <c r="K560" i="1" s="1"/>
  <c r="M560" i="1" s="1"/>
  <c r="Z559" i="1"/>
  <c r="H559" i="1"/>
  <c r="K559" i="1" s="1"/>
  <c r="M559" i="1" s="1"/>
  <c r="Z558" i="1"/>
  <c r="H558" i="1"/>
  <c r="K558" i="1" s="1"/>
  <c r="M558" i="1" s="1"/>
  <c r="Z557" i="1"/>
  <c r="H557" i="1"/>
  <c r="K557" i="1" s="1"/>
  <c r="M557" i="1" s="1"/>
  <c r="Z556" i="1"/>
  <c r="H556" i="1"/>
  <c r="K556" i="1" s="1"/>
  <c r="M556" i="1" s="1"/>
  <c r="Z555" i="1"/>
  <c r="H555" i="1"/>
  <c r="K555" i="1" s="1"/>
  <c r="M555" i="1" s="1"/>
  <c r="Z554" i="1"/>
  <c r="H554" i="1"/>
  <c r="K554" i="1" s="1"/>
  <c r="M554" i="1" s="1"/>
  <c r="Z553" i="1"/>
  <c r="H553" i="1"/>
  <c r="K553" i="1" s="1"/>
  <c r="M553" i="1" s="1"/>
  <c r="Z552" i="1"/>
  <c r="H552" i="1"/>
  <c r="K552" i="1" s="1"/>
  <c r="M552" i="1" s="1"/>
  <c r="Z551" i="1"/>
  <c r="H551" i="1"/>
  <c r="K551" i="1" s="1"/>
  <c r="M551" i="1" s="1"/>
  <c r="Z550" i="1"/>
  <c r="H550" i="1"/>
  <c r="K550" i="1" s="1"/>
  <c r="M550" i="1" s="1"/>
  <c r="Z549" i="1"/>
  <c r="H549" i="1"/>
  <c r="K549" i="1" s="1"/>
  <c r="M549" i="1" s="1"/>
  <c r="Z548" i="1"/>
  <c r="H548" i="1"/>
  <c r="K548" i="1" s="1"/>
  <c r="M548" i="1" s="1"/>
  <c r="Z547" i="1"/>
  <c r="K547" i="1"/>
  <c r="M547" i="1" s="1"/>
  <c r="H547" i="1"/>
  <c r="Z546" i="1"/>
  <c r="H546" i="1"/>
  <c r="K546" i="1" s="1"/>
  <c r="M546" i="1" s="1"/>
  <c r="Z545" i="1"/>
  <c r="H545" i="1"/>
  <c r="K545" i="1" s="1"/>
  <c r="M545" i="1" s="1"/>
  <c r="Z544" i="1"/>
  <c r="H544" i="1"/>
  <c r="K544" i="1" s="1"/>
  <c r="M544" i="1" s="1"/>
  <c r="Z543" i="1"/>
  <c r="K543" i="1"/>
  <c r="M543" i="1" s="1"/>
  <c r="H543" i="1"/>
  <c r="Z542" i="1"/>
  <c r="H542" i="1"/>
  <c r="K542" i="1" s="1"/>
  <c r="M542" i="1" s="1"/>
  <c r="Z541" i="1"/>
  <c r="K541" i="1"/>
  <c r="M541" i="1" s="1"/>
  <c r="H541" i="1"/>
  <c r="Z540" i="1"/>
  <c r="K540" i="1"/>
  <c r="M540" i="1" s="1"/>
  <c r="H540" i="1"/>
  <c r="Z539" i="1"/>
  <c r="H539" i="1"/>
  <c r="K539" i="1" s="1"/>
  <c r="M539" i="1" s="1"/>
  <c r="Z538" i="1"/>
  <c r="H538" i="1"/>
  <c r="K538" i="1" s="1"/>
  <c r="M538" i="1" s="1"/>
  <c r="Z537" i="1"/>
  <c r="H537" i="1"/>
  <c r="K537" i="1" s="1"/>
  <c r="M537" i="1" s="1"/>
  <c r="Z536" i="1"/>
  <c r="K536" i="1"/>
  <c r="M536" i="1" s="1"/>
  <c r="H536" i="1"/>
  <c r="Z535" i="1"/>
  <c r="H535" i="1"/>
  <c r="K535" i="1" s="1"/>
  <c r="M535" i="1" s="1"/>
  <c r="Z534" i="1"/>
  <c r="H534" i="1"/>
  <c r="K534" i="1" s="1"/>
  <c r="M534" i="1" s="1"/>
  <c r="Z533" i="1"/>
  <c r="H533" i="1"/>
  <c r="K533" i="1" s="1"/>
  <c r="M533" i="1" s="1"/>
  <c r="Z532" i="1"/>
  <c r="H532" i="1"/>
  <c r="K532" i="1" s="1"/>
  <c r="M532" i="1" s="1"/>
  <c r="Z531" i="1"/>
  <c r="H531" i="1"/>
  <c r="K531" i="1" s="1"/>
  <c r="M531" i="1" s="1"/>
  <c r="Z530" i="1"/>
  <c r="H530" i="1"/>
  <c r="K530" i="1" s="1"/>
  <c r="M530" i="1" s="1"/>
  <c r="Z529" i="1"/>
  <c r="H529" i="1"/>
  <c r="K529" i="1" s="1"/>
  <c r="M529" i="1" s="1"/>
  <c r="Z528" i="1"/>
  <c r="H528" i="1"/>
  <c r="K528" i="1" s="1"/>
  <c r="M528" i="1" s="1"/>
  <c r="Z527" i="1"/>
  <c r="H527" i="1"/>
  <c r="K527" i="1" s="1"/>
  <c r="M527" i="1" s="1"/>
  <c r="Z526" i="1"/>
  <c r="H526" i="1"/>
  <c r="K526" i="1" s="1"/>
  <c r="M526" i="1" s="1"/>
  <c r="Z525" i="1"/>
  <c r="H525" i="1"/>
  <c r="K525" i="1" s="1"/>
  <c r="M525" i="1" s="1"/>
  <c r="Z524" i="1"/>
  <c r="H524" i="1"/>
  <c r="K524" i="1" s="1"/>
  <c r="M524" i="1" s="1"/>
  <c r="Z523" i="1"/>
  <c r="M523" i="1"/>
  <c r="H523" i="1"/>
  <c r="Z522" i="1"/>
  <c r="H522" i="1"/>
  <c r="K522" i="1" s="1"/>
  <c r="M522" i="1" s="1"/>
  <c r="Z521" i="1"/>
  <c r="H521" i="1"/>
  <c r="K521" i="1" s="1"/>
  <c r="M521" i="1" s="1"/>
  <c r="Z520" i="1"/>
  <c r="H520" i="1"/>
  <c r="K520" i="1" s="1"/>
  <c r="M520" i="1" s="1"/>
  <c r="Z519" i="1"/>
  <c r="K519" i="1"/>
  <c r="M519" i="1" s="1"/>
  <c r="H519" i="1"/>
  <c r="Z518" i="1"/>
  <c r="H518" i="1"/>
  <c r="K518" i="1" s="1"/>
  <c r="M518" i="1" s="1"/>
  <c r="Z517" i="1"/>
  <c r="K517" i="1"/>
  <c r="M517" i="1" s="1"/>
  <c r="H517" i="1"/>
  <c r="Z516" i="1"/>
  <c r="H516" i="1"/>
  <c r="K516" i="1" s="1"/>
  <c r="M516" i="1" s="1"/>
  <c r="Z515" i="1"/>
  <c r="H515" i="1"/>
  <c r="K515" i="1" s="1"/>
  <c r="M515" i="1" s="1"/>
  <c r="Z514" i="1"/>
  <c r="H514" i="1"/>
  <c r="K514" i="1" s="1"/>
  <c r="M514" i="1" s="1"/>
  <c r="Z513" i="1"/>
  <c r="H513" i="1"/>
  <c r="K513" i="1" s="1"/>
  <c r="M513" i="1" s="1"/>
  <c r="Z512" i="1"/>
  <c r="H512" i="1"/>
  <c r="K512" i="1" s="1"/>
  <c r="M512" i="1" s="1"/>
  <c r="Z511" i="1"/>
  <c r="H511" i="1"/>
  <c r="K511" i="1" s="1"/>
  <c r="M511" i="1" s="1"/>
  <c r="Z510" i="1"/>
  <c r="H510" i="1"/>
  <c r="K510" i="1" s="1"/>
  <c r="M510" i="1" s="1"/>
  <c r="Z509" i="1"/>
  <c r="H509" i="1"/>
  <c r="K509" i="1" s="1"/>
  <c r="M509" i="1" s="1"/>
  <c r="Z508" i="1"/>
  <c r="H508" i="1"/>
  <c r="K508" i="1" s="1"/>
  <c r="M508" i="1" s="1"/>
  <c r="Z507" i="1"/>
  <c r="K507" i="1"/>
  <c r="M507" i="1" s="1"/>
  <c r="H507" i="1"/>
  <c r="Z506" i="1"/>
  <c r="H506" i="1"/>
  <c r="K506" i="1" s="1"/>
  <c r="M506" i="1" s="1"/>
  <c r="Z505" i="1"/>
  <c r="H505" i="1"/>
  <c r="K505" i="1" s="1"/>
  <c r="M505" i="1" s="1"/>
  <c r="Z504" i="1"/>
  <c r="H504" i="1"/>
  <c r="K504" i="1" s="1"/>
  <c r="M504" i="1" s="1"/>
  <c r="Z503" i="1"/>
  <c r="H503" i="1"/>
  <c r="K503" i="1" s="1"/>
  <c r="M503" i="1" s="1"/>
  <c r="Z502" i="1"/>
  <c r="H502" i="1"/>
  <c r="K502" i="1" s="1"/>
  <c r="M502" i="1" s="1"/>
  <c r="Z501" i="1"/>
  <c r="H501" i="1"/>
  <c r="K501" i="1" s="1"/>
  <c r="M501" i="1" s="1"/>
  <c r="Z500" i="1"/>
  <c r="H500" i="1"/>
  <c r="K500" i="1" s="1"/>
  <c r="M500" i="1" s="1"/>
  <c r="Z499" i="1"/>
  <c r="K499" i="1"/>
  <c r="M499" i="1" s="1"/>
  <c r="H499" i="1"/>
  <c r="Z498" i="1"/>
  <c r="K498" i="1"/>
  <c r="M498" i="1" s="1"/>
  <c r="H498" i="1"/>
  <c r="Z497" i="1"/>
  <c r="H497" i="1"/>
  <c r="K497" i="1" s="1"/>
  <c r="M497" i="1" s="1"/>
  <c r="Z496" i="1"/>
  <c r="H496" i="1"/>
  <c r="K496" i="1" s="1"/>
  <c r="M496" i="1" s="1"/>
  <c r="Z495" i="1"/>
  <c r="H495" i="1"/>
  <c r="K495" i="1" s="1"/>
  <c r="M495" i="1" s="1"/>
  <c r="Z494" i="1"/>
  <c r="H494" i="1"/>
  <c r="K494" i="1" s="1"/>
  <c r="M494" i="1" s="1"/>
  <c r="Z493" i="1"/>
  <c r="H493" i="1"/>
  <c r="K493" i="1" s="1"/>
  <c r="M493" i="1" s="1"/>
  <c r="Z492" i="1"/>
  <c r="H492" i="1"/>
  <c r="K492" i="1" s="1"/>
  <c r="M492" i="1" s="1"/>
  <c r="Z491" i="1"/>
  <c r="H491" i="1"/>
  <c r="K491" i="1" s="1"/>
  <c r="M491" i="1" s="1"/>
  <c r="Z490" i="1"/>
  <c r="H490" i="1"/>
  <c r="K490" i="1" s="1"/>
  <c r="M490" i="1" s="1"/>
  <c r="Z489" i="1"/>
  <c r="H489" i="1"/>
  <c r="K489" i="1" s="1"/>
  <c r="M489" i="1" s="1"/>
  <c r="Z488" i="1"/>
  <c r="H488" i="1"/>
  <c r="K488" i="1" s="1"/>
  <c r="M488" i="1" s="1"/>
  <c r="Z487" i="1"/>
  <c r="H487" i="1"/>
  <c r="K487" i="1" s="1"/>
  <c r="M487" i="1" s="1"/>
  <c r="Z486" i="1"/>
  <c r="K486" i="1"/>
  <c r="M486" i="1" s="1"/>
  <c r="H486" i="1"/>
  <c r="Z485" i="1"/>
  <c r="K485" i="1"/>
  <c r="M485" i="1" s="1"/>
  <c r="H485" i="1"/>
  <c r="Z484" i="1"/>
  <c r="K484" i="1"/>
  <c r="M484" i="1" s="1"/>
  <c r="H484" i="1"/>
  <c r="Z483" i="1"/>
  <c r="K483" i="1"/>
  <c r="M483" i="1" s="1"/>
  <c r="H483" i="1"/>
  <c r="Z482" i="1"/>
  <c r="K482" i="1"/>
  <c r="M482" i="1" s="1"/>
  <c r="H482" i="1"/>
  <c r="Z481" i="1"/>
  <c r="K481" i="1"/>
  <c r="M481" i="1" s="1"/>
  <c r="H481" i="1"/>
  <c r="Z480" i="1"/>
  <c r="K480" i="1"/>
  <c r="M480" i="1" s="1"/>
  <c r="H480" i="1"/>
  <c r="Z479" i="1"/>
  <c r="K479" i="1"/>
  <c r="M479" i="1" s="1"/>
  <c r="H479" i="1"/>
  <c r="Z478" i="1"/>
  <c r="K478" i="1"/>
  <c r="M478" i="1" s="1"/>
  <c r="H478" i="1"/>
  <c r="Z477" i="1"/>
  <c r="K477" i="1"/>
  <c r="M477" i="1" s="1"/>
  <c r="H477" i="1"/>
  <c r="Z476" i="1"/>
  <c r="K476" i="1"/>
  <c r="M476" i="1" s="1"/>
  <c r="H476" i="1"/>
  <c r="Z475" i="1"/>
  <c r="K475" i="1"/>
  <c r="M475" i="1" s="1"/>
  <c r="H475" i="1"/>
  <c r="Z474" i="1"/>
  <c r="K474" i="1"/>
  <c r="M474" i="1" s="1"/>
  <c r="H474" i="1"/>
  <c r="Z473" i="1"/>
  <c r="K473" i="1"/>
  <c r="M473" i="1" s="1"/>
  <c r="H473" i="1"/>
  <c r="Z472" i="1"/>
  <c r="K472" i="1"/>
  <c r="M472" i="1" s="1"/>
  <c r="H472" i="1"/>
  <c r="Z471" i="1"/>
  <c r="K471" i="1"/>
  <c r="M471" i="1" s="1"/>
  <c r="H471" i="1"/>
  <c r="Z470" i="1"/>
  <c r="K470" i="1"/>
  <c r="M470" i="1" s="1"/>
  <c r="H470" i="1"/>
  <c r="Z469" i="1"/>
  <c r="K469" i="1"/>
  <c r="M469" i="1" s="1"/>
  <c r="H469" i="1"/>
  <c r="Z468" i="1"/>
  <c r="K468" i="1"/>
  <c r="M468" i="1" s="1"/>
  <c r="H468" i="1"/>
  <c r="Z467" i="1"/>
  <c r="K467" i="1"/>
  <c r="M467" i="1" s="1"/>
  <c r="H467" i="1"/>
  <c r="Z466" i="1"/>
  <c r="M466" i="1"/>
  <c r="H466" i="1"/>
  <c r="Z465" i="1"/>
  <c r="H465" i="1"/>
  <c r="K465" i="1" s="1"/>
  <c r="M465" i="1" s="1"/>
  <c r="Z464" i="1"/>
  <c r="M464" i="1"/>
  <c r="H464" i="1"/>
  <c r="Z463" i="1"/>
  <c r="H463" i="1"/>
  <c r="K463" i="1" s="1"/>
  <c r="M463" i="1" s="1"/>
  <c r="Z462" i="1"/>
  <c r="H462" i="1"/>
  <c r="K462" i="1" s="1"/>
  <c r="M462" i="1" s="1"/>
  <c r="Z461" i="1"/>
  <c r="H461" i="1"/>
  <c r="K461" i="1" s="1"/>
  <c r="M461" i="1" s="1"/>
  <c r="Z460" i="1"/>
  <c r="H460" i="1"/>
  <c r="K460" i="1" s="1"/>
  <c r="M460" i="1" s="1"/>
  <c r="Z459" i="1"/>
  <c r="H459" i="1"/>
  <c r="K459" i="1" s="1"/>
  <c r="M459" i="1" s="1"/>
  <c r="Z458" i="1"/>
  <c r="H458" i="1"/>
  <c r="K458" i="1" s="1"/>
  <c r="M458" i="1" s="1"/>
  <c r="Z457" i="1"/>
  <c r="H457" i="1"/>
  <c r="K457" i="1" s="1"/>
  <c r="M457" i="1" s="1"/>
  <c r="Z456" i="1"/>
  <c r="H456" i="1"/>
  <c r="K456" i="1" s="1"/>
  <c r="M456" i="1" s="1"/>
  <c r="Z455" i="1"/>
  <c r="H455" i="1"/>
  <c r="K455" i="1" s="1"/>
  <c r="M455" i="1" s="1"/>
  <c r="Z454" i="1"/>
  <c r="H454" i="1"/>
  <c r="K454" i="1" s="1"/>
  <c r="M454" i="1" s="1"/>
  <c r="Z453" i="1"/>
  <c r="H453" i="1"/>
  <c r="K453" i="1" s="1"/>
  <c r="M453" i="1" s="1"/>
  <c r="Z452" i="1"/>
  <c r="H452" i="1"/>
  <c r="K452" i="1" s="1"/>
  <c r="M452" i="1" s="1"/>
  <c r="Z451" i="1"/>
  <c r="H451" i="1"/>
  <c r="K451" i="1" s="1"/>
  <c r="M451" i="1" s="1"/>
  <c r="Z450" i="1"/>
  <c r="H450" i="1"/>
  <c r="K450" i="1" s="1"/>
  <c r="M450" i="1" s="1"/>
  <c r="Z449" i="1"/>
  <c r="H449" i="1"/>
  <c r="K449" i="1" s="1"/>
  <c r="M449" i="1" s="1"/>
  <c r="Z448" i="1"/>
  <c r="M448" i="1"/>
  <c r="H448" i="1"/>
  <c r="Z447" i="1"/>
  <c r="M447" i="1"/>
  <c r="H447" i="1"/>
  <c r="Z446" i="1"/>
  <c r="M446" i="1"/>
  <c r="H446" i="1"/>
  <c r="Z445" i="1"/>
  <c r="M445" i="1"/>
  <c r="H445" i="1"/>
  <c r="Z444" i="1"/>
  <c r="M444" i="1"/>
  <c r="H444" i="1"/>
  <c r="Z443" i="1"/>
  <c r="M443" i="1"/>
  <c r="H443" i="1"/>
  <c r="Z442" i="1"/>
  <c r="M442" i="1"/>
  <c r="H442" i="1"/>
  <c r="Z441" i="1"/>
  <c r="M441" i="1"/>
  <c r="H441" i="1"/>
  <c r="Z440" i="1"/>
  <c r="M440" i="1"/>
  <c r="H440" i="1"/>
  <c r="Z439" i="1"/>
  <c r="M439" i="1"/>
  <c r="H439" i="1"/>
  <c r="Z438" i="1"/>
  <c r="M438" i="1"/>
  <c r="H438" i="1"/>
  <c r="Z437" i="1"/>
  <c r="M437" i="1"/>
  <c r="H437" i="1"/>
  <c r="Z436" i="1"/>
  <c r="M436" i="1"/>
  <c r="H436" i="1"/>
  <c r="Z435" i="1"/>
  <c r="M435" i="1"/>
  <c r="H435" i="1"/>
  <c r="Z434" i="1"/>
  <c r="H434" i="1"/>
  <c r="K434" i="1" s="1"/>
  <c r="M434" i="1" s="1"/>
  <c r="Z433" i="1"/>
  <c r="H433" i="1"/>
  <c r="K433" i="1" s="1"/>
  <c r="M433" i="1" s="1"/>
  <c r="Z432" i="1"/>
  <c r="M432" i="1"/>
  <c r="H432" i="1"/>
  <c r="Z431" i="1"/>
  <c r="M431" i="1"/>
  <c r="H431" i="1"/>
  <c r="Z430" i="1"/>
  <c r="M430" i="1"/>
  <c r="H430" i="1"/>
  <c r="Z429" i="1"/>
  <c r="M429" i="1"/>
  <c r="H429" i="1"/>
  <c r="Z428" i="1"/>
  <c r="M428" i="1"/>
  <c r="H428" i="1"/>
  <c r="Z427" i="1"/>
  <c r="M427" i="1"/>
  <c r="H427" i="1"/>
  <c r="Z426" i="1"/>
  <c r="M426" i="1"/>
  <c r="H426" i="1"/>
  <c r="Z425" i="1"/>
  <c r="M425" i="1"/>
  <c r="H425" i="1"/>
  <c r="Z424" i="1"/>
  <c r="H424" i="1"/>
  <c r="K424" i="1" s="1"/>
  <c r="M424" i="1" s="1"/>
  <c r="Z423" i="1"/>
  <c r="H423" i="1"/>
  <c r="K423" i="1" s="1"/>
  <c r="M423" i="1" s="1"/>
  <c r="Z422" i="1"/>
  <c r="M422" i="1"/>
  <c r="H422" i="1"/>
  <c r="Z421" i="1"/>
  <c r="M421" i="1"/>
  <c r="H421" i="1"/>
  <c r="Z420" i="1"/>
  <c r="M420" i="1"/>
  <c r="H420" i="1"/>
  <c r="Z419" i="1"/>
  <c r="M419" i="1"/>
  <c r="H419" i="1"/>
  <c r="Z418" i="1"/>
  <c r="M418" i="1"/>
  <c r="H418" i="1"/>
  <c r="Z417" i="1"/>
  <c r="M417" i="1"/>
  <c r="H417" i="1"/>
  <c r="Z416" i="1"/>
  <c r="M416" i="1"/>
  <c r="H416" i="1"/>
  <c r="Z415" i="1"/>
  <c r="M415" i="1"/>
  <c r="H415" i="1"/>
  <c r="Z414" i="1"/>
  <c r="M414" i="1"/>
  <c r="H414" i="1"/>
  <c r="Z413" i="1"/>
  <c r="M413" i="1"/>
  <c r="H413" i="1"/>
  <c r="Z412" i="1"/>
  <c r="M412" i="1"/>
  <c r="H412" i="1"/>
  <c r="Z411" i="1"/>
  <c r="H411" i="1"/>
  <c r="K411" i="1" s="1"/>
  <c r="M411" i="1" s="1"/>
  <c r="Z410" i="1"/>
  <c r="M410" i="1"/>
  <c r="H410" i="1"/>
  <c r="Z409" i="1"/>
  <c r="M409" i="1"/>
  <c r="H409" i="1"/>
  <c r="Z408" i="1"/>
  <c r="M408" i="1"/>
  <c r="H408" i="1"/>
  <c r="Z407" i="1"/>
  <c r="M407" i="1"/>
  <c r="H407" i="1"/>
  <c r="Z406" i="1"/>
  <c r="M406" i="1"/>
  <c r="H406" i="1"/>
  <c r="Z405" i="1"/>
  <c r="H405" i="1"/>
  <c r="K405" i="1" s="1"/>
  <c r="M405" i="1" s="1"/>
  <c r="Z404" i="1"/>
  <c r="M404" i="1"/>
  <c r="H404" i="1"/>
  <c r="Z403" i="1"/>
  <c r="M403" i="1"/>
  <c r="H403" i="1"/>
  <c r="Z402" i="1"/>
  <c r="H402" i="1"/>
  <c r="K402" i="1" s="1"/>
  <c r="M402" i="1" s="1"/>
  <c r="Z401" i="1"/>
  <c r="H401" i="1"/>
  <c r="K401" i="1" s="1"/>
  <c r="M401" i="1" s="1"/>
  <c r="Z400" i="1"/>
  <c r="K400" i="1"/>
  <c r="M400" i="1" s="1"/>
  <c r="H400" i="1"/>
  <c r="Z399" i="1"/>
  <c r="K399" i="1"/>
  <c r="M399" i="1" s="1"/>
  <c r="H399" i="1"/>
  <c r="Z398" i="1"/>
  <c r="M398" i="1"/>
  <c r="H398" i="1"/>
  <c r="Z397" i="1"/>
  <c r="M397" i="1"/>
  <c r="H397" i="1"/>
  <c r="Z396" i="1"/>
  <c r="H396" i="1"/>
  <c r="K396" i="1" s="1"/>
  <c r="M396" i="1" s="1"/>
  <c r="Z395" i="1"/>
  <c r="H395" i="1"/>
  <c r="K395" i="1" s="1"/>
  <c r="M395" i="1" s="1"/>
  <c r="Z394" i="1"/>
  <c r="H394" i="1"/>
  <c r="K394" i="1" s="1"/>
  <c r="M394" i="1" s="1"/>
  <c r="Z393" i="1"/>
  <c r="H393" i="1"/>
  <c r="K393" i="1" s="1"/>
  <c r="M393" i="1" s="1"/>
  <c r="Z392" i="1"/>
  <c r="H392" i="1"/>
  <c r="K392" i="1" s="1"/>
  <c r="M392" i="1" s="1"/>
  <c r="Z391" i="1"/>
  <c r="H391" i="1"/>
  <c r="K391" i="1" s="1"/>
  <c r="M391" i="1" s="1"/>
  <c r="Z390" i="1"/>
  <c r="M390" i="1"/>
  <c r="H390" i="1"/>
  <c r="Z389" i="1"/>
  <c r="H389" i="1"/>
  <c r="K389" i="1" s="1"/>
  <c r="M389" i="1" s="1"/>
  <c r="Z388" i="1"/>
  <c r="M388" i="1"/>
  <c r="H388" i="1"/>
  <c r="Z387" i="1"/>
  <c r="L387" i="1"/>
  <c r="M387" i="1" s="1"/>
  <c r="H387" i="1"/>
  <c r="Z386" i="1"/>
  <c r="L386" i="1"/>
  <c r="M386" i="1" s="1"/>
  <c r="H386" i="1"/>
  <c r="Z385" i="1"/>
  <c r="L385" i="1"/>
  <c r="M385" i="1" s="1"/>
  <c r="H385" i="1"/>
  <c r="Z384" i="1"/>
  <c r="L384" i="1"/>
  <c r="M384" i="1" s="1"/>
  <c r="H384" i="1"/>
  <c r="Z383" i="1"/>
  <c r="L383" i="1"/>
  <c r="M383" i="1" s="1"/>
  <c r="H383" i="1"/>
  <c r="Z382" i="1"/>
  <c r="L382" i="1"/>
  <c r="M382" i="1" s="1"/>
  <c r="H382" i="1"/>
  <c r="Z381" i="1"/>
  <c r="L381" i="1"/>
  <c r="M381" i="1" s="1"/>
  <c r="H381" i="1"/>
  <c r="Z380" i="1"/>
  <c r="L380" i="1"/>
  <c r="M380" i="1" s="1"/>
  <c r="H380" i="1"/>
  <c r="Z379" i="1"/>
  <c r="L379" i="1"/>
  <c r="M379" i="1" s="1"/>
  <c r="H379" i="1"/>
  <c r="Z378" i="1"/>
  <c r="L378" i="1"/>
  <c r="M378" i="1" s="1"/>
  <c r="H378" i="1"/>
  <c r="Z377" i="1"/>
  <c r="L377" i="1"/>
  <c r="M377" i="1" s="1"/>
  <c r="H377" i="1"/>
  <c r="Z376" i="1"/>
  <c r="L376" i="1"/>
  <c r="M376" i="1" s="1"/>
  <c r="H376" i="1"/>
  <c r="Z375" i="1"/>
  <c r="L375" i="1"/>
  <c r="M375" i="1" s="1"/>
  <c r="H375" i="1"/>
  <c r="Z374" i="1"/>
  <c r="L374" i="1"/>
  <c r="M374" i="1" s="1"/>
  <c r="H374" i="1"/>
  <c r="Z373" i="1"/>
  <c r="H373" i="1"/>
  <c r="K373" i="1" s="1"/>
  <c r="M373" i="1" s="1"/>
  <c r="Z372" i="1"/>
  <c r="H372" i="1"/>
  <c r="K372" i="1" s="1"/>
  <c r="M372" i="1" s="1"/>
  <c r="Z371" i="1"/>
  <c r="K371" i="1"/>
  <c r="M371" i="1" s="1"/>
  <c r="H371" i="1"/>
  <c r="Z370" i="1"/>
  <c r="H370" i="1"/>
  <c r="K370" i="1" s="1"/>
  <c r="M370" i="1" s="1"/>
  <c r="Z369" i="1"/>
  <c r="H369" i="1"/>
  <c r="K369" i="1" s="1"/>
  <c r="M369" i="1" s="1"/>
  <c r="Z368" i="1"/>
  <c r="H368" i="1"/>
  <c r="K368" i="1" s="1"/>
  <c r="M368" i="1" s="1"/>
  <c r="Z367" i="1"/>
  <c r="H367" i="1"/>
  <c r="K367" i="1" s="1"/>
  <c r="M367" i="1" s="1"/>
  <c r="Z366" i="1"/>
  <c r="H366" i="1"/>
  <c r="K366" i="1" s="1"/>
  <c r="M366" i="1" s="1"/>
  <c r="Z365" i="1"/>
  <c r="H365" i="1"/>
  <c r="K365" i="1" s="1"/>
  <c r="M365" i="1" s="1"/>
  <c r="Z364" i="1"/>
  <c r="K364" i="1"/>
  <c r="M364" i="1" s="1"/>
  <c r="H364" i="1"/>
  <c r="Z363" i="1"/>
  <c r="K363" i="1"/>
  <c r="M363" i="1" s="1"/>
  <c r="H363" i="1"/>
  <c r="Z362" i="1"/>
  <c r="H362" i="1"/>
  <c r="K362" i="1" s="1"/>
  <c r="M362" i="1" s="1"/>
  <c r="Z361" i="1"/>
  <c r="H361" i="1"/>
  <c r="K361" i="1" s="1"/>
  <c r="M361" i="1" s="1"/>
  <c r="Z360" i="1"/>
  <c r="H360" i="1"/>
  <c r="K360" i="1" s="1"/>
  <c r="M360" i="1" s="1"/>
  <c r="Z359" i="1"/>
  <c r="H359" i="1"/>
  <c r="K359" i="1" s="1"/>
  <c r="M359" i="1" s="1"/>
  <c r="Z358" i="1"/>
  <c r="H358" i="1"/>
  <c r="K358" i="1" s="1"/>
  <c r="M358" i="1" s="1"/>
  <c r="Z357" i="1"/>
  <c r="K357" i="1"/>
  <c r="M357" i="1" s="1"/>
  <c r="H357" i="1"/>
  <c r="Z356" i="1"/>
  <c r="K356" i="1"/>
  <c r="M356" i="1" s="1"/>
  <c r="H356" i="1"/>
  <c r="Z355" i="1"/>
  <c r="H355" i="1"/>
  <c r="K355" i="1" s="1"/>
  <c r="M355" i="1" s="1"/>
  <c r="Z354" i="1"/>
  <c r="H354" i="1"/>
  <c r="K354" i="1" s="1"/>
  <c r="M354" i="1" s="1"/>
  <c r="Z353" i="1"/>
  <c r="M353" i="1"/>
  <c r="H353" i="1"/>
  <c r="Z352" i="1"/>
  <c r="M352" i="1"/>
  <c r="H352" i="1"/>
  <c r="Z351" i="1"/>
  <c r="M351" i="1"/>
  <c r="H351" i="1"/>
  <c r="Z350" i="1"/>
  <c r="M350" i="1"/>
  <c r="H350" i="1"/>
  <c r="Z349" i="1"/>
  <c r="M349" i="1"/>
  <c r="H349" i="1"/>
  <c r="Z348" i="1"/>
  <c r="H348" i="1"/>
  <c r="K348" i="1" s="1"/>
  <c r="M348" i="1" s="1"/>
  <c r="Z347" i="1"/>
  <c r="M347" i="1"/>
  <c r="H347" i="1"/>
  <c r="Z346" i="1"/>
  <c r="M346" i="1"/>
  <c r="H346" i="1"/>
  <c r="Z345" i="1"/>
  <c r="M345" i="1"/>
  <c r="H345" i="1"/>
  <c r="Z344" i="1"/>
  <c r="M344" i="1"/>
  <c r="H344" i="1"/>
  <c r="Z343" i="1"/>
  <c r="M343" i="1"/>
  <c r="H343" i="1"/>
  <c r="Z342" i="1"/>
  <c r="M342" i="1"/>
  <c r="H342" i="1"/>
  <c r="Z341" i="1"/>
  <c r="M341" i="1"/>
  <c r="H341" i="1"/>
  <c r="Z340" i="1"/>
  <c r="M340" i="1"/>
  <c r="H340" i="1"/>
  <c r="Z339" i="1"/>
  <c r="M339" i="1"/>
  <c r="H339" i="1"/>
  <c r="Z338" i="1"/>
  <c r="M338" i="1"/>
  <c r="H338" i="1"/>
  <c r="Z337" i="1"/>
  <c r="M337" i="1"/>
  <c r="H337" i="1"/>
  <c r="Z336" i="1"/>
  <c r="M336" i="1"/>
  <c r="H336" i="1"/>
  <c r="Z335" i="1"/>
  <c r="M335" i="1"/>
  <c r="H335" i="1"/>
  <c r="Z334" i="1"/>
  <c r="M334" i="1"/>
  <c r="H334" i="1"/>
  <c r="Z333" i="1"/>
  <c r="M333" i="1"/>
  <c r="H333" i="1"/>
  <c r="Z332" i="1"/>
  <c r="M332" i="1"/>
  <c r="H332" i="1"/>
  <c r="Z331" i="1"/>
  <c r="M331" i="1"/>
  <c r="H331" i="1"/>
  <c r="Z330" i="1"/>
  <c r="M330" i="1"/>
  <c r="H330" i="1"/>
  <c r="Z329" i="1"/>
  <c r="M329" i="1"/>
  <c r="H329" i="1"/>
  <c r="Z328" i="1"/>
  <c r="M328" i="1"/>
  <c r="H328" i="1"/>
  <c r="Z327" i="1"/>
  <c r="M327" i="1"/>
  <c r="H327" i="1"/>
  <c r="Z326" i="1"/>
  <c r="H326" i="1"/>
  <c r="K326" i="1" s="1"/>
  <c r="M326" i="1" s="1"/>
  <c r="Z325" i="1"/>
  <c r="H325" i="1"/>
  <c r="K325" i="1" s="1"/>
  <c r="M325" i="1" s="1"/>
  <c r="Z324" i="1"/>
  <c r="H324" i="1"/>
  <c r="K324" i="1" s="1"/>
  <c r="M324" i="1" s="1"/>
  <c r="Z323" i="1"/>
  <c r="H323" i="1"/>
  <c r="K323" i="1" s="1"/>
  <c r="M323" i="1" s="1"/>
  <c r="Z322" i="1"/>
  <c r="H322" i="1"/>
  <c r="K322" i="1" s="1"/>
  <c r="M322" i="1" s="1"/>
  <c r="Z321" i="1"/>
  <c r="H321" i="1"/>
  <c r="K321" i="1" s="1"/>
  <c r="M321" i="1" s="1"/>
  <c r="Z320" i="1"/>
  <c r="H320" i="1"/>
  <c r="K320" i="1" s="1"/>
  <c r="M320" i="1" s="1"/>
  <c r="Z319" i="1"/>
  <c r="H319" i="1"/>
  <c r="K319" i="1" s="1"/>
  <c r="M319" i="1" s="1"/>
  <c r="Z318" i="1"/>
  <c r="H318" i="1"/>
  <c r="K318" i="1" s="1"/>
  <c r="M318" i="1" s="1"/>
  <c r="Z317" i="1"/>
  <c r="M317" i="1"/>
  <c r="H317" i="1"/>
  <c r="Z316" i="1"/>
  <c r="M316" i="1"/>
  <c r="H316" i="1"/>
  <c r="Z315" i="1"/>
  <c r="H315" i="1"/>
  <c r="K315" i="1" s="1"/>
  <c r="M315" i="1" s="1"/>
  <c r="Z314" i="1"/>
  <c r="H314" i="1"/>
  <c r="K314" i="1" s="1"/>
  <c r="M314" i="1" s="1"/>
  <c r="Z313" i="1"/>
  <c r="H313" i="1"/>
  <c r="K313" i="1" s="1"/>
  <c r="M313" i="1" s="1"/>
  <c r="Z312" i="1"/>
  <c r="H312" i="1"/>
  <c r="K312" i="1" s="1"/>
  <c r="M312" i="1" s="1"/>
  <c r="Z311" i="1"/>
  <c r="K311" i="1"/>
  <c r="M311" i="1" s="1"/>
  <c r="H311" i="1"/>
  <c r="Z310" i="1"/>
  <c r="K310" i="1"/>
  <c r="M310" i="1" s="1"/>
  <c r="H310" i="1"/>
  <c r="Z309" i="1"/>
  <c r="H309" i="1"/>
  <c r="K309" i="1" s="1"/>
  <c r="M309" i="1" s="1"/>
  <c r="Z308" i="1"/>
  <c r="H308" i="1"/>
  <c r="K308" i="1" s="1"/>
  <c r="M308" i="1" s="1"/>
  <c r="Z307" i="1"/>
  <c r="H307" i="1"/>
  <c r="K307" i="1" s="1"/>
  <c r="M307" i="1" s="1"/>
  <c r="Z306" i="1"/>
  <c r="H306" i="1"/>
  <c r="K306" i="1" s="1"/>
  <c r="M306" i="1" s="1"/>
  <c r="Z305" i="1"/>
  <c r="H305" i="1"/>
  <c r="K305" i="1" s="1"/>
  <c r="M305" i="1" s="1"/>
  <c r="Z304" i="1"/>
  <c r="H304" i="1"/>
  <c r="K304" i="1" s="1"/>
  <c r="M304" i="1" s="1"/>
  <c r="Z303" i="1"/>
  <c r="H303" i="1"/>
  <c r="K303" i="1" s="1"/>
  <c r="M303" i="1" s="1"/>
  <c r="Z302" i="1"/>
  <c r="H302" i="1"/>
  <c r="K302" i="1" s="1"/>
  <c r="M302" i="1" s="1"/>
  <c r="Z301" i="1"/>
  <c r="H301" i="1"/>
  <c r="K301" i="1" s="1"/>
  <c r="M301" i="1" s="1"/>
  <c r="Z300" i="1"/>
  <c r="H300" i="1"/>
  <c r="K300" i="1" s="1"/>
  <c r="M300" i="1" s="1"/>
  <c r="Z299" i="1"/>
  <c r="K299" i="1"/>
  <c r="M299" i="1" s="1"/>
  <c r="H299" i="1"/>
  <c r="Z298" i="1"/>
  <c r="K298" i="1"/>
  <c r="M298" i="1" s="1"/>
  <c r="H298" i="1"/>
  <c r="Z297" i="1"/>
  <c r="K297" i="1"/>
  <c r="M297" i="1" s="1"/>
  <c r="H297" i="1"/>
  <c r="Z296" i="1"/>
  <c r="H296" i="1"/>
  <c r="K296" i="1" s="1"/>
  <c r="M296" i="1" s="1"/>
  <c r="Z295" i="1"/>
  <c r="H295" i="1"/>
  <c r="K295" i="1" s="1"/>
  <c r="M295" i="1" s="1"/>
  <c r="Z294" i="1"/>
  <c r="H294" i="1"/>
  <c r="K294" i="1" s="1"/>
  <c r="M294" i="1" s="1"/>
  <c r="Z293" i="1"/>
  <c r="H293" i="1"/>
  <c r="K293" i="1" s="1"/>
  <c r="M293" i="1" s="1"/>
  <c r="Z292" i="1"/>
  <c r="H292" i="1"/>
  <c r="K292" i="1" s="1"/>
  <c r="M292" i="1" s="1"/>
  <c r="Z291" i="1"/>
  <c r="H291" i="1"/>
  <c r="K291" i="1" s="1"/>
  <c r="M291" i="1" s="1"/>
  <c r="Z290" i="1"/>
  <c r="H290" i="1"/>
  <c r="K290" i="1" s="1"/>
  <c r="M290" i="1" s="1"/>
  <c r="Z289" i="1"/>
  <c r="H289" i="1"/>
  <c r="K289" i="1" s="1"/>
  <c r="M289" i="1" s="1"/>
  <c r="Z288" i="1"/>
  <c r="H288" i="1"/>
  <c r="K288" i="1" s="1"/>
  <c r="M288" i="1" s="1"/>
  <c r="Z287" i="1"/>
  <c r="H287" i="1"/>
  <c r="K287" i="1" s="1"/>
  <c r="M287" i="1" s="1"/>
  <c r="Z286" i="1"/>
  <c r="H286" i="1"/>
  <c r="K286" i="1" s="1"/>
  <c r="M286" i="1" s="1"/>
  <c r="Z285" i="1"/>
  <c r="H285" i="1"/>
  <c r="K285" i="1" s="1"/>
  <c r="M285" i="1" s="1"/>
  <c r="Z284" i="1"/>
  <c r="H284" i="1"/>
  <c r="K284" i="1" s="1"/>
  <c r="M284" i="1" s="1"/>
  <c r="Z283" i="1"/>
  <c r="H283" i="1"/>
  <c r="K283" i="1" s="1"/>
  <c r="M283" i="1" s="1"/>
  <c r="Z282" i="1"/>
  <c r="H282" i="1"/>
  <c r="K282" i="1" s="1"/>
  <c r="M282" i="1" s="1"/>
  <c r="Z281" i="1"/>
  <c r="H281" i="1"/>
  <c r="K281" i="1" s="1"/>
  <c r="M281" i="1" s="1"/>
  <c r="Z280" i="1"/>
  <c r="H280" i="1"/>
  <c r="K280" i="1" s="1"/>
  <c r="M280" i="1" s="1"/>
  <c r="Z279" i="1"/>
  <c r="H279" i="1"/>
  <c r="K279" i="1" s="1"/>
  <c r="M279" i="1" s="1"/>
  <c r="Z278" i="1"/>
  <c r="H278" i="1"/>
  <c r="K278" i="1" s="1"/>
  <c r="M278" i="1" s="1"/>
  <c r="Z277" i="1"/>
  <c r="H277" i="1"/>
  <c r="K277" i="1" s="1"/>
  <c r="M277" i="1" s="1"/>
  <c r="Z276" i="1"/>
  <c r="H276" i="1"/>
  <c r="K276" i="1" s="1"/>
  <c r="M276" i="1" s="1"/>
  <c r="Z275" i="1"/>
  <c r="H275" i="1"/>
  <c r="K275" i="1" s="1"/>
  <c r="M275" i="1" s="1"/>
  <c r="Z274" i="1"/>
  <c r="M274" i="1"/>
  <c r="H274" i="1"/>
  <c r="Z273" i="1"/>
  <c r="H273" i="1"/>
  <c r="K273" i="1" s="1"/>
  <c r="M273" i="1" s="1"/>
  <c r="Z272" i="1"/>
  <c r="H272" i="1"/>
  <c r="K272" i="1" s="1"/>
  <c r="M272" i="1" s="1"/>
  <c r="Z271" i="1"/>
  <c r="H271" i="1"/>
  <c r="K271" i="1" s="1"/>
  <c r="M271" i="1" s="1"/>
  <c r="Z270" i="1"/>
  <c r="H270" i="1"/>
  <c r="K270" i="1" s="1"/>
  <c r="M270" i="1" s="1"/>
  <c r="Z269" i="1"/>
  <c r="H269" i="1"/>
  <c r="K269" i="1" s="1"/>
  <c r="M269" i="1" s="1"/>
  <c r="Z268" i="1"/>
  <c r="H268" i="1"/>
  <c r="K268" i="1" s="1"/>
  <c r="M268" i="1" s="1"/>
  <c r="Z267" i="1"/>
  <c r="H267" i="1"/>
  <c r="K267" i="1" s="1"/>
  <c r="M267" i="1" s="1"/>
  <c r="Z266" i="1"/>
  <c r="K266" i="1"/>
  <c r="M266" i="1" s="1"/>
  <c r="H266" i="1"/>
  <c r="Z265" i="1"/>
  <c r="H265" i="1"/>
  <c r="K265" i="1" s="1"/>
  <c r="M265" i="1" s="1"/>
  <c r="Z264" i="1"/>
  <c r="H264" i="1"/>
  <c r="K264" i="1" s="1"/>
  <c r="M264" i="1" s="1"/>
  <c r="Z263" i="1"/>
  <c r="H263" i="1"/>
  <c r="K263" i="1" s="1"/>
  <c r="M263" i="1" s="1"/>
  <c r="Z262" i="1"/>
  <c r="H262" i="1"/>
  <c r="K262" i="1" s="1"/>
  <c r="M262" i="1" s="1"/>
  <c r="Z261" i="1"/>
  <c r="H261" i="1"/>
  <c r="K261" i="1" s="1"/>
  <c r="M261" i="1" s="1"/>
  <c r="Z260" i="1"/>
  <c r="H260" i="1"/>
  <c r="K260" i="1" s="1"/>
  <c r="M260" i="1" s="1"/>
  <c r="Z259" i="1"/>
  <c r="H259" i="1"/>
  <c r="K259" i="1" s="1"/>
  <c r="M259" i="1" s="1"/>
  <c r="Z258" i="1"/>
  <c r="H258" i="1"/>
  <c r="K258" i="1" s="1"/>
  <c r="M258" i="1" s="1"/>
  <c r="Z257" i="1"/>
  <c r="H257" i="1"/>
  <c r="K257" i="1" s="1"/>
  <c r="M257" i="1" s="1"/>
  <c r="Z256" i="1"/>
  <c r="H256" i="1"/>
  <c r="K256" i="1" s="1"/>
  <c r="M256" i="1" s="1"/>
  <c r="Z255" i="1"/>
  <c r="M255" i="1"/>
  <c r="H255" i="1"/>
  <c r="Z254" i="1"/>
  <c r="M254" i="1"/>
  <c r="H254" i="1"/>
  <c r="Z253" i="1"/>
  <c r="M253" i="1"/>
  <c r="H253" i="1"/>
  <c r="Z252" i="1"/>
  <c r="M252" i="1"/>
  <c r="H252" i="1"/>
  <c r="Z251" i="1"/>
  <c r="M251" i="1"/>
  <c r="H251" i="1"/>
  <c r="Z250" i="1"/>
  <c r="K250" i="1"/>
  <c r="M250" i="1" s="1"/>
  <c r="H250" i="1"/>
  <c r="Z249" i="1"/>
  <c r="K249" i="1"/>
  <c r="M249" i="1" s="1"/>
  <c r="H249" i="1"/>
  <c r="Z248" i="1"/>
  <c r="H248" i="1"/>
  <c r="K248" i="1" s="1"/>
  <c r="M248" i="1" s="1"/>
  <c r="Z247" i="1"/>
  <c r="H247" i="1"/>
  <c r="K247" i="1" s="1"/>
  <c r="M247" i="1" s="1"/>
  <c r="Z246" i="1"/>
  <c r="H246" i="1"/>
  <c r="K246" i="1" s="1"/>
  <c r="M246" i="1" s="1"/>
  <c r="Z245" i="1"/>
  <c r="H245" i="1"/>
  <c r="K245" i="1" s="1"/>
  <c r="M245" i="1" s="1"/>
  <c r="Z244" i="1"/>
  <c r="H244" i="1"/>
  <c r="K244" i="1" s="1"/>
  <c r="M244" i="1" s="1"/>
  <c r="Z243" i="1"/>
  <c r="H243" i="1"/>
  <c r="K243" i="1" s="1"/>
  <c r="M243" i="1" s="1"/>
  <c r="Z242" i="1"/>
  <c r="H242" i="1"/>
  <c r="K242" i="1" s="1"/>
  <c r="M242" i="1" s="1"/>
  <c r="Z241" i="1"/>
  <c r="H241" i="1"/>
  <c r="K241" i="1" s="1"/>
  <c r="M241" i="1" s="1"/>
  <c r="Z240" i="1"/>
  <c r="H240" i="1"/>
  <c r="K240" i="1" s="1"/>
  <c r="M240" i="1" s="1"/>
  <c r="Z239" i="1"/>
  <c r="H239" i="1"/>
  <c r="K239" i="1" s="1"/>
  <c r="M239" i="1" s="1"/>
  <c r="Z238" i="1"/>
  <c r="H238" i="1"/>
  <c r="K238" i="1" s="1"/>
  <c r="M238" i="1" s="1"/>
  <c r="Z237" i="1"/>
  <c r="H237" i="1"/>
  <c r="K237" i="1" s="1"/>
  <c r="M237" i="1" s="1"/>
  <c r="Z236" i="1"/>
  <c r="H236" i="1"/>
  <c r="K236" i="1" s="1"/>
  <c r="M236" i="1" s="1"/>
  <c r="Z235" i="1"/>
  <c r="H235" i="1"/>
  <c r="K235" i="1" s="1"/>
  <c r="M235" i="1" s="1"/>
  <c r="Z234" i="1"/>
  <c r="H234" i="1"/>
  <c r="K234" i="1" s="1"/>
  <c r="M234" i="1" s="1"/>
  <c r="Z233" i="1"/>
  <c r="H233" i="1"/>
  <c r="K233" i="1" s="1"/>
  <c r="M233" i="1" s="1"/>
  <c r="Z232" i="1"/>
  <c r="H232" i="1"/>
  <c r="K232" i="1" s="1"/>
  <c r="M232" i="1" s="1"/>
  <c r="Z231" i="1"/>
  <c r="K231" i="1"/>
  <c r="M231" i="1" s="1"/>
  <c r="H231" i="1"/>
  <c r="Z230" i="1"/>
  <c r="K230" i="1"/>
  <c r="M230" i="1" s="1"/>
  <c r="H230" i="1"/>
  <c r="Z229" i="1"/>
  <c r="K229" i="1"/>
  <c r="M229" i="1" s="1"/>
  <c r="H229" i="1"/>
  <c r="Z228" i="1"/>
  <c r="K228" i="1"/>
  <c r="M228" i="1" s="1"/>
  <c r="H228" i="1"/>
  <c r="Z227" i="1"/>
  <c r="K227" i="1"/>
  <c r="M227" i="1" s="1"/>
  <c r="H227" i="1"/>
  <c r="Z226" i="1"/>
  <c r="K226" i="1"/>
  <c r="M226" i="1" s="1"/>
  <c r="H226" i="1"/>
  <c r="Z225" i="1"/>
  <c r="H225" i="1"/>
  <c r="K225" i="1" s="1"/>
  <c r="M225" i="1" s="1"/>
  <c r="Z224" i="1"/>
  <c r="K224" i="1"/>
  <c r="M224" i="1" s="1"/>
  <c r="H224" i="1"/>
  <c r="Z223" i="1"/>
  <c r="H223" i="1"/>
  <c r="K223" i="1" s="1"/>
  <c r="M223" i="1" s="1"/>
  <c r="Z222" i="1"/>
  <c r="H222" i="1"/>
  <c r="K222" i="1" s="1"/>
  <c r="M222" i="1" s="1"/>
  <c r="Z221" i="1"/>
  <c r="H221" i="1"/>
  <c r="K221" i="1" s="1"/>
  <c r="M221" i="1" s="1"/>
  <c r="Z220" i="1"/>
  <c r="H220" i="1"/>
  <c r="K220" i="1" s="1"/>
  <c r="M220" i="1" s="1"/>
  <c r="Z219" i="1"/>
  <c r="H219" i="1"/>
  <c r="K219" i="1" s="1"/>
  <c r="M219" i="1" s="1"/>
  <c r="Z218" i="1"/>
  <c r="H218" i="1"/>
  <c r="K218" i="1" s="1"/>
  <c r="M218" i="1" s="1"/>
  <c r="Z217" i="1"/>
  <c r="H217" i="1"/>
  <c r="K217" i="1" s="1"/>
  <c r="M217" i="1" s="1"/>
  <c r="Z216" i="1"/>
  <c r="H216" i="1"/>
  <c r="K216" i="1" s="1"/>
  <c r="M216" i="1" s="1"/>
  <c r="Z215" i="1"/>
  <c r="H215" i="1"/>
  <c r="K215" i="1" s="1"/>
  <c r="M215" i="1" s="1"/>
  <c r="Z214" i="1"/>
  <c r="H214" i="1"/>
  <c r="K214" i="1" s="1"/>
  <c r="M214" i="1" s="1"/>
  <c r="Z213" i="1"/>
  <c r="H213" i="1"/>
  <c r="K213" i="1" s="1"/>
  <c r="M213" i="1" s="1"/>
  <c r="Z212" i="1"/>
  <c r="H212" i="1"/>
  <c r="K212" i="1" s="1"/>
  <c r="M212" i="1" s="1"/>
  <c r="Z211" i="1"/>
  <c r="H211" i="1"/>
  <c r="K211" i="1" s="1"/>
  <c r="M211" i="1" s="1"/>
  <c r="Z210" i="1"/>
  <c r="H210" i="1"/>
  <c r="K210" i="1" s="1"/>
  <c r="M210" i="1" s="1"/>
  <c r="Z209" i="1"/>
  <c r="H209" i="1"/>
  <c r="K209" i="1" s="1"/>
  <c r="M209" i="1" s="1"/>
  <c r="Z208" i="1"/>
  <c r="H208" i="1"/>
  <c r="K208" i="1" s="1"/>
  <c r="M208" i="1" s="1"/>
  <c r="Z207" i="1"/>
  <c r="H207" i="1"/>
  <c r="K207" i="1" s="1"/>
  <c r="M207" i="1" s="1"/>
  <c r="Z206" i="1"/>
  <c r="H206" i="1"/>
  <c r="K206" i="1" s="1"/>
  <c r="M206" i="1" s="1"/>
  <c r="Z205" i="1"/>
  <c r="H205" i="1"/>
  <c r="K205" i="1" s="1"/>
  <c r="M205" i="1" s="1"/>
  <c r="Z204" i="1"/>
  <c r="H204" i="1"/>
  <c r="K204" i="1" s="1"/>
  <c r="M204" i="1" s="1"/>
  <c r="Z203" i="1"/>
  <c r="H203" i="1"/>
  <c r="K203" i="1" s="1"/>
  <c r="M203" i="1" s="1"/>
  <c r="Z202" i="1"/>
  <c r="H202" i="1"/>
  <c r="K202" i="1" s="1"/>
  <c r="M202" i="1" s="1"/>
  <c r="Z201" i="1"/>
  <c r="H201" i="1"/>
  <c r="K201" i="1" s="1"/>
  <c r="M201" i="1" s="1"/>
  <c r="Z200" i="1"/>
  <c r="H200" i="1"/>
  <c r="K200" i="1" s="1"/>
  <c r="M200" i="1" s="1"/>
  <c r="Z199" i="1"/>
  <c r="H199" i="1"/>
  <c r="K199" i="1" s="1"/>
  <c r="M199" i="1" s="1"/>
  <c r="Z198" i="1"/>
  <c r="H198" i="1"/>
  <c r="K198" i="1" s="1"/>
  <c r="M198" i="1" s="1"/>
  <c r="Z197" i="1"/>
  <c r="H197" i="1"/>
  <c r="K197" i="1" s="1"/>
  <c r="M197" i="1" s="1"/>
  <c r="Z196" i="1"/>
  <c r="H196" i="1"/>
  <c r="K196" i="1" s="1"/>
  <c r="M196" i="1" s="1"/>
  <c r="Z195" i="1"/>
  <c r="H195" i="1"/>
  <c r="K195" i="1" s="1"/>
  <c r="M195" i="1" s="1"/>
  <c r="Z194" i="1"/>
  <c r="H194" i="1"/>
  <c r="K194" i="1" s="1"/>
  <c r="M194" i="1" s="1"/>
  <c r="Z193" i="1"/>
  <c r="H193" i="1"/>
  <c r="K193" i="1" s="1"/>
  <c r="M193" i="1" s="1"/>
  <c r="Z192" i="1"/>
  <c r="H192" i="1"/>
  <c r="K192" i="1" s="1"/>
  <c r="M192" i="1" s="1"/>
  <c r="Z191" i="1"/>
  <c r="H191" i="1"/>
  <c r="K191" i="1" s="1"/>
  <c r="M191" i="1" s="1"/>
  <c r="Z190" i="1"/>
  <c r="H190" i="1"/>
  <c r="K190" i="1" s="1"/>
  <c r="M190" i="1" s="1"/>
  <c r="Z189" i="1"/>
  <c r="K189" i="1"/>
  <c r="M189" i="1" s="1"/>
  <c r="H189" i="1"/>
  <c r="Z188" i="1"/>
  <c r="H188" i="1"/>
  <c r="K188" i="1" s="1"/>
  <c r="M188" i="1" s="1"/>
  <c r="Z187" i="1"/>
  <c r="H187" i="1"/>
  <c r="K187" i="1" s="1"/>
  <c r="M187" i="1" s="1"/>
  <c r="Z186" i="1"/>
  <c r="K186" i="1"/>
  <c r="M186" i="1" s="1"/>
  <c r="H186" i="1"/>
  <c r="Z185" i="1"/>
  <c r="K185" i="1"/>
  <c r="M185" i="1" s="1"/>
  <c r="H185" i="1"/>
  <c r="Z184" i="1"/>
  <c r="K184" i="1"/>
  <c r="M184" i="1" s="1"/>
  <c r="H184" i="1"/>
  <c r="Z183" i="1"/>
  <c r="H183" i="1"/>
  <c r="K183" i="1" s="1"/>
  <c r="M183" i="1" s="1"/>
  <c r="Z182" i="1"/>
  <c r="H182" i="1"/>
  <c r="K182" i="1" s="1"/>
  <c r="M182" i="1" s="1"/>
  <c r="Z181" i="1"/>
  <c r="H181" i="1"/>
  <c r="K181" i="1" s="1"/>
  <c r="M181" i="1" s="1"/>
  <c r="Z180" i="1"/>
  <c r="H180" i="1"/>
  <c r="K180" i="1" s="1"/>
  <c r="M180" i="1" s="1"/>
  <c r="Z179" i="1"/>
  <c r="H179" i="1"/>
  <c r="K179" i="1" s="1"/>
  <c r="M179" i="1" s="1"/>
  <c r="Z178" i="1"/>
  <c r="H178" i="1"/>
  <c r="K178" i="1" s="1"/>
  <c r="M178" i="1" s="1"/>
  <c r="Z177" i="1"/>
  <c r="H177" i="1"/>
  <c r="K177" i="1" s="1"/>
  <c r="M177" i="1" s="1"/>
  <c r="Z176" i="1"/>
  <c r="H176" i="1"/>
  <c r="K176" i="1" s="1"/>
  <c r="M176" i="1" s="1"/>
  <c r="Z175" i="1"/>
  <c r="H175" i="1"/>
  <c r="K175" i="1" s="1"/>
  <c r="M175" i="1" s="1"/>
  <c r="Z174" i="1"/>
  <c r="H174" i="1"/>
  <c r="K174" i="1" s="1"/>
  <c r="M174" i="1" s="1"/>
  <c r="Z173" i="1"/>
  <c r="H173" i="1"/>
  <c r="K173" i="1" s="1"/>
  <c r="M173" i="1" s="1"/>
  <c r="Z172" i="1"/>
  <c r="H172" i="1"/>
  <c r="K172" i="1" s="1"/>
  <c r="M172" i="1" s="1"/>
  <c r="Z171" i="1"/>
  <c r="H171" i="1"/>
  <c r="K171" i="1" s="1"/>
  <c r="M171" i="1" s="1"/>
  <c r="Z170" i="1"/>
  <c r="H170" i="1"/>
  <c r="K170" i="1" s="1"/>
  <c r="M170" i="1" s="1"/>
  <c r="Z169" i="1"/>
  <c r="H169" i="1"/>
  <c r="K169" i="1" s="1"/>
  <c r="M169" i="1" s="1"/>
  <c r="Z168" i="1"/>
  <c r="H168" i="1"/>
  <c r="K168" i="1" s="1"/>
  <c r="M168" i="1" s="1"/>
  <c r="Z167" i="1"/>
  <c r="H167" i="1"/>
  <c r="K167" i="1" s="1"/>
  <c r="M167" i="1" s="1"/>
  <c r="Z166" i="1"/>
  <c r="H166" i="1"/>
  <c r="K166" i="1" s="1"/>
  <c r="M166" i="1" s="1"/>
  <c r="Z165" i="1"/>
  <c r="H165" i="1"/>
  <c r="K165" i="1" s="1"/>
  <c r="M165" i="1" s="1"/>
  <c r="Z164" i="1"/>
  <c r="H164" i="1"/>
  <c r="K164" i="1" s="1"/>
  <c r="M164" i="1" s="1"/>
  <c r="Z163" i="1"/>
  <c r="H163" i="1"/>
  <c r="K163" i="1" s="1"/>
  <c r="M163" i="1" s="1"/>
  <c r="Z162" i="1"/>
  <c r="H162" i="1"/>
  <c r="K162" i="1" s="1"/>
  <c r="M162" i="1" s="1"/>
  <c r="Z161" i="1"/>
  <c r="H161" i="1"/>
  <c r="K161" i="1" s="1"/>
  <c r="M161" i="1" s="1"/>
  <c r="Z160" i="1"/>
  <c r="H160" i="1"/>
  <c r="K160" i="1" s="1"/>
  <c r="M160" i="1" s="1"/>
  <c r="Z159" i="1"/>
  <c r="M159" i="1"/>
  <c r="H159" i="1"/>
  <c r="Z158" i="1"/>
  <c r="H158" i="1"/>
  <c r="K158" i="1" s="1"/>
  <c r="M158" i="1" s="1"/>
  <c r="Z157" i="1"/>
  <c r="H157" i="1"/>
  <c r="K157" i="1" s="1"/>
  <c r="M157" i="1" s="1"/>
  <c r="Z156" i="1"/>
  <c r="H156" i="1"/>
  <c r="K156" i="1" s="1"/>
  <c r="M156" i="1" s="1"/>
  <c r="Z155" i="1"/>
  <c r="K155" i="1"/>
  <c r="M155" i="1" s="1"/>
  <c r="H155" i="1"/>
  <c r="Z154" i="1"/>
  <c r="K154" i="1"/>
  <c r="M154" i="1" s="1"/>
  <c r="H154" i="1"/>
  <c r="Z153" i="1"/>
  <c r="H153" i="1"/>
  <c r="K153" i="1" s="1"/>
  <c r="M153" i="1" s="1"/>
  <c r="Z152" i="1"/>
  <c r="H152" i="1"/>
  <c r="K152" i="1" s="1"/>
  <c r="M152" i="1" s="1"/>
  <c r="Z151" i="1"/>
  <c r="H151" i="1"/>
  <c r="K151" i="1" s="1"/>
  <c r="M151" i="1" s="1"/>
  <c r="Z150" i="1"/>
  <c r="H150" i="1"/>
  <c r="K150" i="1" s="1"/>
  <c r="M150" i="1" s="1"/>
  <c r="Z149" i="1"/>
  <c r="K149" i="1"/>
  <c r="M149" i="1" s="1"/>
  <c r="H149" i="1"/>
  <c r="Z148" i="1"/>
  <c r="K148" i="1"/>
  <c r="M148" i="1" s="1"/>
  <c r="H148" i="1"/>
  <c r="Z147" i="1"/>
  <c r="K147" i="1"/>
  <c r="M147" i="1" s="1"/>
  <c r="H147" i="1"/>
  <c r="Z146" i="1"/>
  <c r="K146" i="1"/>
  <c r="M146" i="1" s="1"/>
  <c r="H146" i="1"/>
  <c r="Z145" i="1"/>
  <c r="H145" i="1"/>
  <c r="K145" i="1" s="1"/>
  <c r="M145" i="1" s="1"/>
  <c r="Z144" i="1"/>
  <c r="H144" i="1"/>
  <c r="K144" i="1" s="1"/>
  <c r="M144" i="1" s="1"/>
  <c r="Z143" i="1"/>
  <c r="H143" i="1"/>
  <c r="K143" i="1" s="1"/>
  <c r="M143" i="1" s="1"/>
  <c r="Z142" i="1"/>
  <c r="H142" i="1"/>
  <c r="K142" i="1" s="1"/>
  <c r="M142" i="1" s="1"/>
  <c r="Z141" i="1"/>
  <c r="H141" i="1"/>
  <c r="K141" i="1" s="1"/>
  <c r="M141" i="1" s="1"/>
  <c r="Z140" i="1"/>
  <c r="H140" i="1"/>
  <c r="K140" i="1" s="1"/>
  <c r="M140" i="1" s="1"/>
  <c r="Z139" i="1"/>
  <c r="H139" i="1"/>
  <c r="K139" i="1" s="1"/>
  <c r="M139" i="1" s="1"/>
  <c r="Z138" i="1"/>
  <c r="H138" i="1"/>
  <c r="K138" i="1" s="1"/>
  <c r="M138" i="1" s="1"/>
  <c r="Z137" i="1"/>
  <c r="H137" i="1"/>
  <c r="K137" i="1" s="1"/>
  <c r="M137" i="1" s="1"/>
  <c r="Z136" i="1"/>
  <c r="K136" i="1"/>
  <c r="M136" i="1" s="1"/>
  <c r="H136" i="1"/>
  <c r="Z135" i="1"/>
  <c r="K135" i="1"/>
  <c r="M135" i="1" s="1"/>
  <c r="H135" i="1"/>
  <c r="Z134" i="1"/>
  <c r="K134" i="1"/>
  <c r="M134" i="1" s="1"/>
  <c r="H134" i="1"/>
  <c r="Z133" i="1"/>
  <c r="K133" i="1"/>
  <c r="M133" i="1" s="1"/>
  <c r="H133" i="1"/>
  <c r="Z132" i="1"/>
  <c r="H132" i="1"/>
  <c r="K132" i="1" s="1"/>
  <c r="M132" i="1" s="1"/>
  <c r="Z131" i="1"/>
  <c r="H131" i="1"/>
  <c r="K131" i="1" s="1"/>
  <c r="M131" i="1" s="1"/>
  <c r="Z130" i="1"/>
  <c r="H130" i="1"/>
  <c r="K130" i="1" s="1"/>
  <c r="M130" i="1" s="1"/>
  <c r="Z129" i="1"/>
  <c r="H129" i="1"/>
  <c r="K129" i="1" s="1"/>
  <c r="M129" i="1" s="1"/>
  <c r="Z128" i="1"/>
  <c r="H128" i="1"/>
  <c r="K128" i="1" s="1"/>
  <c r="M128" i="1" s="1"/>
  <c r="Z127" i="1"/>
  <c r="H127" i="1"/>
  <c r="K127" i="1" s="1"/>
  <c r="M127" i="1" s="1"/>
  <c r="Z126" i="1"/>
  <c r="H126" i="1"/>
  <c r="K126" i="1" s="1"/>
  <c r="M126" i="1" s="1"/>
  <c r="Z125" i="1"/>
  <c r="H125" i="1"/>
  <c r="K125" i="1" s="1"/>
  <c r="M125" i="1" s="1"/>
  <c r="Z124" i="1"/>
  <c r="H124" i="1"/>
  <c r="K124" i="1" s="1"/>
  <c r="M124" i="1" s="1"/>
  <c r="Z123" i="1"/>
  <c r="H123" i="1"/>
  <c r="K123" i="1" s="1"/>
  <c r="M123" i="1" s="1"/>
  <c r="Z122" i="1"/>
  <c r="H122" i="1"/>
  <c r="K122" i="1" s="1"/>
  <c r="M122" i="1" s="1"/>
  <c r="Z121" i="1"/>
  <c r="H121" i="1"/>
  <c r="K121" i="1" s="1"/>
  <c r="M121" i="1" s="1"/>
  <c r="Z120" i="1"/>
  <c r="H120" i="1"/>
  <c r="K120" i="1" s="1"/>
  <c r="M120" i="1" s="1"/>
  <c r="Z119" i="1"/>
  <c r="H119" i="1"/>
  <c r="K119" i="1" s="1"/>
  <c r="M119" i="1" s="1"/>
  <c r="Z118" i="1"/>
  <c r="H118" i="1"/>
  <c r="K118" i="1" s="1"/>
  <c r="M118" i="1" s="1"/>
  <c r="Z117" i="1"/>
  <c r="H117" i="1"/>
  <c r="K117" i="1" s="1"/>
  <c r="M117" i="1" s="1"/>
  <c r="Z116" i="1"/>
  <c r="H116" i="1"/>
  <c r="K116" i="1" s="1"/>
  <c r="M116" i="1" s="1"/>
  <c r="Z115" i="1"/>
  <c r="H115" i="1"/>
  <c r="K115" i="1" s="1"/>
  <c r="M115" i="1" s="1"/>
  <c r="Z114" i="1"/>
  <c r="H114" i="1"/>
  <c r="K114" i="1" s="1"/>
  <c r="M114" i="1" s="1"/>
  <c r="Z113" i="1"/>
  <c r="H113" i="1"/>
  <c r="K113" i="1" s="1"/>
  <c r="M113" i="1" s="1"/>
  <c r="Z112" i="1"/>
  <c r="H112" i="1"/>
  <c r="K112" i="1" s="1"/>
  <c r="M112" i="1" s="1"/>
  <c r="Z111" i="1"/>
  <c r="M111" i="1"/>
  <c r="H111" i="1"/>
  <c r="Z110" i="1"/>
  <c r="H110" i="1"/>
  <c r="K110" i="1" s="1"/>
  <c r="M110" i="1" s="1"/>
  <c r="Z109" i="1"/>
  <c r="M109" i="1"/>
  <c r="H109" i="1"/>
  <c r="Z108" i="1"/>
  <c r="H108" i="1"/>
  <c r="K108" i="1" s="1"/>
  <c r="M108" i="1" s="1"/>
  <c r="Z107" i="1"/>
  <c r="H107" i="1"/>
  <c r="K107" i="1" s="1"/>
  <c r="M107" i="1" s="1"/>
  <c r="Z106" i="1"/>
  <c r="H106" i="1"/>
  <c r="K106" i="1" s="1"/>
  <c r="M106" i="1" s="1"/>
  <c r="Z105" i="1"/>
  <c r="H105" i="1"/>
  <c r="K105" i="1" s="1"/>
  <c r="M105" i="1" s="1"/>
  <c r="Z104" i="1"/>
  <c r="H104" i="1"/>
  <c r="K104" i="1" s="1"/>
  <c r="M104" i="1" s="1"/>
  <c r="Z103" i="1"/>
  <c r="H103" i="1"/>
  <c r="K103" i="1" s="1"/>
  <c r="M103" i="1" s="1"/>
  <c r="Z102" i="1"/>
  <c r="H102" i="1"/>
  <c r="K102" i="1" s="1"/>
  <c r="M102" i="1" s="1"/>
  <c r="Z101" i="1"/>
  <c r="H101" i="1"/>
  <c r="K101" i="1" s="1"/>
  <c r="M101" i="1" s="1"/>
  <c r="Z100" i="1"/>
  <c r="H100" i="1"/>
  <c r="K100" i="1" s="1"/>
  <c r="M100" i="1" s="1"/>
  <c r="Z99" i="1"/>
  <c r="H99" i="1"/>
  <c r="K99" i="1" s="1"/>
  <c r="M99" i="1" s="1"/>
  <c r="Z98" i="1"/>
  <c r="H98" i="1"/>
  <c r="K98" i="1" s="1"/>
  <c r="M98" i="1" s="1"/>
  <c r="Z97" i="1"/>
  <c r="M97" i="1"/>
  <c r="H97" i="1"/>
  <c r="Z96" i="1"/>
  <c r="M96" i="1"/>
  <c r="H96" i="1"/>
  <c r="Z95" i="1"/>
  <c r="K95" i="1"/>
  <c r="M95" i="1" s="1"/>
  <c r="H95" i="1"/>
  <c r="Z94" i="1"/>
  <c r="H94" i="1"/>
  <c r="K94" i="1" s="1"/>
  <c r="M94" i="1" s="1"/>
  <c r="Z93" i="1"/>
  <c r="H93" i="1"/>
  <c r="K93" i="1" s="1"/>
  <c r="M93" i="1" s="1"/>
  <c r="Z92" i="1"/>
  <c r="H92" i="1"/>
  <c r="K92" i="1" s="1"/>
  <c r="M92" i="1" s="1"/>
  <c r="Z91" i="1"/>
  <c r="H91" i="1"/>
  <c r="K91" i="1" s="1"/>
  <c r="M91" i="1" s="1"/>
  <c r="Z90" i="1"/>
  <c r="H90" i="1"/>
  <c r="K90" i="1" s="1"/>
  <c r="M90" i="1" s="1"/>
  <c r="Z89" i="1"/>
  <c r="H89" i="1"/>
  <c r="K89" i="1" s="1"/>
  <c r="M89" i="1" s="1"/>
  <c r="Z88" i="1"/>
  <c r="H88" i="1"/>
  <c r="K88" i="1" s="1"/>
  <c r="M88" i="1" s="1"/>
  <c r="Z87" i="1"/>
  <c r="H87" i="1"/>
  <c r="K87" i="1" s="1"/>
  <c r="M87" i="1" s="1"/>
  <c r="Z86" i="1"/>
  <c r="H86" i="1"/>
  <c r="K86" i="1" s="1"/>
  <c r="M86" i="1" s="1"/>
  <c r="Z85" i="1"/>
  <c r="K85" i="1"/>
  <c r="M85" i="1" s="1"/>
  <c r="H85" i="1"/>
  <c r="Z84" i="1"/>
  <c r="K84" i="1"/>
  <c r="M84" i="1" s="1"/>
  <c r="H84" i="1"/>
  <c r="Z83" i="1"/>
  <c r="M83" i="1"/>
  <c r="H83" i="1"/>
  <c r="Z82" i="1"/>
  <c r="M82" i="1"/>
  <c r="H82" i="1"/>
  <c r="Z81" i="1"/>
  <c r="M81" i="1"/>
  <c r="H81" i="1"/>
  <c r="Z80" i="1"/>
  <c r="M80" i="1"/>
  <c r="H80" i="1"/>
  <c r="Z79" i="1"/>
  <c r="M79" i="1"/>
  <c r="H79" i="1"/>
  <c r="Z78" i="1"/>
  <c r="M78" i="1"/>
  <c r="H78" i="1"/>
  <c r="Z77" i="1"/>
  <c r="M77" i="1"/>
  <c r="H77" i="1"/>
  <c r="Z76" i="1"/>
  <c r="M76" i="1"/>
  <c r="H76" i="1"/>
  <c r="Z75" i="1"/>
  <c r="M75" i="1"/>
  <c r="H75" i="1"/>
  <c r="Z74" i="1"/>
  <c r="M74" i="1"/>
  <c r="H74" i="1"/>
  <c r="Z73" i="1"/>
  <c r="M73" i="1"/>
  <c r="H73" i="1"/>
  <c r="Z72" i="1"/>
  <c r="M72" i="1"/>
  <c r="H72" i="1"/>
  <c r="Z71" i="1"/>
  <c r="M71" i="1"/>
  <c r="H71" i="1"/>
  <c r="Z70" i="1"/>
  <c r="M70" i="1"/>
  <c r="H70" i="1"/>
  <c r="Z69" i="1"/>
  <c r="M69" i="1"/>
  <c r="H69" i="1"/>
  <c r="Z68" i="1"/>
  <c r="M68" i="1"/>
  <c r="H68" i="1"/>
  <c r="Z67" i="1"/>
  <c r="M67" i="1"/>
  <c r="H67" i="1"/>
  <c r="Z66" i="1"/>
  <c r="M66" i="1"/>
  <c r="H66" i="1"/>
  <c r="Z65" i="1"/>
  <c r="M65" i="1"/>
  <c r="H65" i="1"/>
  <c r="Z64" i="1"/>
  <c r="M64" i="1"/>
  <c r="H64" i="1"/>
  <c r="Z63" i="1"/>
  <c r="M63" i="1"/>
  <c r="H63" i="1"/>
  <c r="Z62" i="1"/>
  <c r="M62" i="1"/>
  <c r="H62" i="1"/>
  <c r="Z61" i="1"/>
  <c r="M61" i="1"/>
  <c r="H61" i="1"/>
  <c r="Z60" i="1"/>
  <c r="M60" i="1"/>
  <c r="H60" i="1"/>
  <c r="Z59" i="1"/>
  <c r="H59" i="1"/>
  <c r="K59" i="1" s="1"/>
  <c r="M59" i="1" s="1"/>
  <c r="Z58" i="1"/>
  <c r="H58" i="1"/>
  <c r="K58" i="1" s="1"/>
  <c r="M58" i="1" s="1"/>
  <c r="Z57" i="1"/>
  <c r="H57" i="1"/>
  <c r="K57" i="1" s="1"/>
  <c r="M57" i="1" s="1"/>
  <c r="Z56" i="1"/>
  <c r="K56" i="1"/>
  <c r="M56" i="1" s="1"/>
  <c r="H56" i="1"/>
  <c r="Z55" i="1"/>
  <c r="K55" i="1"/>
  <c r="M55" i="1" s="1"/>
  <c r="H55" i="1"/>
  <c r="Z54" i="1"/>
  <c r="K54" i="1"/>
  <c r="M54" i="1" s="1"/>
  <c r="H54" i="1"/>
  <c r="Z53" i="1"/>
  <c r="H53" i="1"/>
  <c r="K53" i="1" s="1"/>
  <c r="M53" i="1" s="1"/>
  <c r="Z52" i="1"/>
  <c r="K52" i="1"/>
  <c r="M52" i="1" s="1"/>
  <c r="H52" i="1"/>
  <c r="Z51" i="1"/>
  <c r="K51" i="1"/>
  <c r="M51" i="1" s="1"/>
  <c r="H51" i="1"/>
  <c r="Z50" i="1"/>
  <c r="H50" i="1"/>
  <c r="K50" i="1" s="1"/>
  <c r="M50" i="1" s="1"/>
  <c r="Z49" i="1"/>
  <c r="H49" i="1"/>
  <c r="K49" i="1" s="1"/>
  <c r="M49" i="1" s="1"/>
  <c r="Z48" i="1"/>
  <c r="H48" i="1"/>
  <c r="K48" i="1" s="1"/>
  <c r="M48" i="1" s="1"/>
  <c r="Z47" i="1"/>
  <c r="H47" i="1"/>
  <c r="K47" i="1" s="1"/>
  <c r="M47" i="1" s="1"/>
  <c r="Z46" i="1"/>
  <c r="H46" i="1"/>
  <c r="K46" i="1" s="1"/>
  <c r="M46" i="1" s="1"/>
  <c r="Z45" i="1"/>
  <c r="H45" i="1"/>
  <c r="K45" i="1" s="1"/>
  <c r="M45" i="1" s="1"/>
  <c r="Z44" i="1"/>
  <c r="H44" i="1"/>
  <c r="K44" i="1" s="1"/>
  <c r="M44" i="1" s="1"/>
  <c r="Z43" i="1"/>
  <c r="K43" i="1"/>
  <c r="M43" i="1" s="1"/>
  <c r="H43" i="1"/>
  <c r="Z42" i="1"/>
  <c r="K42" i="1"/>
  <c r="M42" i="1" s="1"/>
  <c r="H42" i="1"/>
  <c r="Z41" i="1"/>
  <c r="H41" i="1"/>
  <c r="K41" i="1" s="1"/>
  <c r="M41" i="1" s="1"/>
  <c r="Z40" i="1"/>
  <c r="H40" i="1"/>
  <c r="K40" i="1" s="1"/>
  <c r="M40" i="1" s="1"/>
  <c r="Z39" i="1"/>
  <c r="H39" i="1"/>
  <c r="K39" i="1" s="1"/>
  <c r="M39" i="1" s="1"/>
  <c r="Z38" i="1"/>
  <c r="L38" i="1"/>
  <c r="H38" i="1"/>
  <c r="K38" i="1" s="1"/>
  <c r="Z37" i="1"/>
  <c r="H37" i="1"/>
  <c r="K37" i="1" s="1"/>
  <c r="M37" i="1" s="1"/>
  <c r="Z36" i="1"/>
  <c r="L36" i="1"/>
  <c r="H36" i="1"/>
  <c r="K36" i="1" s="1"/>
  <c r="Z35" i="1"/>
  <c r="K35" i="1"/>
  <c r="M35" i="1" s="1"/>
  <c r="H35" i="1"/>
  <c r="Z34" i="1"/>
  <c r="H34" i="1"/>
  <c r="K34" i="1" s="1"/>
  <c r="M34" i="1" s="1"/>
  <c r="Z33" i="1"/>
  <c r="H33" i="1"/>
  <c r="K33" i="1" s="1"/>
  <c r="M33" i="1" s="1"/>
  <c r="Z32" i="1"/>
  <c r="L32" i="1"/>
  <c r="H32" i="1"/>
  <c r="K32" i="1" s="1"/>
  <c r="Z31" i="1"/>
  <c r="H31" i="1"/>
  <c r="K31" i="1" s="1"/>
  <c r="M31" i="1" s="1"/>
  <c r="Z30" i="1"/>
  <c r="L30" i="1"/>
  <c r="H30" i="1"/>
  <c r="K30" i="1" s="1"/>
  <c r="Z29" i="1"/>
  <c r="L29" i="1"/>
  <c r="H29" i="1"/>
  <c r="K29" i="1" s="1"/>
  <c r="Z28" i="1"/>
  <c r="L28" i="1"/>
  <c r="H28" i="1"/>
  <c r="K28" i="1" s="1"/>
  <c r="Z27" i="1"/>
  <c r="H27" i="1"/>
  <c r="K27" i="1" s="1"/>
  <c r="M27" i="1" s="1"/>
  <c r="Z26" i="1"/>
  <c r="L26" i="1"/>
  <c r="H26" i="1"/>
  <c r="K26" i="1" s="1"/>
  <c r="Z25" i="1"/>
  <c r="H25" i="1"/>
  <c r="K25" i="1" s="1"/>
  <c r="M25" i="1" s="1"/>
  <c r="Z24" i="1"/>
  <c r="H24" i="1"/>
  <c r="K24" i="1" s="1"/>
  <c r="M24" i="1" s="1"/>
  <c r="Z23" i="1"/>
  <c r="H23" i="1"/>
  <c r="K23" i="1" s="1"/>
  <c r="M23" i="1" s="1"/>
  <c r="Z22" i="1"/>
  <c r="H22" i="1"/>
  <c r="K22" i="1" s="1"/>
  <c r="M22" i="1" s="1"/>
  <c r="Z21" i="1"/>
  <c r="H21" i="1"/>
  <c r="K21" i="1" s="1"/>
  <c r="M21" i="1" s="1"/>
  <c r="Z20" i="1"/>
  <c r="H20" i="1"/>
  <c r="K20" i="1" s="1"/>
  <c r="M20" i="1" s="1"/>
  <c r="Z19" i="1"/>
  <c r="H19" i="1"/>
  <c r="K19" i="1" s="1"/>
  <c r="M19" i="1" s="1"/>
  <c r="Z18" i="1"/>
  <c r="H18" i="1"/>
  <c r="K18" i="1" s="1"/>
  <c r="M18" i="1" s="1"/>
  <c r="Z17" i="1"/>
  <c r="H17" i="1"/>
  <c r="K17" i="1" s="1"/>
  <c r="M17" i="1" s="1"/>
  <c r="Z16" i="1"/>
  <c r="L16" i="1"/>
  <c r="H16" i="1"/>
  <c r="K16" i="1" s="1"/>
  <c r="Z15" i="1"/>
  <c r="K15" i="1"/>
  <c r="M15" i="1" s="1"/>
  <c r="H15" i="1"/>
  <c r="Z14" i="1"/>
  <c r="H14" i="1"/>
  <c r="K14" i="1" s="1"/>
  <c r="M14" i="1" s="1"/>
  <c r="H13" i="1"/>
  <c r="K13" i="1" s="1"/>
  <c r="M13" i="1" s="1"/>
  <c r="N3" i="1"/>
  <c r="M3" i="1"/>
  <c r="K3" i="1"/>
  <c r="J1" i="1"/>
  <c r="H1" i="1"/>
  <c r="F1" i="1"/>
  <c r="M1267" i="1" l="1"/>
  <c r="M38" i="1"/>
  <c r="M36" i="1"/>
  <c r="M32" i="1"/>
  <c r="M30" i="1"/>
  <c r="M29" i="1"/>
  <c r="M28" i="1"/>
  <c r="M26" i="1"/>
  <c r="M16" i="1"/>
  <c r="H2" i="1"/>
  <c r="K2" i="1"/>
  <c r="M2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ACC11</author>
    <author>ANHHOA</author>
    <author>Ms Huong</author>
  </authors>
  <commentList>
    <comment ref="G2" authorId="0" shapeId="0" xr:uid="{8D40CB73-F8E0-4ED7-9634-00BA0CB27A2C}">
      <text>
        <r>
          <rPr>
            <b/>
            <sz val="9"/>
            <color indexed="81"/>
            <rFont val="Tahoma"/>
            <family val="2"/>
          </rPr>
          <t>ACC11:</t>
        </r>
        <r>
          <rPr>
            <sz val="9"/>
            <color indexed="81"/>
            <rFont val="Tahoma"/>
            <family val="2"/>
          </rPr>
          <t xml:space="preserve">
Đơn giá Gia công = ĐG bán</t>
        </r>
      </text>
    </comment>
    <comment ref="G3" authorId="0" shapeId="0" xr:uid="{F0D73F32-1A0B-40B9-AC33-18F6367759ED}">
      <text>
        <r>
          <rPr>
            <b/>
            <sz val="9"/>
            <color indexed="81"/>
            <rFont val="Tahoma"/>
            <family val="2"/>
          </rPr>
          <t>ACC11: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Giá thấp hơn</t>
        </r>
        <r>
          <rPr>
            <sz val="9"/>
            <color indexed="81"/>
            <rFont val="Tahoma"/>
            <family val="2"/>
          </rPr>
          <t xml:space="preserve"> công thức trên thì </t>
        </r>
        <r>
          <rPr>
            <b/>
            <sz val="9"/>
            <color indexed="81"/>
            <rFont val="Tahoma"/>
            <family val="2"/>
          </rPr>
          <t>giữ nguyên</t>
        </r>
        <r>
          <rPr>
            <sz val="9"/>
            <color indexed="81"/>
            <rFont val="Tahoma"/>
            <family val="2"/>
          </rPr>
          <t xml:space="preserve"> giá cũ cho khách</t>
        </r>
      </text>
    </comment>
    <comment ref="L10" authorId="0" shapeId="0" xr:uid="{C3FA77CF-A154-4168-B325-F2F77D6505F4}">
      <text>
        <r>
          <rPr>
            <b/>
            <sz val="9"/>
            <color indexed="81"/>
            <rFont val="Tahoma"/>
            <family val="2"/>
          </rPr>
          <t>ACC11:</t>
        </r>
        <r>
          <rPr>
            <sz val="9"/>
            <color indexed="81"/>
            <rFont val="Tahoma"/>
            <family val="2"/>
          </rPr>
          <t xml:space="preserve">
SL quy doi</t>
        </r>
      </text>
    </comment>
    <comment ref="N10" authorId="0" shapeId="0" xr:uid="{D4AD12E8-FC12-4A4B-8D0D-CD622DC8CFEF}">
      <text>
        <r>
          <rPr>
            <b/>
            <sz val="9"/>
            <color indexed="81"/>
            <rFont val="Tahoma"/>
            <family val="2"/>
          </rPr>
          <t>ACC11:</t>
        </r>
        <r>
          <rPr>
            <sz val="9"/>
            <color indexed="81"/>
            <rFont val="Tahoma"/>
            <family val="2"/>
          </rPr>
          <t xml:space="preserve">
DG</t>
        </r>
      </text>
    </comment>
    <comment ref="M76" authorId="1" shapeId="0" xr:uid="{17E14882-E89A-4EC4-BE45-63FD4D8D8565}">
      <text>
        <r>
          <rPr>
            <b/>
            <sz val="9"/>
            <color indexed="81"/>
            <rFont val="Tahoma"/>
            <family val="2"/>
          </rPr>
          <t xml:space="preserve">do trừ tiền phí maketing cho khách đã có duyệt Sếp Việt
</t>
        </r>
      </text>
    </comment>
    <comment ref="M342" authorId="2" shapeId="0" xr:uid="{5128167D-8D06-42DC-87E0-094BAA5708C9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đã xin bán bằng giá C1102 của khách HS</t>
        </r>
      </text>
    </comment>
    <comment ref="M547" authorId="2" shapeId="0" xr:uid="{339A6068-D61D-42A0-A9AD-B021FA911CE2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M548" authorId="2" shapeId="0" xr:uid="{9D2EDB09-39F8-4962-AA41-C1B40EC27254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M788" authorId="2" shapeId="0" xr:uid="{4F3DF919-5167-42D4-80CD-E45C8D4A57DE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M789" authorId="2" shapeId="0" xr:uid="{08A7D4DD-F2AE-4D51-81F7-F3576CE9B1CC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PKD được phép bán +-3% GCT</t>
        </r>
      </text>
    </comment>
    <comment ref="M809" authorId="2" shapeId="0" xr:uid="{3500320A-24C4-4C96-A969-A80208ECA1FC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M812" authorId="2" shapeId="0" xr:uid="{060B6763-D773-4A1C-B445-87A02C14D832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M1171" authorId="2" shapeId="0" xr:uid="{E876BAEE-B4BC-47C4-9105-E4A618BEF33D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M1172" authorId="2" shapeId="0" xr:uid="{EEC4AB57-2951-44B9-B613-A48C0850F787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M1173" authorId="2" shapeId="0" xr:uid="{81936859-7104-49DA-BDC2-B646AD79979A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C4202</t>
        </r>
      </text>
    </comment>
    <comment ref="M1174" authorId="2" shapeId="0" xr:uid="{A4F0DE8D-9F29-4314-8DCC-A98CAEEE0DBC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M1175" authorId="2" shapeId="0" xr:uid="{0C2D9C0F-5B12-4C82-99D3-36C692D1147F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M1176" authorId="2" shapeId="0" xr:uid="{1D3E12B4-4363-4DE6-BB00-DA222B5C572A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M1177" authorId="2" shapeId="0" xr:uid="{F16938F5-4D06-4AEC-BD33-C0FF2ADB62B0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M1178" authorId="2" shapeId="0" xr:uid="{8F793E49-A927-4ED2-A271-6D4018C9EA2C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M1207" authorId="2" shapeId="0" xr:uid="{CE3112B1-A53A-4032-ACC7-6E6B2875E90D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M1208" authorId="2" shapeId="0" xr:uid="{15481005-C94C-4960-8DA8-B57350F370EA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M1353" authorId="2" shapeId="0" xr:uid="{35629C8C-D97E-408E-88BA-67BC1158134B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PKD được phép bán +-3% GCT</t>
        </r>
      </text>
    </comment>
    <comment ref="M1427" authorId="2" shapeId="0" xr:uid="{D4C748A3-FB88-462E-A384-779375ED411E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M1530" authorId="2" shapeId="0" xr:uid="{08A16D95-2593-4EF8-A801-395B46C42CE6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chờ Sếp duyệt giá</t>
        </r>
      </text>
    </comment>
  </commentList>
</comments>
</file>

<file path=xl/sharedStrings.xml><?xml version="1.0" encoding="utf-8"?>
<sst xmlns="http://schemas.openxmlformats.org/spreadsheetml/2006/main" count="15083" uniqueCount="2171">
  <si>
    <t>Gia CA</t>
  </si>
  <si>
    <t>Gia HS</t>
  </si>
  <si>
    <t>Gia My: 06.8 - now</t>
  </si>
  <si>
    <t>Gia ngoai My tu 06.08</t>
  </si>
  <si>
    <t>SỐ HÓA ĐƠN</t>
  </si>
  <si>
    <t>ĐỐI TƯỢNG CÔNG NỢ</t>
  </si>
  <si>
    <t>SỐ INV</t>
  </si>
  <si>
    <t>MÃ VẬT TƯ</t>
  </si>
  <si>
    <t>Màu</t>
  </si>
  <si>
    <t>SỐ LƯỢNG</t>
  </si>
  <si>
    <t>GIÁ CÔNG THỨC</t>
  </si>
  <si>
    <t>GIÁ BÁN</t>
  </si>
  <si>
    <t>CHÊNH LỆCH</t>
  </si>
  <si>
    <t>NGOẠI TỆ</t>
  </si>
  <si>
    <t>TỶ GIÁ</t>
  </si>
  <si>
    <t>THÀNH TIỀN</t>
  </si>
  <si>
    <t>KHÁCH HÀNG MỚI</t>
  </si>
  <si>
    <t>SLAB (E62)</t>
  </si>
  <si>
    <t>CUT TO SIZE (E62)</t>
  </si>
  <si>
    <t>MẪU BÁN (E62)</t>
  </si>
  <si>
    <t>MÃU TẶNG (E62)</t>
  </si>
  <si>
    <t>MẪU TẶNG (H21)</t>
  </si>
  <si>
    <t>GIA CÔNG (E52)</t>
  </si>
  <si>
    <t>Số hóa đơn (Commercial Invoice)</t>
  </si>
  <si>
    <t>308806345910</t>
  </si>
  <si>
    <t>2527</t>
  </si>
  <si>
    <t>CAESARSTONE LTD</t>
  </si>
  <si>
    <t>CA-CA/724-2026</t>
  </si>
  <si>
    <t>F4001-J20-1-E-A/11</t>
  </si>
  <si>
    <t>F4001-E-J20-A</t>
  </si>
  <si>
    <t>x</t>
  </si>
  <si>
    <t>Mỹ</t>
  </si>
  <si>
    <t>F4001-J30-1-E-A/11</t>
  </si>
  <si>
    <t>F4001-E-J30-A</t>
  </si>
  <si>
    <t>F5003-J20-1-P-A/32</t>
  </si>
  <si>
    <t>F5003-P-J20-A</t>
  </si>
  <si>
    <t>F5105-J30-1-P-A/33</t>
  </si>
  <si>
    <t>F5105-P-J30-A</t>
  </si>
  <si>
    <t>F5143-J30-1-P-A/11</t>
  </si>
  <si>
    <t>F5143-P-J30-A</t>
  </si>
  <si>
    <t>308806370960</t>
  </si>
  <si>
    <t>2532</t>
  </si>
  <si>
    <t>CA-CA/723-2026.01</t>
  </si>
  <si>
    <t>F5141-J30-1-P-A/11</t>
  </si>
  <si>
    <t>F5141-P-J30-A</t>
  </si>
  <si>
    <t>308806385700</t>
  </si>
  <si>
    <t>2533</t>
  </si>
  <si>
    <t>Arizona Tile, LLC</t>
  </si>
  <si>
    <t>CA-AT/110-2026</t>
  </si>
  <si>
    <t>C4246-J30-1-P-A/31</t>
  </si>
  <si>
    <t>C4246-P-J30-A</t>
  </si>
  <si>
    <t>C4246-J30-1-P-A/32</t>
  </si>
  <si>
    <t>C4246-J30-1-P-A/33</t>
  </si>
  <si>
    <t>308806416460</t>
  </si>
  <si>
    <t>2534</t>
  </si>
  <si>
    <t>CA-AT/111-2026.01</t>
  </si>
  <si>
    <t>C4342-J20-1-P-A/C2</t>
  </si>
  <si>
    <t>C4342-P-J20-A</t>
  </si>
  <si>
    <t>308806443760</t>
  </si>
  <si>
    <t>2535</t>
  </si>
  <si>
    <t>Hyundai L&amp; C USA LLC</t>
  </si>
  <si>
    <t>CA-HS/73-2026</t>
  </si>
  <si>
    <t>C4255-J30-1-P-A/12</t>
  </si>
  <si>
    <t>C4255-P-J30-A</t>
  </si>
  <si>
    <t>C4255-J30-1-P-A/13</t>
  </si>
  <si>
    <t>308806484620</t>
  </si>
  <si>
    <t>2531</t>
  </si>
  <si>
    <t>CA-CA/726-2026</t>
  </si>
  <si>
    <t>C4004-J30-1-E-A/32</t>
  </si>
  <si>
    <t>C4004-E-J30-A</t>
  </si>
  <si>
    <t>C5116-J30-1-P-A/43</t>
  </si>
  <si>
    <t>C5116-P-J30-A</t>
  </si>
  <si>
    <t>C5143-J30-1-P-A/32</t>
  </si>
  <si>
    <t>C5143-P-J30-A</t>
  </si>
  <si>
    <t>C5151-J30-1-P-A/12</t>
  </si>
  <si>
    <t>C5151-P-J30-A</t>
  </si>
  <si>
    <t>C5151-J30-1-P-A/13</t>
  </si>
  <si>
    <t>C5212-J30-1-P-A/43</t>
  </si>
  <si>
    <t>C5212-P-J30-A</t>
  </si>
  <si>
    <t>C6046-J30-1-P-A/43</t>
  </si>
  <si>
    <t>C6046-P-J30-A</t>
  </si>
  <si>
    <t>308806505400</t>
  </si>
  <si>
    <t>2530</t>
  </si>
  <si>
    <t>CA-CA/725-2026</t>
  </si>
  <si>
    <t>C4001-J30-1-E-A/31</t>
  </si>
  <si>
    <t>C4001-E-J30-A</t>
  </si>
  <si>
    <t>C4033-J30-1-R-A/11</t>
  </si>
  <si>
    <t>C4033-R-J30-A</t>
  </si>
  <si>
    <t>F5131-J20-1-P-A/54</t>
  </si>
  <si>
    <t>F5131-P-J20-A</t>
  </si>
  <si>
    <t>F6131-J30-1-P-A/54</t>
  </si>
  <si>
    <t>F6131-P-J30-A</t>
  </si>
  <si>
    <t>308806549500</t>
  </si>
  <si>
    <t>2529</t>
  </si>
  <si>
    <t>CA-CA/722-2026.01</t>
  </si>
  <si>
    <t>C5212-P-250-125-20</t>
  </si>
  <si>
    <t>C5212-P (250x125x20)</t>
  </si>
  <si>
    <t>Netherlands</t>
  </si>
  <si>
    <t>C5820-E-250-125-20</t>
  </si>
  <si>
    <t>C5820-E (250x125x20)</t>
  </si>
  <si>
    <t>F4004-E-250-125-13</t>
  </si>
  <si>
    <t>F4004-E (250x125x13)</t>
  </si>
  <si>
    <t>F5144-P-250-125-13</t>
  </si>
  <si>
    <t>F5144-P (250x125x13)</t>
  </si>
  <si>
    <t>C1111-P-250-125-20</t>
  </si>
  <si>
    <t>C1111-P (250x125x20)</t>
  </si>
  <si>
    <t>F5152-P-250-125-13</t>
  </si>
  <si>
    <t>F5152-P (250x125x13)</t>
  </si>
  <si>
    <t>C4011-J20-1-R-A/11</t>
  </si>
  <si>
    <t>C4011-R-J20-A</t>
  </si>
  <si>
    <t>C4023-J20-1-R-A/11</t>
  </si>
  <si>
    <t>C4023-R-J20-A</t>
  </si>
  <si>
    <t>C5212-J20-1-P-A/42</t>
  </si>
  <si>
    <t>C5212-P-J20-A</t>
  </si>
  <si>
    <t>308806600010</t>
  </si>
  <si>
    <t>2528</t>
  </si>
  <si>
    <t>CA-CA/721-2026</t>
  </si>
  <si>
    <t>C4011-R-130-70-4</t>
  </si>
  <si>
    <t>C4011-R (130x70x4)</t>
  </si>
  <si>
    <t>Ba Lan</t>
  </si>
  <si>
    <t>C5222-R-130-70-4</t>
  </si>
  <si>
    <t>C5222-R (130x70x4)</t>
  </si>
  <si>
    <t>C5100-J20-1-P-A/43</t>
  </si>
  <si>
    <t>C5100-P-J20-A</t>
  </si>
  <si>
    <t>C5212-J20-1-P-A/43</t>
  </si>
  <si>
    <t>C6046-J20-1-P-A/42</t>
  </si>
  <si>
    <t>C6046-P-J20-A</t>
  </si>
  <si>
    <t>308806878940</t>
  </si>
  <si>
    <t>2526</t>
  </si>
  <si>
    <t>CA-CA/720-2026</t>
  </si>
  <si>
    <t>F4011-R-200-200-20</t>
  </si>
  <si>
    <t>F4011-R (200x200x20)</t>
  </si>
  <si>
    <t>Israel</t>
  </si>
  <si>
    <t>F4011-R-350-280-20</t>
  </si>
  <si>
    <t>F4011-R (350x280x20)</t>
  </si>
  <si>
    <t>F4011-R-200-50-20</t>
  </si>
  <si>
    <t>F4011-R (200x50x20)</t>
  </si>
  <si>
    <t>F4011-R-600-600-20</t>
  </si>
  <si>
    <t>F4011-R (600x600x20)</t>
  </si>
  <si>
    <t>C4023-R-200-200-20</t>
  </si>
  <si>
    <t>C4023-R (200x200x20)</t>
  </si>
  <si>
    <t>C4023-R-350-280-20</t>
  </si>
  <si>
    <t>C4023-R (350x280x20)</t>
  </si>
  <si>
    <t>C4023-R-200-50-20</t>
  </si>
  <si>
    <t>C4023-R (200x50x20)</t>
  </si>
  <si>
    <t>C4023-R-600-600-20</t>
  </si>
  <si>
    <t>C4023-R (600x600x20)</t>
  </si>
  <si>
    <t>C4043-R-200-200-20</t>
  </si>
  <si>
    <t>C4043-R (200x200x20)</t>
  </si>
  <si>
    <t>C4043-R-350-280-20</t>
  </si>
  <si>
    <t>C4043-R (350x280x20)</t>
  </si>
  <si>
    <t>C4043-R-200-50-20</t>
  </si>
  <si>
    <t>C4043-R (200x50x20)</t>
  </si>
  <si>
    <t>C4043-R-600-600-20</t>
  </si>
  <si>
    <t>C4043-R (600x600x20)</t>
  </si>
  <si>
    <t>F4033-R-200-200-20</t>
  </si>
  <si>
    <t>F4033-R (200x200x20)</t>
  </si>
  <si>
    <t>F4033-R-350-280-20</t>
  </si>
  <si>
    <t>F4033-R (350x280x20)</t>
  </si>
  <si>
    <t>F4033-R-200-50-20</t>
  </si>
  <si>
    <t>F4033-R (200x50x20)</t>
  </si>
  <si>
    <t>F4033-R-600-600-20</t>
  </si>
  <si>
    <t>F4033-R (600x600x20)</t>
  </si>
  <si>
    <t>C5222-R-200-200-20</t>
  </si>
  <si>
    <t>C5222-R (200x200x20)</t>
  </si>
  <si>
    <t>C5222-R-350-280-20</t>
  </si>
  <si>
    <t>C5222-R (350x280x20)</t>
  </si>
  <si>
    <t>C5222-R-200-50-20</t>
  </si>
  <si>
    <t>C5222-R (200x50x20)</t>
  </si>
  <si>
    <t>C5222-R-600-600-20</t>
  </si>
  <si>
    <t>C5222-R (600x600x20)</t>
  </si>
  <si>
    <t>F4044-R-200-200-20</t>
  </si>
  <si>
    <t>F4044-R (200x200x20)</t>
  </si>
  <si>
    <t>F4044-R-350-280-20</t>
  </si>
  <si>
    <t>F4044-R (350x280x20)</t>
  </si>
  <si>
    <t>F4044-R-200-50-20</t>
  </si>
  <si>
    <t>F4044-R (200x50x20)</t>
  </si>
  <si>
    <t>F4044-R-600-600-20</t>
  </si>
  <si>
    <t>F4044-R (600x600x20)</t>
  </si>
  <si>
    <t>308807112520</t>
  </si>
  <si>
    <t>2525</t>
  </si>
  <si>
    <t>CA-CA/722-2026.02</t>
  </si>
  <si>
    <t>F5131-P-250-125-13</t>
  </si>
  <si>
    <t>F5131-P (250x125x13)</t>
  </si>
  <si>
    <t>C5100-P-250-125-20</t>
  </si>
  <si>
    <t>C5100-P (250x125x20)</t>
  </si>
  <si>
    <t>C6131-P-250-125-20</t>
  </si>
  <si>
    <t>C6131-P (250x125x20)</t>
  </si>
  <si>
    <t>C5133-P-250-125-20</t>
  </si>
  <si>
    <t>C5133-P (250x125x20)</t>
  </si>
  <si>
    <t>C6313-P-250-125-20</t>
  </si>
  <si>
    <t>C6313-P (250x125x20)</t>
  </si>
  <si>
    <t>C5212-E-250-125-20</t>
  </si>
  <si>
    <t>C5212-E (250x125x20)</t>
  </si>
  <si>
    <t>308808952010</t>
  </si>
  <si>
    <t>2542</t>
  </si>
  <si>
    <t>WILSONART LLC</t>
  </si>
  <si>
    <t>CA-WA/11S-2026</t>
  </si>
  <si>
    <t>F3301-P-1100-825-20</t>
  </si>
  <si>
    <t>F3301-P (1100x825x20)</t>
  </si>
  <si>
    <t>308809704840</t>
  </si>
  <si>
    <t>2543</t>
  </si>
  <si>
    <t>CA-CA/729-2026.01</t>
  </si>
  <si>
    <t>F5132-J20-1-P-A/22</t>
  </si>
  <si>
    <t>F5132-P-J20-A</t>
  </si>
  <si>
    <t>F5141-J20-1-P-A/11</t>
  </si>
  <si>
    <t>F5141-P-J20-A</t>
  </si>
  <si>
    <t>F5141-J20-1-P-A/12</t>
  </si>
  <si>
    <t>F5151-J30-1-P-A/11</t>
  </si>
  <si>
    <t>F5151-P-J30-A</t>
  </si>
  <si>
    <t>C6046-J20-1-P-A/41</t>
  </si>
  <si>
    <t>F5444-J30-1-P-A/22</t>
  </si>
  <si>
    <t>F5444-P-J30-A</t>
  </si>
  <si>
    <t>308809921510</t>
  </si>
  <si>
    <t>2544</t>
  </si>
  <si>
    <t>DWYER MARBLE &amp; STONE SUPPLY, INC</t>
  </si>
  <si>
    <t>CA-DM/66-2026</t>
  </si>
  <si>
    <t>C2104-P-254-127-20</t>
  </si>
  <si>
    <t>C2104-P (254x127x20)</t>
  </si>
  <si>
    <t>C2104-J20-1-P-A/54</t>
  </si>
  <si>
    <t>C2104-P-J20-A</t>
  </si>
  <si>
    <t>308809943540</t>
  </si>
  <si>
    <t>2545</t>
  </si>
  <si>
    <t>CA-DM/67-2026</t>
  </si>
  <si>
    <t>C5331-P-254-127-20</t>
  </si>
  <si>
    <t>C5331-P (254x127x20)</t>
  </si>
  <si>
    <t>C5331-J30-1-P-A/42</t>
  </si>
  <si>
    <t>C5331-P-J30-A</t>
  </si>
  <si>
    <t>C5331-J30-1-P-A/43</t>
  </si>
  <si>
    <t>308810252940</t>
  </si>
  <si>
    <t>2546</t>
  </si>
  <si>
    <t>CA-CA/728-2026</t>
  </si>
  <si>
    <t>C4003-J30-1-E-A/32</t>
  </si>
  <si>
    <t>C4003-E-J30-A</t>
  </si>
  <si>
    <t>C4270-J30-1-P-A/22</t>
  </si>
  <si>
    <t>C4270-P-J30-A</t>
  </si>
  <si>
    <t>C4270-J30-1-P-A/23</t>
  </si>
  <si>
    <t>C5143-J30-1-P-A/33</t>
  </si>
  <si>
    <t>F5105-J30-1-P-A/31</t>
  </si>
  <si>
    <t>F5144-J30-1-P-A/54</t>
  </si>
  <si>
    <t>F5144-P-J30-A</t>
  </si>
  <si>
    <t>F8251-J30-1-P-A/22</t>
  </si>
  <si>
    <t>F8251-P-J30-A</t>
  </si>
  <si>
    <t>F8251-J30-1-P-A/23</t>
  </si>
  <si>
    <t>308810276740</t>
  </si>
  <si>
    <t>2547</t>
  </si>
  <si>
    <t>CA-CA/727-2026</t>
  </si>
  <si>
    <t>F6313-P-250-125-20</t>
  </si>
  <si>
    <t>F6313-P (250x125x20)</t>
  </si>
  <si>
    <t>C6046-P-130-70-4</t>
  </si>
  <si>
    <t>C6046-P (130x70x4)</t>
  </si>
  <si>
    <t>F5105-P-130-70-4</t>
  </si>
  <si>
    <t>F5105-P (130x70x4)</t>
  </si>
  <si>
    <t>F5144-P-250-125-20</t>
  </si>
  <si>
    <t>F5144-P (250x125x20)</t>
  </si>
  <si>
    <t>C4033-R-130-70-4</t>
  </si>
  <si>
    <t>C4033-R (130x70x4)</t>
  </si>
  <si>
    <t>C4033-J20-1-R-A/11</t>
  </si>
  <si>
    <t>C4033-R-J20-A</t>
  </si>
  <si>
    <t>C5151-J20-1-P-A/12</t>
  </si>
  <si>
    <t>C5151-P-J20-A</t>
  </si>
  <si>
    <t>F5100-J30-1-P-A/12</t>
  </si>
  <si>
    <t>F5100-P-J30-A</t>
  </si>
  <si>
    <t>F5132-J20-1-P-A/23</t>
  </si>
  <si>
    <t>308810295420</t>
  </si>
  <si>
    <t>2548</t>
  </si>
  <si>
    <t>CA-CA/723-2026.02</t>
  </si>
  <si>
    <t>308810343610</t>
  </si>
  <si>
    <t>2550</t>
  </si>
  <si>
    <t>CA-CA/729-2026.02</t>
  </si>
  <si>
    <t>F4044-J20-1-R-A/11</t>
  </si>
  <si>
    <t>F4044-R-J20-A</t>
  </si>
  <si>
    <t>F6313-J20-1-P-A/41</t>
  </si>
  <si>
    <t>F6313-P-J20-A</t>
  </si>
  <si>
    <t>F6313-J20-1-P-A/42</t>
  </si>
  <si>
    <t>308810352600</t>
  </si>
  <si>
    <t>2549</t>
  </si>
  <si>
    <t>CA-CA/729-2026.03</t>
  </si>
  <si>
    <t>C5116-J30-1-P-A/42</t>
  </si>
  <si>
    <t>F4011-J30-1-R-A/11</t>
  </si>
  <si>
    <t>F4011-R-J30-A</t>
  </si>
  <si>
    <t>F4011-J30-1-R-A/12</t>
  </si>
  <si>
    <t>F5100-J20-1-P-A/12</t>
  </si>
  <si>
    <t>F5100-P-J20-A</t>
  </si>
  <si>
    <t>F5100-J20-1-P-A/54</t>
  </si>
  <si>
    <t>308811518210</t>
  </si>
  <si>
    <t>2551</t>
  </si>
  <si>
    <t>CA-CA/731-2026.01</t>
  </si>
  <si>
    <t>F4044-R-70-60-4</t>
  </si>
  <si>
    <t>F4044-R (70x60x4)</t>
  </si>
  <si>
    <t>Úc</t>
  </si>
  <si>
    <t>F5133-J20-1-P-A/43</t>
  </si>
  <si>
    <t>F5133-P-J20-A</t>
  </si>
  <si>
    <t>308811556010</t>
  </si>
  <si>
    <t>2552</t>
  </si>
  <si>
    <t>CA-CA/731-2026.02</t>
  </si>
  <si>
    <t>F5130-J20-1-P-A/54</t>
  </si>
  <si>
    <t>F5130-P-J20-A</t>
  </si>
  <si>
    <t>308811658060</t>
  </si>
  <si>
    <t>2553</t>
  </si>
  <si>
    <t>CA-CA/730-2026</t>
  </si>
  <si>
    <t>F5105-P-70-60-4</t>
  </si>
  <si>
    <t>F5105-P (70x60x4)</t>
  </si>
  <si>
    <t>Singapore</t>
  </si>
  <si>
    <t>F5105-P-100-100-20</t>
  </si>
  <si>
    <t>F5105-P (100x100x20)</t>
  </si>
  <si>
    <t>F5105-P-250-125-20</t>
  </si>
  <si>
    <t>F5105-P (250x125x20)</t>
  </si>
  <si>
    <t>F5140-E-70-60-4</t>
  </si>
  <si>
    <t>F5140-E (70x60x4)</t>
  </si>
  <si>
    <t>F5441-P-70-60-4</t>
  </si>
  <si>
    <t>F5441-P (70x60x4)</t>
  </si>
  <si>
    <t>F5441-P-100-100-20</t>
  </si>
  <si>
    <t>F5441-P (100x100x20)</t>
  </si>
  <si>
    <t>F8251-P-70-60-4</t>
  </si>
  <si>
    <t>F8251-P (70x60x4)</t>
  </si>
  <si>
    <t>F8251-P-100-100-20</t>
  </si>
  <si>
    <t>F8251-P (100x100x20)</t>
  </si>
  <si>
    <t>F8251-P-250-125-20</t>
  </si>
  <si>
    <t>F8251-P (250x125x20)</t>
  </si>
  <si>
    <t>F8252-P-100-100-20</t>
  </si>
  <si>
    <t>F8252-P (100x100x20)</t>
  </si>
  <si>
    <t>F8252-P-250-125-20</t>
  </si>
  <si>
    <t>F8252-P (250x125x20)</t>
  </si>
  <si>
    <t>F5140-E-100-100-20</t>
  </si>
  <si>
    <t>F5140-E (100x100x20)</t>
  </si>
  <si>
    <t>F5152-P-100-100-20</t>
  </si>
  <si>
    <t>F5152-P (100x100x20)</t>
  </si>
  <si>
    <t>F5444-P-250-125-20</t>
  </si>
  <si>
    <t>F5444-P (250x125x20)</t>
  </si>
  <si>
    <t>C4033-R-250-125-20</t>
  </si>
  <si>
    <t>C4033-R (250x125x20)</t>
  </si>
  <si>
    <t>C5133-P-70-60-4</t>
  </si>
  <si>
    <t>C5133-P (70x60x4)</t>
  </si>
  <si>
    <t>C5820-E-70-60-4</t>
  </si>
  <si>
    <t>C5820-E (70x60x4)</t>
  </si>
  <si>
    <t>C6046-P-250-125-20</t>
  </si>
  <si>
    <t>C6046-P (250x125x20)</t>
  </si>
  <si>
    <t>C6131-P-100-100-20</t>
  </si>
  <si>
    <t>C6131-P (100x100x20)</t>
  </si>
  <si>
    <t>C0406-J20-1-E-A/22</t>
  </si>
  <si>
    <t>C0406-E-J20-A</t>
  </si>
  <si>
    <t>C0406-J20-1-E-B/22</t>
  </si>
  <si>
    <t>C0406-E-J20-B</t>
  </si>
  <si>
    <t>F5105-J20-1-P-A/31</t>
  </si>
  <si>
    <t>F5105-P-J20-A</t>
  </si>
  <si>
    <t>F5105-J20-1-P-A/33</t>
  </si>
  <si>
    <t>F6313-J13-1-P-A/41</t>
  </si>
  <si>
    <t>F6313-P-J13-A</t>
  </si>
  <si>
    <t>F6313-J13-1-P-A/42</t>
  </si>
  <si>
    <t>C0406-J20-1-E-A/21</t>
  </si>
  <si>
    <t>C0406-J20-1-E-B/21</t>
  </si>
  <si>
    <t>C0406-J20-1-E-B/42</t>
  </si>
  <si>
    <t>308813558600</t>
  </si>
  <si>
    <t>2557</t>
  </si>
  <si>
    <t>CA-CA/735-2026.01</t>
  </si>
  <si>
    <t>C5222-J20-1-R-A/11</t>
  </si>
  <si>
    <t>C5222-R-J20-A</t>
  </si>
  <si>
    <t>Bỉ</t>
  </si>
  <si>
    <t>308813579340</t>
  </si>
  <si>
    <t>2556</t>
  </si>
  <si>
    <t>CA-CA/735-2026.02</t>
  </si>
  <si>
    <t>308813599050</t>
  </si>
  <si>
    <t>2570</t>
  </si>
  <si>
    <t>CA-CA/735-2026.03</t>
  </si>
  <si>
    <t>C5222-J20-1-R-A/12</t>
  </si>
  <si>
    <t>308813836240</t>
  </si>
  <si>
    <t>2562</t>
  </si>
  <si>
    <t>CA-CA/734-2026.01</t>
  </si>
  <si>
    <t>Thụy Điển</t>
  </si>
  <si>
    <t>308813862400</t>
  </si>
  <si>
    <t>2571</t>
  </si>
  <si>
    <t>CA-CA/734-2026.02</t>
  </si>
  <si>
    <t>C5212-J13-1-P-A/43</t>
  </si>
  <si>
    <t>C5212-P-J13-A</t>
  </si>
  <si>
    <t>C6046-J13-1-P-A/41</t>
  </si>
  <si>
    <t>C6046-P-J13-A</t>
  </si>
  <si>
    <t>C6046-J13-1-P-A/42</t>
  </si>
  <si>
    <t>C6046-J13-1-P-A/43</t>
  </si>
  <si>
    <t>C6046-J20-1-P-A/43</t>
  </si>
  <si>
    <t>308814008700</t>
  </si>
  <si>
    <t>2559</t>
  </si>
  <si>
    <t>CA-CA/732-2026.01</t>
  </si>
  <si>
    <t>C5141-J30-1-P-A/32</t>
  </si>
  <si>
    <t>C5141-P-J30-A</t>
  </si>
  <si>
    <t>F5132-J30-1-P-A/22</t>
  </si>
  <si>
    <t>F5132-P-J30-A</t>
  </si>
  <si>
    <t>F6313-J20-1-P-A/43</t>
  </si>
  <si>
    <t>F4044-J20-1-R-A/12</t>
  </si>
  <si>
    <t>308814100620</t>
  </si>
  <si>
    <t>2558</t>
  </si>
  <si>
    <t>STONE FACINGS LIMITED</t>
  </si>
  <si>
    <t>CA-SI/17-2026</t>
  </si>
  <si>
    <t>C5445-P-250-125-6</t>
  </si>
  <si>
    <t>C5445-P (250x125x6)</t>
  </si>
  <si>
    <t>Ireland</t>
  </si>
  <si>
    <t>C5340-P-250-125-6</t>
  </si>
  <si>
    <t>C5340-P (250x125x6)</t>
  </si>
  <si>
    <t>C4246-P-250-125-6</t>
  </si>
  <si>
    <t>C4246-P (250x125x6)</t>
  </si>
  <si>
    <t>C5340-J20-1-P-A/32</t>
  </si>
  <si>
    <t>C5340-P-J20-A</t>
  </si>
  <si>
    <t>C5340-J20-1-P-A/33</t>
  </si>
  <si>
    <t>C5340-J30-1-P-A/31</t>
  </si>
  <si>
    <t>C5340-P-J30-A</t>
  </si>
  <si>
    <t>308814262320</t>
  </si>
  <si>
    <t>2569</t>
  </si>
  <si>
    <t>CA-CA/733-2026</t>
  </si>
  <si>
    <t>C5141-J30-1-P-A/33</t>
  </si>
  <si>
    <t>308814336300</t>
  </si>
  <si>
    <t>2560</t>
  </si>
  <si>
    <t>Dupont Specialty Products USA, LLC</t>
  </si>
  <si>
    <t>CA-DP/37-2026</t>
  </si>
  <si>
    <t>C1005-J30-1-P-A/54</t>
  </si>
  <si>
    <t>C1005-P-J30-A</t>
  </si>
  <si>
    <t>308814369420</t>
  </si>
  <si>
    <t>2567</t>
  </si>
  <si>
    <t>CA-AT/111-2026.02</t>
  </si>
  <si>
    <t>308814379810</t>
  </si>
  <si>
    <t>2568</t>
  </si>
  <si>
    <t>CA-AT/111-2026.03</t>
  </si>
  <si>
    <t>308814411860</t>
  </si>
  <si>
    <t>2561</t>
  </si>
  <si>
    <t>CA-AT/112-2026</t>
  </si>
  <si>
    <t>C2104-J20-1-P-A/V4</t>
  </si>
  <si>
    <t>308814525520</t>
  </si>
  <si>
    <t>2565</t>
  </si>
  <si>
    <t>JAECKLE WHOLESALE INC</t>
  </si>
  <si>
    <t>CA-JD/103-2026</t>
  </si>
  <si>
    <t>C5331-P-254-127-6</t>
  </si>
  <si>
    <t>C5331-P (254x127x6)</t>
  </si>
  <si>
    <t>C3346-J30-1-H-A/54</t>
  </si>
  <si>
    <t>C3346-H-J30-A</t>
  </si>
  <si>
    <t>C4348-J30-1-P-A/22</t>
  </si>
  <si>
    <t>C4348-P-J30-A</t>
  </si>
  <si>
    <t>C4348-J30-1-P-A/23</t>
  </si>
  <si>
    <t>F5233-J30-1-P-A/31</t>
  </si>
  <si>
    <t>F5233-P-J30-A</t>
  </si>
  <si>
    <t>F5233-J30-1-P-A/32</t>
  </si>
  <si>
    <t>F5233-J30-1-P-A/33</t>
  </si>
  <si>
    <t>308814628310</t>
  </si>
  <si>
    <t>2566</t>
  </si>
  <si>
    <t>CA-JD/104-2026</t>
  </si>
  <si>
    <t>F5233-P-254-254-20</t>
  </si>
  <si>
    <t>F5233-P (254x254x20)</t>
  </si>
  <si>
    <t>F5233-J30-1-P-A/22</t>
  </si>
  <si>
    <t xml:space="preserve">308818164010				</t>
  </si>
  <si>
    <t>2572</t>
  </si>
  <si>
    <t>CA-CA/736-2026</t>
  </si>
  <si>
    <t>F5031-J20-1-P-A/11</t>
  </si>
  <si>
    <t>F5031-P-J20-A</t>
  </si>
  <si>
    <t>F5143-J20-1-P-A/11</t>
  </si>
  <si>
    <t>F5143-P-J20-A</t>
  </si>
  <si>
    <t>F5151-J20-1-P-A/11</t>
  </si>
  <si>
    <t>F5151-P-J20-A</t>
  </si>
  <si>
    <t>F5151-J20-1-P-A/13</t>
  </si>
  <si>
    <t>F5131-J30-1-P-A/54</t>
  </si>
  <si>
    <t>F5131-P-J30-A</t>
  </si>
  <si>
    <t>F6131-J20-1-P-A/54</t>
  </si>
  <si>
    <t>F6131-P-J20-A</t>
  </si>
  <si>
    <t>C0406-J30-1-E-A/22</t>
  </si>
  <si>
    <t>C0406-E-J30-A</t>
  </si>
  <si>
    <t>C5141-J20-1-P-A/32</t>
  </si>
  <si>
    <t>C5141-P-J20-A</t>
  </si>
  <si>
    <t>C5141-J20-1-P-A/33</t>
  </si>
  <si>
    <t>F4011-J20-1-R-A/11</t>
  </si>
  <si>
    <t>F4011-R-J20-A</t>
  </si>
  <si>
    <t>F5105-J30-1-P-A/32</t>
  </si>
  <si>
    <t>308819703420</t>
  </si>
  <si>
    <t>2574</t>
  </si>
  <si>
    <t>CA-CA/737-2026</t>
  </si>
  <si>
    <t>308819766640</t>
  </si>
  <si>
    <t>2573</t>
  </si>
  <si>
    <t>CA-CA/732-2026.02</t>
  </si>
  <si>
    <t>C5100-P-130-70-4</t>
  </si>
  <si>
    <t>C5100-P (130x70x4)</t>
  </si>
  <si>
    <t>308819809820</t>
  </si>
  <si>
    <t>2575</t>
  </si>
  <si>
    <t>CA-AT/113-2026</t>
  </si>
  <si>
    <t>C4342-J30-1-P-A/32</t>
  </si>
  <si>
    <t>C4342-P-J30-A</t>
  </si>
  <si>
    <t>C4342-J30-1-P-A/33</t>
  </si>
  <si>
    <t>308819831520</t>
  </si>
  <si>
    <t>2580</t>
  </si>
  <si>
    <t>CA-AT/114-2026</t>
  </si>
  <si>
    <t>308819874550</t>
  </si>
  <si>
    <t>2581</t>
  </si>
  <si>
    <t>CA-CA/738-2026</t>
  </si>
  <si>
    <t>308819928230</t>
  </si>
  <si>
    <t>2582</t>
  </si>
  <si>
    <t>WORLDWIDE FOR AMERICAN AND GERMAN KITCHENS</t>
  </si>
  <si>
    <t>CA-JO/05-2026.01</t>
  </si>
  <si>
    <t>C4143-J30-1-P-B/11</t>
  </si>
  <si>
    <t>C4143-P-J30-B</t>
  </si>
  <si>
    <t>Jordan</t>
  </si>
  <si>
    <t>C4143-J30-1-P-B/12</t>
  </si>
  <si>
    <t>C4143-J30-1-P-B/13</t>
  </si>
  <si>
    <t>C4147-J30-1-P-B-/31</t>
  </si>
  <si>
    <t>C4147-P-J30-B-</t>
  </si>
  <si>
    <t>C4147-J30-1-P-B-/32</t>
  </si>
  <si>
    <t>C4147-J30-1-P-B-/33</t>
  </si>
  <si>
    <t>C4221-J30-1-P-B-/23</t>
  </si>
  <si>
    <t>C4221-P-J30-B-</t>
  </si>
  <si>
    <t>C4254-J30-1-P-B-/11</t>
  </si>
  <si>
    <t>C4254-P-J30-B-</t>
  </si>
  <si>
    <t>C4254-J30-1-P-B-/13</t>
  </si>
  <si>
    <t>C5341-J30-1-P-B/43</t>
  </si>
  <si>
    <t>C5341-P-J30-B</t>
  </si>
  <si>
    <t>F4254-J30-1-P-B-/33</t>
  </si>
  <si>
    <t>F4254-P-J30-B-</t>
  </si>
  <si>
    <t>308821625510</t>
  </si>
  <si>
    <t>2584</t>
  </si>
  <si>
    <t>CA-CA/739-2026</t>
  </si>
  <si>
    <t>C4147-J30-1-P-B/31</t>
  </si>
  <si>
    <t>C4147-P-J30-B</t>
  </si>
  <si>
    <t>C4147-J30-1-P-B/32</t>
  </si>
  <si>
    <t>C4147-J30-1-P-B/33</t>
  </si>
  <si>
    <t>C4147-J30-1-P-B/43</t>
  </si>
  <si>
    <t>C4221-J30-1-P-B/22</t>
  </si>
  <si>
    <t>C4221-P-J30-B</t>
  </si>
  <si>
    <t>C4221-J30-1-P-B/23</t>
  </si>
  <si>
    <t>C5233-J30-1-P-B/32</t>
  </si>
  <si>
    <t>C5233-P-J30-B</t>
  </si>
  <si>
    <t>C5233-J30-1-P-B/33</t>
  </si>
  <si>
    <t>C5341-J30-1-P-B/41</t>
  </si>
  <si>
    <t>308821665300</t>
  </si>
  <si>
    <t>2585</t>
  </si>
  <si>
    <t>CA-CA/740-2026</t>
  </si>
  <si>
    <t>G5233-J30-1-P-B/32</t>
  </si>
  <si>
    <t>G5233-P-J30-B</t>
  </si>
  <si>
    <t>G5233-J30-1-P-B/33</t>
  </si>
  <si>
    <t>308821741450</t>
  </si>
  <si>
    <t>2598</t>
  </si>
  <si>
    <t>CA-CA/741-2026.01</t>
  </si>
  <si>
    <t>F5110-J20-1-P-A/11</t>
  </si>
  <si>
    <t>F5110-P-J20-A</t>
  </si>
  <si>
    <t>308821786140</t>
  </si>
  <si>
    <t>2588</t>
  </si>
  <si>
    <t>CA-JO/05-2026.02</t>
  </si>
  <si>
    <t>F5110-J20-1-P-A/12</t>
  </si>
  <si>
    <t>F5110-J20-1-P-A/54</t>
  </si>
  <si>
    <t>F5141-J30-1-P-A/12</t>
  </si>
  <si>
    <t>308821840520</t>
  </si>
  <si>
    <t>2595</t>
  </si>
  <si>
    <t>CA-JD/105-2026</t>
  </si>
  <si>
    <t>308821883920</t>
  </si>
  <si>
    <t>2594</t>
  </si>
  <si>
    <t>CA-JD/107-2026</t>
  </si>
  <si>
    <t>C3105-P-254-127-6</t>
  </si>
  <si>
    <t>C3105-P (254x127x6)</t>
  </si>
  <si>
    <t>C3105-J30-1-P-A/11</t>
  </si>
  <si>
    <t>C3105-P-J30-A</t>
  </si>
  <si>
    <t>C3146-J30-1-P-A/11</t>
  </si>
  <si>
    <t>C3146-P-J30-A</t>
  </si>
  <si>
    <t>C4145-J30-1-P-A/11</t>
  </si>
  <si>
    <t>C4145-P-J30-A</t>
  </si>
  <si>
    <t>C4145-J30-1-P-A/12</t>
  </si>
  <si>
    <t>308822231710</t>
  </si>
  <si>
    <t>2586</t>
  </si>
  <si>
    <t>CA-CA/743-2026</t>
  </si>
  <si>
    <t>F5151-P-70-60-4</t>
  </si>
  <si>
    <t>F5151-P (70x60x4)</t>
  </si>
  <si>
    <t>F5441-J20-1-P-A/21</t>
  </si>
  <si>
    <t>F5441-P-J20-A</t>
  </si>
  <si>
    <t>F5441-J20-1-P-B/22</t>
  </si>
  <si>
    <t>F5441-P-J20-B</t>
  </si>
  <si>
    <t>308822395140</t>
  </si>
  <si>
    <t>2589</t>
  </si>
  <si>
    <t>CA-CA/744-2026</t>
  </si>
  <si>
    <t>F5130-J20-1-P-B/11</t>
  </si>
  <si>
    <t>F5130-P-J20-B</t>
  </si>
  <si>
    <t>F5130-J20-1-P-B/12</t>
  </si>
  <si>
    <t>308823092450</t>
  </si>
  <si>
    <t>2599</t>
  </si>
  <si>
    <t>AMCO MARBLE FZ LLC</t>
  </si>
  <si>
    <t>CA-AE/01-2026</t>
  </si>
  <si>
    <t>C2104-P-254-127-6</t>
  </si>
  <si>
    <t>C2104-P (254x127x6)</t>
  </si>
  <si>
    <t>Ả Rập</t>
  </si>
  <si>
    <t>C3311-P-250-125-6</t>
  </si>
  <si>
    <t>C3311-P (250x125x6)</t>
  </si>
  <si>
    <t>C4149-P-254-127-6</t>
  </si>
  <si>
    <t>C4149-P (254x127x6)</t>
  </si>
  <si>
    <t>C4342-P-200-100-6</t>
  </si>
  <si>
    <t>C4342-P (200x100x6)</t>
  </si>
  <si>
    <t>C2262-P-250-125-6</t>
  </si>
  <si>
    <t>C2262-P (250x125x6)</t>
  </si>
  <si>
    <t>C3269-P-200-100-6</t>
  </si>
  <si>
    <t>C3269-P (200x100x6)</t>
  </si>
  <si>
    <t>C4147-P-200-100-6</t>
  </si>
  <si>
    <t>C4147-P (200x100x6)</t>
  </si>
  <si>
    <t>C3346-P-200-100-6</t>
  </si>
  <si>
    <t>C3346-P (200x100x6)</t>
  </si>
  <si>
    <t>C2104-J20-1-P-B/23</t>
  </si>
  <si>
    <t>C2104-P-J20-B</t>
  </si>
  <si>
    <t>C2104-J20-1-P-B/43</t>
  </si>
  <si>
    <t>C2104-J20-1-P-B/52</t>
  </si>
  <si>
    <t>C2104-J20-1-P-B/53</t>
  </si>
  <si>
    <t>C2262-J20-1-P-B/12</t>
  </si>
  <si>
    <t>C2262-P-J20-B</t>
  </si>
  <si>
    <t>C2262-J20-1-P-B/32</t>
  </si>
  <si>
    <t>C3269-J20-1-P-A/11</t>
  </si>
  <si>
    <t>C3269-P-J20-A</t>
  </si>
  <si>
    <t>C3269-J20-1-P-A/13</t>
  </si>
  <si>
    <t>C3269-J20-1-P-B/11</t>
  </si>
  <si>
    <t>C3269-P-J20-B</t>
  </si>
  <si>
    <t>C3269-J20-1-P-B/13</t>
  </si>
  <si>
    <t>C3311-J20-1-P-B/31</t>
  </si>
  <si>
    <t>C3311-P-J20-B</t>
  </si>
  <si>
    <t>C3311-J20-1-P-B/32</t>
  </si>
  <si>
    <t>C3346-J20-1-P-B/22</t>
  </si>
  <si>
    <t>C3346-P-J20-B</t>
  </si>
  <si>
    <t>C4147-J20-1-P-B/31</t>
  </si>
  <si>
    <t>C4147-P-J20-B</t>
  </si>
  <si>
    <t>C4147-J20-1-P-B/32</t>
  </si>
  <si>
    <t>C4147-J20-1-P-B/33</t>
  </si>
  <si>
    <t>C4149-J20-1-P-A/32</t>
  </si>
  <si>
    <t>C4149-P-J20-A</t>
  </si>
  <si>
    <t>C4149-J20-1-P-A/33</t>
  </si>
  <si>
    <t>C4149-J20-1-P-B/21</t>
  </si>
  <si>
    <t>C4149-P-J20-B</t>
  </si>
  <si>
    <t>C4149-J20-1-P-B/22</t>
  </si>
  <si>
    <t>C4149-J20-1-P-B-/22</t>
  </si>
  <si>
    <t>C4149-P-J20-B-</t>
  </si>
  <si>
    <t>C4149-J20-1-P-B/23</t>
  </si>
  <si>
    <t>C4149-J20-1-P-B-/23</t>
  </si>
  <si>
    <t>C4149-J20-1-P-B/32</t>
  </si>
  <si>
    <t>C4149-J20-1-P-B-/32</t>
  </si>
  <si>
    <t>C4342-J20-1-P-B-/31</t>
  </si>
  <si>
    <t>C4342-P-J20-B-</t>
  </si>
  <si>
    <t>C4342-J20-1-P-B-/32</t>
  </si>
  <si>
    <t>C4342-J20-1-P-B/41</t>
  </si>
  <si>
    <t>C4342-P-J20-B</t>
  </si>
  <si>
    <t>C4342-J20-1-P-B-/42</t>
  </si>
  <si>
    <t>C4342-J20-1-P-B/43</t>
  </si>
  <si>
    <t>C4342-J20-1-P-B-/43</t>
  </si>
  <si>
    <t>308823291620</t>
  </si>
  <si>
    <t>2596</t>
  </si>
  <si>
    <t>CA-JD/106-2026</t>
  </si>
  <si>
    <t>F5233-P-254-127-20</t>
  </si>
  <si>
    <t>F5233-P (254x127x20)</t>
  </si>
  <si>
    <t>C2104-J30-1-P-A/54</t>
  </si>
  <si>
    <t>C2104-P-J30-A</t>
  </si>
  <si>
    <t>C2104-J30-1-P-A/V4</t>
  </si>
  <si>
    <t>308823304550</t>
  </si>
  <si>
    <t>2587</t>
  </si>
  <si>
    <t>CA-CA/742-2026.01</t>
  </si>
  <si>
    <t>F5110-P-70-60-4</t>
  </si>
  <si>
    <t>F5110-P (70x60x4)</t>
  </si>
  <si>
    <t>F5113-P-70-60-4</t>
  </si>
  <si>
    <t>F5113-P (70x60x4)</t>
  </si>
  <si>
    <t>F5144-P-70-60-4</t>
  </si>
  <si>
    <t>F5144-P (70x60x4)</t>
  </si>
  <si>
    <t>F5171-P-70-60-4</t>
  </si>
  <si>
    <t>F5171-P (70x60x4)</t>
  </si>
  <si>
    <t>F6134-P-70-60-4</t>
  </si>
  <si>
    <t>F6134-P (70x60x4)</t>
  </si>
  <si>
    <t>F8252-P-70-60-4</t>
  </si>
  <si>
    <t>F8252-P (70x60x4)</t>
  </si>
  <si>
    <t>308823401150</t>
  </si>
  <si>
    <t>2597</t>
  </si>
  <si>
    <t>CA-CA/742-2026.02</t>
  </si>
  <si>
    <t>308826232760</t>
  </si>
  <si>
    <t>2600</t>
  </si>
  <si>
    <t>CA-CA/745-2026.02</t>
  </si>
  <si>
    <t>C4011-R-200-200-20</t>
  </si>
  <si>
    <t>C4011-R (200x200x20)</t>
  </si>
  <si>
    <t>C4011-R-350-280-20</t>
  </si>
  <si>
    <t>C4011-R (350x280x20)</t>
  </si>
  <si>
    <t>C4011-R-200-50-20</t>
  </si>
  <si>
    <t>C4011-R (200x50x20)</t>
  </si>
  <si>
    <t>C4011-R-600-600-20</t>
  </si>
  <si>
    <t>C4011-R (600x600x20)</t>
  </si>
  <si>
    <t>C4033-R-200-200-20</t>
  </si>
  <si>
    <t>C4033-R (200x200x20)</t>
  </si>
  <si>
    <t>C4033-R-350-280-20</t>
  </si>
  <si>
    <t>C4033-R (350x280x20)</t>
  </si>
  <si>
    <t>C4033-R-200-50-20</t>
  </si>
  <si>
    <t>C4033-R (200x50x20)</t>
  </si>
  <si>
    <t>C4033-R-600-600-20</t>
  </si>
  <si>
    <t>C4033-R (600x600x20)</t>
  </si>
  <si>
    <t>C5003-P-200-200-20</t>
  </si>
  <si>
    <t>C5003-P (200x200x20)</t>
  </si>
  <si>
    <t>C5003-P-350-280-20</t>
  </si>
  <si>
    <t>C5003-P (350x280x20)</t>
  </si>
  <si>
    <t>C5003-P-200-50-20</t>
  </si>
  <si>
    <t>C5003-P (200x50x20)</t>
  </si>
  <si>
    <t>C5003-P-600-600-20</t>
  </si>
  <si>
    <t>C5003-P (600x600x20)</t>
  </si>
  <si>
    <t>F5222-R-200-200-20</t>
  </si>
  <si>
    <t>F5222-R (200x200x20)</t>
  </si>
  <si>
    <t>F5222-R-350-280-20</t>
  </si>
  <si>
    <t>F5222-R (350x280x20)</t>
  </si>
  <si>
    <t>F5222-R-200-50-20</t>
  </si>
  <si>
    <t>F5222-R (200x50x20)</t>
  </si>
  <si>
    <t>F5222-R-600-600-20</t>
  </si>
  <si>
    <t>F5222-R (600x600x20)</t>
  </si>
  <si>
    <t>C4044-R-200-200-20</t>
  </si>
  <si>
    <t>C4044-R (200x200x20)</t>
  </si>
  <si>
    <t>C4044-R-350-280-20</t>
  </si>
  <si>
    <t>C4044-R (350x280x20)</t>
  </si>
  <si>
    <t>C4044-R-200-50-20</t>
  </si>
  <si>
    <t>C4044-R (200x50x20)</t>
  </si>
  <si>
    <t>C4044-R-600-600-20</t>
  </si>
  <si>
    <t>C4044-R (600x600x20)</t>
  </si>
  <si>
    <t>C4004-J20-1-E-A/31</t>
  </si>
  <si>
    <t>C4004-E-J20-A</t>
  </si>
  <si>
    <t>308826548130</t>
  </si>
  <si>
    <t>2615</t>
  </si>
  <si>
    <t>CA-CA/747-2026.01</t>
  </si>
  <si>
    <t>C5212-P-130-70-4</t>
  </si>
  <si>
    <t>C5212-P (130x70x4)</t>
  </si>
  <si>
    <t>C6131-P-130-70-4</t>
  </si>
  <si>
    <t>C6131-P (130x70x4)</t>
  </si>
  <si>
    <t>F4004-E-130-70-4</t>
  </si>
  <si>
    <t>F4004-E (130x70x4)</t>
  </si>
  <si>
    <t>F5140-E-130-70-4</t>
  </si>
  <si>
    <t>F5140-E (130x70x4)</t>
  </si>
  <si>
    <t>F5140-E-250-125-20</t>
  </si>
  <si>
    <t>F5140-E (250x125x20)</t>
  </si>
  <si>
    <t>C1111-P-130-70-4</t>
  </si>
  <si>
    <t>C1111-P (130x70x4)</t>
  </si>
  <si>
    <t>308826568800</t>
  </si>
  <si>
    <t>2601</t>
  </si>
  <si>
    <t>CA-CA/747-2026.02</t>
  </si>
  <si>
    <t>C5151-J13-1-P-A/12</t>
  </si>
  <si>
    <t>C5151-P-J13-A</t>
  </si>
  <si>
    <t>C5212-J20-1-E-A/41</t>
  </si>
  <si>
    <t>C5212-E-J20-A</t>
  </si>
  <si>
    <t>308826591310</t>
  </si>
  <si>
    <t>2604</t>
  </si>
  <si>
    <t>CA-CA/747-2026.03</t>
  </si>
  <si>
    <t>C5212-P-250-125-13</t>
  </si>
  <si>
    <t>C5212-P (250x125x13)</t>
  </si>
  <si>
    <t>F5171-P-250-125-20</t>
  </si>
  <si>
    <t>F5171-P (250x125x20)</t>
  </si>
  <si>
    <t>308826644140</t>
  </si>
  <si>
    <t>2602</t>
  </si>
  <si>
    <t>CA-CA/748-2026</t>
  </si>
  <si>
    <t>C4011-J30-1-R-A/11</t>
  </si>
  <si>
    <t>C4011-R-J30-A</t>
  </si>
  <si>
    <t>F5100-J30-1-P-A/13</t>
  </si>
  <si>
    <t>F5100-J30-1-P-B/13</t>
  </si>
  <si>
    <t>F5100-P-J30-B</t>
  </si>
  <si>
    <t>C5141-J30-1-P-A/31</t>
  </si>
  <si>
    <t>308826677960</t>
  </si>
  <si>
    <t>2603</t>
  </si>
  <si>
    <t>CA-CA/749-2026</t>
  </si>
  <si>
    <t>308826750430</t>
  </si>
  <si>
    <t>2614</t>
  </si>
  <si>
    <t>CA-CA/746-2026.01</t>
  </si>
  <si>
    <t>C5151-P-250-125-20</t>
  </si>
  <si>
    <t>C5151-P (250x125x20)</t>
  </si>
  <si>
    <t>Nam Phi</t>
  </si>
  <si>
    <t>308826788340</t>
  </si>
  <si>
    <t>2613</t>
  </si>
  <si>
    <t>CA-CA/746-2026.02</t>
  </si>
  <si>
    <t>308826802230</t>
  </si>
  <si>
    <t>2612</t>
  </si>
  <si>
    <t>CA-AT/115-2026</t>
  </si>
  <si>
    <t>308826852520</t>
  </si>
  <si>
    <t>2611</t>
  </si>
  <si>
    <t>CA-CA/746-2026.02-GC</t>
  </si>
  <si>
    <t>M4043-R-250-125-20</t>
  </si>
  <si>
    <t>M4043 (250x125x20)</t>
  </si>
  <si>
    <t>308827016540</t>
  </si>
  <si>
    <t>2610</t>
  </si>
  <si>
    <t>CA-CA/751-2026.01</t>
  </si>
  <si>
    <t>F5113-J20-1-P-A/42</t>
  </si>
  <si>
    <t>F5113-P-J20-A</t>
  </si>
  <si>
    <t>F5113-J20-1-P-A/43</t>
  </si>
  <si>
    <t>F5441-J20-1-P-A/22</t>
  </si>
  <si>
    <t>308829263320</t>
  </si>
  <si>
    <t>2609</t>
  </si>
  <si>
    <t>CA-CA/750-2026.01</t>
  </si>
  <si>
    <t>308829283840</t>
  </si>
  <si>
    <t>2608</t>
  </si>
  <si>
    <t>CA-CA/750-2026.02</t>
  </si>
  <si>
    <t>C6131-J20-1-P-A/43</t>
  </si>
  <si>
    <t>C6131-P-J20-A</t>
  </si>
  <si>
    <t>F5100-J30-1-P-A/54</t>
  </si>
  <si>
    <t>308826179710</t>
  </si>
  <si>
    <t>2620</t>
  </si>
  <si>
    <t>CA-CA/745-2026.01</t>
  </si>
  <si>
    <t>308830035050</t>
  </si>
  <si>
    <t>2621</t>
  </si>
  <si>
    <t>CA-DM/68-2026</t>
  </si>
  <si>
    <t>C5233-P-254-127-20</t>
  </si>
  <si>
    <t>C5233-P (254x127x20)</t>
  </si>
  <si>
    <t>C5233-J30-1-P-A/22</t>
  </si>
  <si>
    <t>C5233-P-J30-A</t>
  </si>
  <si>
    <t>308830049200</t>
  </si>
  <si>
    <t>2622</t>
  </si>
  <si>
    <t>CA-DM/69-2026</t>
  </si>
  <si>
    <t>C5233-J30-1-P-A/23</t>
  </si>
  <si>
    <t>308830127120</t>
  </si>
  <si>
    <t>2628</t>
  </si>
  <si>
    <t>CA-AT/116-2026.05</t>
  </si>
  <si>
    <t>308830139500</t>
  </si>
  <si>
    <t>2636</t>
  </si>
  <si>
    <t>CA-CA/752-2026</t>
  </si>
  <si>
    <t>F5130-J30-1-P-A/54</t>
  </si>
  <si>
    <t>F5130-P-J30-A</t>
  </si>
  <si>
    <t>Canada</t>
  </si>
  <si>
    <t>308830167020</t>
  </si>
  <si>
    <t>2635</t>
  </si>
  <si>
    <t>CA-CA/741-2026.02</t>
  </si>
  <si>
    <t>C4003-J20-1-E-A/31</t>
  </si>
  <si>
    <t>C4003-E-J20-A</t>
  </si>
  <si>
    <t>C4003-J20-1-E-A/32</t>
  </si>
  <si>
    <t>F4001-J20-1-E-A/12</t>
  </si>
  <si>
    <t>308830192330</t>
  </si>
  <si>
    <t>2624</t>
  </si>
  <si>
    <t>CA-CA/753-2026</t>
  </si>
  <si>
    <t>308830197560</t>
  </si>
  <si>
    <t>2634</t>
  </si>
  <si>
    <t>CA-JO/06-2026.01</t>
  </si>
  <si>
    <t>C1102-J30-1-H-B/22</t>
  </si>
  <si>
    <t>C1102-H-J30-B</t>
  </si>
  <si>
    <t>C1102-J30-1-P-B/21</t>
  </si>
  <si>
    <t>C1102-P-J30-B</t>
  </si>
  <si>
    <t>C1102-J30-1-P-B-/21</t>
  </si>
  <si>
    <t>C1102-P-J30-B-</t>
  </si>
  <si>
    <t>C1102-J30-1-P-B/22</t>
  </si>
  <si>
    <t>C1102-J30-1-P-B-/22</t>
  </si>
  <si>
    <t>C1102-J30-1-P-B/32</t>
  </si>
  <si>
    <t>C1102-J30-1-P-B/51</t>
  </si>
  <si>
    <t>C1102-J30-1-P-B/52</t>
  </si>
  <si>
    <t>C1102-J30-1-P-B-/52</t>
  </si>
  <si>
    <t>C1102-J30-1-P-B/53</t>
  </si>
  <si>
    <t>308830296740</t>
  </si>
  <si>
    <t>2633</t>
  </si>
  <si>
    <t>CA-CA/754-2026.01</t>
  </si>
  <si>
    <t>F5143-J20-1-P-A/13</t>
  </si>
  <si>
    <t>308830308420</t>
  </si>
  <si>
    <t>2632</t>
  </si>
  <si>
    <t>CA-CA/754-2026.02</t>
  </si>
  <si>
    <t>C4033-R-70-60-4</t>
  </si>
  <si>
    <t>C4033-R (70x60x4)</t>
  </si>
  <si>
    <t>C4270-P-130-70-4</t>
  </si>
  <si>
    <t>C4270-P (130x70x4)</t>
  </si>
  <si>
    <t>C5116-P-130-70-4</t>
  </si>
  <si>
    <t>C5116-P (130x70x4)</t>
  </si>
  <si>
    <t>C6046-P-70-60-4</t>
  </si>
  <si>
    <t>C6046-P (70x60x4)</t>
  </si>
  <si>
    <t>C6611-P-130-70-4</t>
  </si>
  <si>
    <t>C6611-P (130x70x4)</t>
  </si>
  <si>
    <t>F5444-P-130-70-4</t>
  </si>
  <si>
    <t>F5444-P (130x70x4)</t>
  </si>
  <si>
    <t>C5212-P-70-60-4</t>
  </si>
  <si>
    <t>C5212-P (70x60x4)</t>
  </si>
  <si>
    <t>F5151-J20-1-P-A/12</t>
  </si>
  <si>
    <t>308830318920</t>
  </si>
  <si>
    <t>2631</t>
  </si>
  <si>
    <t>CA-CA/747-2026.04</t>
  </si>
  <si>
    <t>F4004-E-250-125-20</t>
  </si>
  <si>
    <t>F4004-E (250x125x20)</t>
  </si>
  <si>
    <t>C5820-E-130-70-4</t>
  </si>
  <si>
    <t>C5820-E (130x70x4)</t>
  </si>
  <si>
    <t>F5152-P-130-70-4</t>
  </si>
  <si>
    <t>F5152-P (130x70x4)</t>
  </si>
  <si>
    <t>F5310-P-130-70-4</t>
  </si>
  <si>
    <t>F5310-P (130x70x4)</t>
  </si>
  <si>
    <t>C5130-P-250-125-20</t>
  </si>
  <si>
    <t>C5130-P (250x125x20)</t>
  </si>
  <si>
    <t>C4044-J20-1-R-A/12</t>
  </si>
  <si>
    <t>C4044-R-J20-A</t>
  </si>
  <si>
    <t>C5003-J20-1-P-A/33</t>
  </si>
  <si>
    <t>C5003-P-J20-A</t>
  </si>
  <si>
    <t>F5143-J20-1-P-A/12</t>
  </si>
  <si>
    <t>308830353700</t>
  </si>
  <si>
    <t>2630</t>
  </si>
  <si>
    <t>CA-CA/747-2026.05</t>
  </si>
  <si>
    <t>C5212-E-130-70-4</t>
  </si>
  <si>
    <t>C5212-E (130x70x4)</t>
  </si>
  <si>
    <t>F5113-P-130-70-4</t>
  </si>
  <si>
    <t>F5113-P (130x70x4)</t>
  </si>
  <si>
    <t>308830374660</t>
  </si>
  <si>
    <t>2625</t>
  </si>
  <si>
    <t>CA-CA/747-2026.06</t>
  </si>
  <si>
    <t>308830410950</t>
  </si>
  <si>
    <t>2619</t>
  </si>
  <si>
    <t>CA-CA/751-2026.02</t>
  </si>
  <si>
    <t>308830507220</t>
  </si>
  <si>
    <t>2629</t>
  </si>
  <si>
    <t>CA-CA/755-2026</t>
  </si>
  <si>
    <t>F5113-J20-1-P-A/41</t>
  </si>
  <si>
    <t>F5444-J20-1-P-A/22</t>
  </si>
  <si>
    <t>F5444-P-J20-A</t>
  </si>
  <si>
    <t>F5441-J20-1-P-A/23</t>
  </si>
  <si>
    <t>308832586000</t>
  </si>
  <si>
    <t>2646</t>
  </si>
  <si>
    <t>CA-DM/70-2026</t>
  </si>
  <si>
    <t>C4143-P-254-127-20</t>
  </si>
  <si>
    <t>C4143-P (254x127x20)</t>
  </si>
  <si>
    <t>C4143-J30-1-P-A/54</t>
  </si>
  <si>
    <t>C4143-P-J30-A</t>
  </si>
  <si>
    <t>308832592740</t>
  </si>
  <si>
    <t>2641</t>
  </si>
  <si>
    <t>CA-DM/71-2026</t>
  </si>
  <si>
    <t>308832702860</t>
  </si>
  <si>
    <t>2640</t>
  </si>
  <si>
    <t>CA-JO/06-2026.02</t>
  </si>
  <si>
    <t>C4143-J30-1-P-B/33</t>
  </si>
  <si>
    <t>C4202-J30-1-P-B/22</t>
  </si>
  <si>
    <t>C4202-P-J30-B</t>
  </si>
  <si>
    <t>C4202-J30-1-P-B/23</t>
  </si>
  <si>
    <t>C5445-J30-1-P-B/32</t>
  </si>
  <si>
    <t>C5445-P-J30-B</t>
  </si>
  <si>
    <t>C5445-J30-1-P-B/33</t>
  </si>
  <si>
    <t>F4143-J30-1-P-B/11</t>
  </si>
  <si>
    <t>F4143-P-J30-B</t>
  </si>
  <si>
    <t>F4143-J30-1-P-B/12</t>
  </si>
  <si>
    <t>F5233-J30-1-P-B/22</t>
  </si>
  <si>
    <t>F5233-P-J30-B</t>
  </si>
  <si>
    <t>308832875800</t>
  </si>
  <si>
    <t>2647</t>
  </si>
  <si>
    <t>CA-AT/116-2026.02.03</t>
  </si>
  <si>
    <t>C4342-J20-1-P-A/32</t>
  </si>
  <si>
    <t>308833061850</t>
  </si>
  <si>
    <t>2648</t>
  </si>
  <si>
    <t>CA-CA/754-2026.03</t>
  </si>
  <si>
    <t>F5131-P-250-125-20</t>
  </si>
  <si>
    <t>F5131-P (250x125x20)</t>
  </si>
  <si>
    <t>C5118-P-130-70-4</t>
  </si>
  <si>
    <t>C5118-P (130x70x4)</t>
  </si>
  <si>
    <t>308833154360</t>
  </si>
  <si>
    <t>2645</t>
  </si>
  <si>
    <t>CA-DM/72-2026</t>
  </si>
  <si>
    <t>308833534830</t>
  </si>
  <si>
    <t>2649</t>
  </si>
  <si>
    <t>CA-CA/761-2026</t>
  </si>
  <si>
    <t>Anh</t>
  </si>
  <si>
    <t>308833673540</t>
  </si>
  <si>
    <t>2650</t>
  </si>
  <si>
    <t>CA-CA/759-2026</t>
  </si>
  <si>
    <t>308834021920</t>
  </si>
  <si>
    <t>2651</t>
  </si>
  <si>
    <t>CA-CA/756-2026.01</t>
  </si>
  <si>
    <t>C4033-R-100-100-20</t>
  </si>
  <si>
    <t>C4033-R (100x100x20)</t>
  </si>
  <si>
    <t>C5000-P-100-100-20</t>
  </si>
  <si>
    <t>C5000-P (100x100x20)</t>
  </si>
  <si>
    <t>C5000-P-250-125-20</t>
  </si>
  <si>
    <t>C5000-P (250x125x20)</t>
  </si>
  <si>
    <t>C5100-P-70-60-4</t>
  </si>
  <si>
    <t>C5100-P (70x60x4)</t>
  </si>
  <si>
    <t>C5111-P-250-125-20</t>
  </si>
  <si>
    <t>C5111-P (250x125x20)</t>
  </si>
  <si>
    <t>F4011-R-100-100-20</t>
  </si>
  <si>
    <t>F4011-R (100x100x20)</t>
  </si>
  <si>
    <t>F5031-P-250-125-20</t>
  </si>
  <si>
    <t>F5031-P (250x125x20)</t>
  </si>
  <si>
    <t>F5113-J30-1-P-A/42</t>
  </si>
  <si>
    <t>F5113-P-J30-A</t>
  </si>
  <si>
    <t>F5113-J30-1-P-A/43</t>
  </si>
  <si>
    <t>308834058060</t>
  </si>
  <si>
    <t>2652</t>
  </si>
  <si>
    <t>CA-CA/756-2026.01-23</t>
  </si>
  <si>
    <t>M5000-P-250-125-20</t>
  </si>
  <si>
    <t>M5000 (250x125x20)</t>
  </si>
  <si>
    <t>M5100-P-69.5-59.5-3.7</t>
  </si>
  <si>
    <t>M5100 (69.5x59.5x3.7)</t>
  </si>
  <si>
    <t>M5820-H-250-125-20</t>
  </si>
  <si>
    <t>M5820 (250x125x20)</t>
  </si>
  <si>
    <t>308834083260</t>
  </si>
  <si>
    <t>2653</t>
  </si>
  <si>
    <t>CA-CA/756-2026.01-25</t>
  </si>
  <si>
    <t>M4043-R-100-100-20</t>
  </si>
  <si>
    <t>M4043 (100x100x20)</t>
  </si>
  <si>
    <t>308834114210</t>
  </si>
  <si>
    <t>2654</t>
  </si>
  <si>
    <t>CA-CA/756-2026.02</t>
  </si>
  <si>
    <t>C5118-P-250-125-20</t>
  </si>
  <si>
    <t>C5118-P (250x125x20)</t>
  </si>
  <si>
    <t>C5000-J20-1-P-A/33</t>
  </si>
  <si>
    <t>C5000-P-J20-A</t>
  </si>
  <si>
    <t>F5310-J20-1-P-A/41</t>
  </si>
  <si>
    <t>F5310-P-J20-A</t>
  </si>
  <si>
    <t>F5310-J20-1-P-A/42</t>
  </si>
  <si>
    <t>308834317650</t>
  </si>
  <si>
    <t>2655</t>
  </si>
  <si>
    <t>CA-CA/760-2026</t>
  </si>
  <si>
    <t>G5115-J30-1-P-A/41</t>
  </si>
  <si>
    <t>G5115-P-J30-A</t>
  </si>
  <si>
    <t>G5115-J30-1-P-A/43</t>
  </si>
  <si>
    <t>G5171-J30-1-P-A/43</t>
  </si>
  <si>
    <t>G5171-P-J30-A</t>
  </si>
  <si>
    <t>308834331910</t>
  </si>
  <si>
    <t>2639</t>
  </si>
  <si>
    <t>CA-CA/757-2026</t>
  </si>
  <si>
    <t>C4023-J30-1-R-A/11</t>
  </si>
  <si>
    <t>C4023-R-J30-A</t>
  </si>
  <si>
    <t>308834445640</t>
  </si>
  <si>
    <t>2656</t>
  </si>
  <si>
    <t>CA-CA/762-2026</t>
  </si>
  <si>
    <t>Hy Lạp</t>
  </si>
  <si>
    <t>F8250-P-100-100-20</t>
  </si>
  <si>
    <t>F8250-P (100x100x20)</t>
  </si>
  <si>
    <t>F5144-J20-1-P-A/54</t>
  </si>
  <si>
    <t>F5144-P-J20-A</t>
  </si>
  <si>
    <t>F5310-J20-1-P-A/43</t>
  </si>
  <si>
    <t>308834506210</t>
  </si>
  <si>
    <t>2657</t>
  </si>
  <si>
    <t>CA-CA/758-2026</t>
  </si>
  <si>
    <t>308836719460</t>
  </si>
  <si>
    <t>2666</t>
  </si>
  <si>
    <t>CA-AT/116-2026.01</t>
  </si>
  <si>
    <t>C4342-J20-1-H-A/C2</t>
  </si>
  <si>
    <t>C4342-H-J20-A</t>
  </si>
  <si>
    <t>C4342-J20-1-H-A/31</t>
  </si>
  <si>
    <t>308836855630</t>
  </si>
  <si>
    <t>2665</t>
  </si>
  <si>
    <t>CA-CA/763-2026</t>
  </si>
  <si>
    <t>C4143-J30-1-P-A/11</t>
  </si>
  <si>
    <t>308837075210</t>
  </si>
  <si>
    <t>2664</t>
  </si>
  <si>
    <t>CA-DM/74-2026</t>
  </si>
  <si>
    <t>308837101330</t>
  </si>
  <si>
    <t>2663</t>
  </si>
  <si>
    <t>CA-DM/75-2026</t>
  </si>
  <si>
    <t>308837124430</t>
  </si>
  <si>
    <t>2662</t>
  </si>
  <si>
    <t>CA-DM/73-2026</t>
  </si>
  <si>
    <t>308837205850</t>
  </si>
  <si>
    <t>2661</t>
  </si>
  <si>
    <t>CA-JD/108-2026</t>
  </si>
  <si>
    <t>308837450850</t>
  </si>
  <si>
    <t>2658</t>
  </si>
  <si>
    <t>JAZ Holdings</t>
  </si>
  <si>
    <t>CA-SR/04-2026</t>
  </si>
  <si>
    <t>SR26004.01-C5340-J20-P-V</t>
  </si>
  <si>
    <t>SR26004.01-C5340-J20-P-M</t>
  </si>
  <si>
    <t>SR26004.01-C5340-J20-P-S</t>
  </si>
  <si>
    <t>308837597740</t>
  </si>
  <si>
    <t>2660</t>
  </si>
  <si>
    <t>CA-CA/767S-2026</t>
  </si>
  <si>
    <t>F5133-P-250-125-20</t>
  </si>
  <si>
    <t>F5133-P (250x125x20)</t>
  </si>
  <si>
    <t>F6131-P-250-125-20</t>
  </si>
  <si>
    <t>F6131-P (250x125x20)</t>
  </si>
  <si>
    <t>308837835520</t>
  </si>
  <si>
    <t>2667</t>
  </si>
  <si>
    <t>CA-CA/764-2026.01</t>
  </si>
  <si>
    <t>C5212-J20-1-E-A/42</t>
  </si>
  <si>
    <t>C6003-J20-1-P-A/43</t>
  </si>
  <si>
    <t>C6003-P-J20-A</t>
  </si>
  <si>
    <t>308838089950</t>
  </si>
  <si>
    <t>2659</t>
  </si>
  <si>
    <t>CA-CA/751-2026.03</t>
  </si>
  <si>
    <t>F5115-P-70-60-4</t>
  </si>
  <si>
    <t>F5115-P (70x60x4)</t>
  </si>
  <si>
    <t>308838405320</t>
  </si>
  <si>
    <t>2675</t>
  </si>
  <si>
    <t>CA-CA/766-2026.01</t>
  </si>
  <si>
    <t>308838410000</t>
  </si>
  <si>
    <t>2673</t>
  </si>
  <si>
    <t>CA-CA/766-2026.02</t>
  </si>
  <si>
    <t>308838546350</t>
  </si>
  <si>
    <t>2674</t>
  </si>
  <si>
    <t>CA-CA/764-2026.02</t>
  </si>
  <si>
    <t>C5222-J30-1-R-A/11</t>
  </si>
  <si>
    <t>C5222-R-J30-A</t>
  </si>
  <si>
    <t>C4023-J13-1-R-A/11</t>
  </si>
  <si>
    <t>C4023-R-J13-A</t>
  </si>
  <si>
    <t>308838631310</t>
  </si>
  <si>
    <t>2672</t>
  </si>
  <si>
    <t>CA-CA/765-2026</t>
  </si>
  <si>
    <t>Estonia</t>
  </si>
  <si>
    <t>F5144-J20-1-P-A/12</t>
  </si>
  <si>
    <t>308840887630</t>
  </si>
  <si>
    <t>2680</t>
  </si>
  <si>
    <t>CA-CA/768-2026</t>
  </si>
  <si>
    <t>C5151-P-100-100-20</t>
  </si>
  <si>
    <t>C5151-P (100x100x20)</t>
  </si>
  <si>
    <t>F5143-J30-1-P-B/12</t>
  </si>
  <si>
    <t>F5143-P-J30-B</t>
  </si>
  <si>
    <t>308841033450</t>
  </si>
  <si>
    <t>2681</t>
  </si>
  <si>
    <t>CA-CA/770-2026.01</t>
  </si>
  <si>
    <t>F4011-R-70-60-4</t>
  </si>
  <si>
    <t>F4011-R (70x60x4)</t>
  </si>
  <si>
    <t>F4001-E-70-60-4</t>
  </si>
  <si>
    <t>F4001-E (70x60x4)</t>
  </si>
  <si>
    <t>308841115830</t>
  </si>
  <si>
    <t>2682</t>
  </si>
  <si>
    <t>CA-CA/770-2026.02</t>
  </si>
  <si>
    <t>308841132850</t>
  </si>
  <si>
    <t>2683</t>
  </si>
  <si>
    <t>CA-CA/770-2026.03</t>
  </si>
  <si>
    <t>308841531040</t>
  </si>
  <si>
    <t>2685</t>
  </si>
  <si>
    <t>QUARTZTOP LLC</t>
  </si>
  <si>
    <t>CA-UT/03-2026</t>
  </si>
  <si>
    <t>F5233-P-254-127-6</t>
  </si>
  <si>
    <t>F5233-P (254x127x6)</t>
  </si>
  <si>
    <t>Nga</t>
  </si>
  <si>
    <t>C4221-P-254-127-6</t>
  </si>
  <si>
    <t>C4221-P (254x127x6)</t>
  </si>
  <si>
    <t>C4147-H-254-127-6</t>
  </si>
  <si>
    <t>C4147-H (254x127x6)</t>
  </si>
  <si>
    <t>C4143-H-254-127-6</t>
  </si>
  <si>
    <t>C4143-H (254x127x6)</t>
  </si>
  <si>
    <t>C1102-P-254-127-6</t>
  </si>
  <si>
    <t>C1102-P (254x127x6)</t>
  </si>
  <si>
    <t>C4211-H-254-127-6</t>
  </si>
  <si>
    <t>C4211-H (254x127x6)</t>
  </si>
  <si>
    <t>C4211-P-254-127-6</t>
  </si>
  <si>
    <t>C4211-P (254x127x6)</t>
  </si>
  <si>
    <t>C3146-H-254-127-6</t>
  </si>
  <si>
    <t>C3146-H (254x127x6)</t>
  </si>
  <si>
    <t>C3269-P-125-85-6</t>
  </si>
  <si>
    <t>C3269-P (125x85x6)</t>
  </si>
  <si>
    <t>C5240-P-125-85-6</t>
  </si>
  <si>
    <t>C5240-P (125x85x6)</t>
  </si>
  <si>
    <t>C3146-P-250-125-6</t>
  </si>
  <si>
    <t>C3146-P (250x125x6)</t>
  </si>
  <si>
    <t>C5233-P-250-125-6</t>
  </si>
  <si>
    <t>C5233-P (250x125x6)</t>
  </si>
  <si>
    <t>C5240-P-250-125-6</t>
  </si>
  <si>
    <t>C5240-P (250x125x6)</t>
  </si>
  <si>
    <t>C1102-J20-1-H-A/52</t>
  </si>
  <si>
    <t>C1102-H-J20-A</t>
  </si>
  <si>
    <t>C3269-J20-1-H-A/51</t>
  </si>
  <si>
    <t>C3269-H-J20-A</t>
  </si>
  <si>
    <t>C3269-J20-1-P-A/54</t>
  </si>
  <si>
    <t>C4149-J20-1-P-A/21</t>
  </si>
  <si>
    <t>C4149-J20-1-P-A/23</t>
  </si>
  <si>
    <t>C4342-J20-1-P-B/33</t>
  </si>
  <si>
    <t>C5233-J20-1-P-A/32</t>
  </si>
  <si>
    <t>C5233-P-J20-A</t>
  </si>
  <si>
    <t>C5233-J20-1-P-A/33</t>
  </si>
  <si>
    <t>308841922600</t>
  </si>
  <si>
    <t>2684</t>
  </si>
  <si>
    <t>CA-AT/118-2026</t>
  </si>
  <si>
    <t>308841976460</t>
  </si>
  <si>
    <t>2687</t>
  </si>
  <si>
    <t>CA-AT/117-2026</t>
  </si>
  <si>
    <t>308842151130</t>
  </si>
  <si>
    <t>2690</t>
  </si>
  <si>
    <t>CA-JO/06-2026.03</t>
  </si>
  <si>
    <t>C1102-J20-1-H-B/52</t>
  </si>
  <si>
    <t>C1102-H-J20-B</t>
  </si>
  <si>
    <t>C1102-J20-1-P-B/21</t>
  </si>
  <si>
    <t>C1102-P-J20-B</t>
  </si>
  <si>
    <t>C1102-J20-1-P-B-/22</t>
  </si>
  <si>
    <t>C1102-P-J20-B-</t>
  </si>
  <si>
    <t>C1102-J20-1-P-B/52</t>
  </si>
  <si>
    <t>C1102-J20-1-P-B/53</t>
  </si>
  <si>
    <t>C1102-J30-1-H-B-/22</t>
  </si>
  <si>
    <t>C1102-H-J30-B-</t>
  </si>
  <si>
    <t>C1102-J30-1-H-B-/52</t>
  </si>
  <si>
    <t>C3311-J30-1-P-B/11</t>
  </si>
  <si>
    <t>C3311-P-J30-B</t>
  </si>
  <si>
    <t>C3311-J30-1-P-B/31</t>
  </si>
  <si>
    <t>C3311-J30-1-P-B/32</t>
  </si>
  <si>
    <t>C3311-J30-1-P-B/33</t>
  </si>
  <si>
    <t>C3311-J30-1-P-B/54</t>
  </si>
  <si>
    <t>308842200350</t>
  </si>
  <si>
    <t>2686</t>
  </si>
  <si>
    <t>VECTOR STONE LLC</t>
  </si>
  <si>
    <t>CA-VE/08-2026</t>
  </si>
  <si>
    <t>C1102-P-250-150-20</t>
  </si>
  <si>
    <t>C1102-P (250x150x20)</t>
  </si>
  <si>
    <t>C3146-P-250-150-20</t>
  </si>
  <si>
    <t>C3146-P (250x150x20)</t>
  </si>
  <si>
    <t>C1102-J30-1-P-A/C2</t>
  </si>
  <si>
    <t>C1102-P-J30-A</t>
  </si>
  <si>
    <t>C1102-J30-1-P-A/C3</t>
  </si>
  <si>
    <t>308842358810</t>
  </si>
  <si>
    <t>2691</t>
  </si>
  <si>
    <t>CA-CA/771-2026</t>
  </si>
  <si>
    <t>308843091820</t>
  </si>
  <si>
    <t>2689</t>
  </si>
  <si>
    <t>CA-CA/769-2026</t>
  </si>
  <si>
    <t>F5131-J30-1-P-B/11</t>
  </si>
  <si>
    <t>F5131-P-J30-B</t>
  </si>
  <si>
    <t>F5131-J30-1-P-B/12</t>
  </si>
  <si>
    <t>F5444-J30-1-P-A/23</t>
  </si>
  <si>
    <t>G5131-J30-1-P-B/42</t>
  </si>
  <si>
    <t>G5131-P-J30-B</t>
  </si>
  <si>
    <t>308843977100</t>
  </si>
  <si>
    <t>2688</t>
  </si>
  <si>
    <t>CA-CA/770-2026.04</t>
  </si>
  <si>
    <t>308845067920</t>
  </si>
  <si>
    <t>2706</t>
  </si>
  <si>
    <t>CA-CA/772-2026</t>
  </si>
  <si>
    <t>C6313-P-130-70-4</t>
  </si>
  <si>
    <t>C6313-P (130x70x4)</t>
  </si>
  <si>
    <t>C6338-J20-1-P-A/43</t>
  </si>
  <si>
    <t>C6338-P-J20-A</t>
  </si>
  <si>
    <t>308845229140</t>
  </si>
  <si>
    <t>2705</t>
  </si>
  <si>
    <t>CA-CA/773-2026.01</t>
  </si>
  <si>
    <t>F8250-P-250-125-20</t>
  </si>
  <si>
    <t>F8250-P (250x125x20)</t>
  </si>
  <si>
    <t>C5100-J30-1-P-A/43</t>
  </si>
  <si>
    <t>C5100-P-J30-A</t>
  </si>
  <si>
    <t>308845265800</t>
  </si>
  <si>
    <t>2704</t>
  </si>
  <si>
    <t>CA-CA/773-2026.02</t>
  </si>
  <si>
    <t>308845529660</t>
  </si>
  <si>
    <t>2703</t>
  </si>
  <si>
    <t>CA-CA/774-2026</t>
  </si>
  <si>
    <t>F5100-J20-1-P-A/13</t>
  </si>
  <si>
    <t>308845698400</t>
  </si>
  <si>
    <t>2702</t>
  </si>
  <si>
    <t>CA-CA/775-2026</t>
  </si>
  <si>
    <t>C5110-J20-1-P-A/43</t>
  </si>
  <si>
    <t>C5110-P-J20-A</t>
  </si>
  <si>
    <t>308845871850</t>
  </si>
  <si>
    <t>2701</t>
  </si>
  <si>
    <t>CA-CA/776-2026</t>
  </si>
  <si>
    <t>308847057060</t>
  </si>
  <si>
    <t>2700</t>
  </si>
  <si>
    <t>CA-CA/777-2026</t>
  </si>
  <si>
    <t>308847121130</t>
  </si>
  <si>
    <t>2699</t>
  </si>
  <si>
    <t>CA-CA/778-2026</t>
  </si>
  <si>
    <t>308847208300</t>
  </si>
  <si>
    <t>2698</t>
  </si>
  <si>
    <t>CA-CA/779-2026</t>
  </si>
  <si>
    <t>F5132-P-250-125-20</t>
  </si>
  <si>
    <t>F5132-P (250x125x20)</t>
  </si>
  <si>
    <t>F4004-J30-1-E-A/32</t>
  </si>
  <si>
    <t>F4004-E-J30-A</t>
  </si>
  <si>
    <t>308847249230</t>
  </si>
  <si>
    <t>2697</t>
  </si>
  <si>
    <t>CA-CA/780-2026</t>
  </si>
  <si>
    <t>C5111-J30-1-P-A/43</t>
  </si>
  <si>
    <t>C5111-P-J30-A</t>
  </si>
  <si>
    <t>308847294030</t>
  </si>
  <si>
    <t>2696</t>
  </si>
  <si>
    <t>CA-HS/74-2026.01</t>
  </si>
  <si>
    <t>C4264-J30-1-P-A/31</t>
  </si>
  <si>
    <t>C4264-P-J30-A</t>
  </si>
  <si>
    <t>C4264-J30-1-P-A/32</t>
  </si>
  <si>
    <t>C4264-J30-1-P-A/33</t>
  </si>
  <si>
    <t>308847389450</t>
  </si>
  <si>
    <t>2695</t>
  </si>
  <si>
    <t>OHM International Inc</t>
  </si>
  <si>
    <t>CA-OH/12-2026</t>
  </si>
  <si>
    <t>C2104-P-250-125-20</t>
  </si>
  <si>
    <t>C2104-P (250x125x20)</t>
  </si>
  <si>
    <t>C2104-P-100-100-6</t>
  </si>
  <si>
    <t>C2104-P (100x100x6)</t>
  </si>
  <si>
    <t>308849335120</t>
  </si>
  <si>
    <t>2712</t>
  </si>
  <si>
    <t>CA-CA/781-2026.01</t>
  </si>
  <si>
    <t>C5130-P-70-60-4</t>
  </si>
  <si>
    <t>C5130-P (70x60x4)</t>
  </si>
  <si>
    <t>F5132-P-100-100-20</t>
  </si>
  <si>
    <t>F5132-P (100x100x20)</t>
  </si>
  <si>
    <t>308849402210</t>
  </si>
  <si>
    <t>2708</t>
  </si>
  <si>
    <t>CA-CA/781-2026.01-GC</t>
  </si>
  <si>
    <t>308849467160</t>
  </si>
  <si>
    <t>2718</t>
  </si>
  <si>
    <t>CA-CA/781-2026.02</t>
  </si>
  <si>
    <t>C4143-J20-1-P-A/54</t>
  </si>
  <si>
    <t>C4143-P-J20-A</t>
  </si>
  <si>
    <t>308849889520</t>
  </si>
  <si>
    <t>2711</t>
  </si>
  <si>
    <t>CA-CA/782-2026.01</t>
  </si>
  <si>
    <t>308849908200</t>
  </si>
  <si>
    <t>2710</t>
  </si>
  <si>
    <t>CA-CA/782-2026.02</t>
  </si>
  <si>
    <t>308849911550</t>
  </si>
  <si>
    <t>2719</t>
  </si>
  <si>
    <t>CA-HS/74-2026.02</t>
  </si>
  <si>
    <t>308850649350</t>
  </si>
  <si>
    <t>2709</t>
  </si>
  <si>
    <t>CA-CA/782-2026.03</t>
  </si>
  <si>
    <t>C6131-J20-1-P-A/42</t>
  </si>
  <si>
    <t>308852206850</t>
  </si>
  <si>
    <t>2720</t>
  </si>
  <si>
    <t>CA-CA/782-2026.04</t>
  </si>
  <si>
    <t>308852556410</t>
  </si>
  <si>
    <t>2724</t>
  </si>
  <si>
    <t>CA-JD/109-2026</t>
  </si>
  <si>
    <t>C5331-P-254-254-20</t>
  </si>
  <si>
    <t>C5331-P (254x254x20)</t>
  </si>
  <si>
    <t>308852687640</t>
  </si>
  <si>
    <t>2707</t>
  </si>
  <si>
    <t>CA-AT/119-2026</t>
  </si>
  <si>
    <t>308852739440</t>
  </si>
  <si>
    <t>2723</t>
  </si>
  <si>
    <t>CA-AT/120-2026</t>
  </si>
  <si>
    <t>C2104-J20-1-P-A/V3</t>
  </si>
  <si>
    <t>308852893920</t>
  </si>
  <si>
    <t>2722</t>
  </si>
  <si>
    <t>CA-JD/110-2026</t>
  </si>
  <si>
    <t>C5225-P-254-127-6</t>
  </si>
  <si>
    <t>C5225-P (254x127x6)</t>
  </si>
  <si>
    <t>C5225-J30-1-P-A/22</t>
  </si>
  <si>
    <t>C5225-P-J30-A</t>
  </si>
  <si>
    <t>C5225-J30-1-P-A/23</t>
  </si>
  <si>
    <t>308853265030</t>
  </si>
  <si>
    <t>2721</t>
  </si>
  <si>
    <t>CA-HS/75-2026</t>
  </si>
  <si>
    <t>308853754110</t>
  </si>
  <si>
    <t>2747</t>
  </si>
  <si>
    <t>CA-CA/786S-2026</t>
  </si>
  <si>
    <t>C5110-P-250-125-20</t>
  </si>
  <si>
    <t>C5110-P (250x125x20)</t>
  </si>
  <si>
    <t>C5133-P-200-200-13</t>
  </si>
  <si>
    <t>C5133-P (200x200x13)</t>
  </si>
  <si>
    <t>C6046-P-200-200-20</t>
  </si>
  <si>
    <t>C6046-P (200x200x20)</t>
  </si>
  <si>
    <t>C6131-P-200-200-20</t>
  </si>
  <si>
    <t>C6131-P (200x200x20)</t>
  </si>
  <si>
    <t>308853781260</t>
  </si>
  <si>
    <t>2746</t>
  </si>
  <si>
    <t>CA-CA/785-2026.01</t>
  </si>
  <si>
    <t>308853842200</t>
  </si>
  <si>
    <t>2745</t>
  </si>
  <si>
    <t>CA-CA/787S-2026</t>
  </si>
  <si>
    <t>308853932610</t>
  </si>
  <si>
    <t>2744</t>
  </si>
  <si>
    <t>CA-CA/783-2026.01</t>
  </si>
  <si>
    <t>C5115-P-250-125-20</t>
  </si>
  <si>
    <t>C5115-P (250x125x20)</t>
  </si>
  <si>
    <t>C5116-P-250-125-20</t>
  </si>
  <si>
    <t>C5116-P (250x125x20)</t>
  </si>
  <si>
    <t>F4033-R-250-125-20</t>
  </si>
  <si>
    <t>F4033-R (250x125x20)</t>
  </si>
  <si>
    <t>F4033-R-130-70-4</t>
  </si>
  <si>
    <t>F4033-R (130x70x4)</t>
  </si>
  <si>
    <t>F5143-P-130-70-4</t>
  </si>
  <si>
    <t>F5143-P (130x70x4)</t>
  </si>
  <si>
    <t>F6131-P-100-100-20</t>
  </si>
  <si>
    <t>F6131-P (100x100x20)</t>
  </si>
  <si>
    <t>F6134-P-250-125-20</t>
  </si>
  <si>
    <t>F6134-P (250x125x20)</t>
  </si>
  <si>
    <t>308853981610</t>
  </si>
  <si>
    <t>2743</t>
  </si>
  <si>
    <t>CA-AT/125-2026</t>
  </si>
  <si>
    <t>308853988830</t>
  </si>
  <si>
    <t>2742</t>
  </si>
  <si>
    <t>CA-CA/783-2026.02</t>
  </si>
  <si>
    <t>308854122640</t>
  </si>
  <si>
    <t>2741</t>
  </si>
  <si>
    <t>CA-CA/784-2026</t>
  </si>
  <si>
    <t>F6134-J20-1-P-A/43</t>
  </si>
  <si>
    <t>F6134-P-J20-A</t>
  </si>
  <si>
    <t>New Zealand</t>
  </si>
  <si>
    <t>308854219720</t>
  </si>
  <si>
    <t>2740</t>
  </si>
  <si>
    <t>CA-AT/121-2026</t>
  </si>
  <si>
    <t>308854393540</t>
  </si>
  <si>
    <t>2739</t>
  </si>
  <si>
    <t>HYUNDAI L&amp;C CANADA INC</t>
  </si>
  <si>
    <t>CA-HS/76-2026</t>
  </si>
  <si>
    <t>308854523960</t>
  </si>
  <si>
    <t>2738</t>
  </si>
  <si>
    <t>CA-JD/111-2026</t>
  </si>
  <si>
    <t>C4204-P-254-127-6</t>
  </si>
  <si>
    <t>C4204-P (254x127x6)</t>
  </si>
  <si>
    <t>308854697820</t>
  </si>
  <si>
    <t>2737</t>
  </si>
  <si>
    <t>CA-AT/126-2026</t>
  </si>
  <si>
    <t>308854750800</t>
  </si>
  <si>
    <t>2736</t>
  </si>
  <si>
    <t>CA-HS/77-2026</t>
  </si>
  <si>
    <t>C4155-J30-1-P-A/31</t>
  </si>
  <si>
    <t>C4155-P-J30-A</t>
  </si>
  <si>
    <t>C4155-J30-1-P-A/32</t>
  </si>
  <si>
    <t>C4155-J30-1-P-A/33</t>
  </si>
  <si>
    <t>308855274360</t>
  </si>
  <si>
    <t>2735</t>
  </si>
  <si>
    <t>CA-AT/122-2026</t>
  </si>
  <si>
    <t>308855334560</t>
  </si>
  <si>
    <t>2734</t>
  </si>
  <si>
    <t>CA-AT/123-2026</t>
  </si>
  <si>
    <t>308855555320</t>
  </si>
  <si>
    <t>2733</t>
  </si>
  <si>
    <t>CA-AT/124-2026</t>
  </si>
  <si>
    <t>308855563020</t>
  </si>
  <si>
    <t>2732</t>
  </si>
  <si>
    <t>CA-AT/128-2026</t>
  </si>
  <si>
    <t>308855654240</t>
  </si>
  <si>
    <t>2731</t>
  </si>
  <si>
    <t>CA-AT/127-2026</t>
  </si>
  <si>
    <t>308856928940</t>
  </si>
  <si>
    <t>2752</t>
  </si>
  <si>
    <t>CA-CA/788-2026.01</t>
  </si>
  <si>
    <t>F5130-P-70-60-4</t>
  </si>
  <si>
    <t>F5130-P (70x60x4)</t>
  </si>
  <si>
    <t>F5132-P-70-60-4</t>
  </si>
  <si>
    <t>F5132-P (70x60x4)</t>
  </si>
  <si>
    <t>F5143-P-70-60-4</t>
  </si>
  <si>
    <t>F5143-P (70x60x4)</t>
  </si>
  <si>
    <t>F5144-P-130-70-4</t>
  </si>
  <si>
    <t>F5144-P (130x70x4)</t>
  </si>
  <si>
    <t>F8103-P-130-70-4</t>
  </si>
  <si>
    <t>F8103-P (130x70x4)</t>
  </si>
  <si>
    <t>F8251-P-130-70-4</t>
  </si>
  <si>
    <t>F8251-P (130x70x4)</t>
  </si>
  <si>
    <t>F8252-P-130-70-4</t>
  </si>
  <si>
    <t>F8252-P (130x70x4)</t>
  </si>
  <si>
    <t>308857012350</t>
  </si>
  <si>
    <t>2753</t>
  </si>
  <si>
    <t>CA-CA/788-2026.02</t>
  </si>
  <si>
    <t>308857750300</t>
  </si>
  <si>
    <t>2756</t>
  </si>
  <si>
    <t>CA-CA/790-2026.01</t>
  </si>
  <si>
    <t>F5113-J30-1-P-A/41</t>
  </si>
  <si>
    <t>F5113-J30-1-P-B/41</t>
  </si>
  <si>
    <t>F5113-P-J30-B</t>
  </si>
  <si>
    <t>F5113-J30-1-P-B/42</t>
  </si>
  <si>
    <t>F5132-J30-1-P-A/23</t>
  </si>
  <si>
    <t>F5310-J30-1-P-A/41</t>
  </si>
  <si>
    <t>F5310-P-J30-A</t>
  </si>
  <si>
    <t>F5310-J30-1-P-A/43</t>
  </si>
  <si>
    <t>308857870920</t>
  </si>
  <si>
    <t>2760</t>
  </si>
  <si>
    <t>CA-CA/785-2026.02</t>
  </si>
  <si>
    <t>308857902750</t>
  </si>
  <si>
    <t>2755</t>
  </si>
  <si>
    <t>CA-DP/38-2026</t>
  </si>
  <si>
    <t>308857922130</t>
  </si>
  <si>
    <t>2761</t>
  </si>
  <si>
    <t>CA-DP/39-2026</t>
  </si>
  <si>
    <t>C4143-J20-1-P-A/11</t>
  </si>
  <si>
    <t>C4143-J20-1-P-A/13</t>
  </si>
  <si>
    <t>308857949910</t>
  </si>
  <si>
    <t>2762</t>
  </si>
  <si>
    <t>CA-JD/112-2026</t>
  </si>
  <si>
    <t>C5341-P-254-127-6</t>
  </si>
  <si>
    <t>C5341-P (254x127x6)</t>
  </si>
  <si>
    <t>C5341-J30-1-P-A/43</t>
  </si>
  <si>
    <t>C5341-P-J30-A</t>
  </si>
  <si>
    <t>308857976400</t>
  </si>
  <si>
    <t>2763</t>
  </si>
  <si>
    <t>Innovative Surfaces Group, LLC</t>
  </si>
  <si>
    <t>CA-IG/03-2026</t>
  </si>
  <si>
    <t>C4246-P-198-127-20</t>
  </si>
  <si>
    <t>C4246-P (198x127x20)</t>
  </si>
  <si>
    <t>C5340-P-198-127-20</t>
  </si>
  <si>
    <t>C5340-P (198x127x20)</t>
  </si>
  <si>
    <t>C4147-J30-1-P-A/32</t>
  </si>
  <si>
    <t>C4147-P-J30-A</t>
  </si>
  <si>
    <t>C4147-J30-1-P-A/33</t>
  </si>
  <si>
    <t>308858147310</t>
  </si>
  <si>
    <t>2754</t>
  </si>
  <si>
    <t>CA-CA/791-2026.01</t>
  </si>
  <si>
    <t>C5222-R-250-125-20</t>
  </si>
  <si>
    <t>C5222-R (250x125x20)</t>
  </si>
  <si>
    <t>308858148230</t>
  </si>
  <si>
    <t>2764</t>
  </si>
  <si>
    <t>CA-CA/773-2026.03</t>
  </si>
  <si>
    <t>C5000-J30-1-P-A/31</t>
  </si>
  <si>
    <t>C5000-P-J30-A</t>
  </si>
  <si>
    <t>F4033-J20-1-R-A/11</t>
  </si>
  <si>
    <t>F4033-R-J20-A</t>
  </si>
  <si>
    <t>F4033-J20-1-R-A/12</t>
  </si>
  <si>
    <t>F5222-J20-1-R-A/11</t>
  </si>
  <si>
    <t>F5222-R-J20-A</t>
  </si>
  <si>
    <t>F5222-J20-1-R-A/12</t>
  </si>
  <si>
    <t>308858148820</t>
  </si>
  <si>
    <t>2765</t>
  </si>
  <si>
    <t>CA-CA/783-2026.03</t>
  </si>
  <si>
    <t>308858160720</t>
  </si>
  <si>
    <t>2767</t>
  </si>
  <si>
    <t>CA-CA/789-2026.01</t>
  </si>
  <si>
    <t>C4011-R-70-60-4</t>
  </si>
  <si>
    <t>C4011-R (70x60x4)</t>
  </si>
  <si>
    <t>C5031-P-250-125-13</t>
  </si>
  <si>
    <t>C5031-P (250x125x13)</t>
  </si>
  <si>
    <t>F5112-P-250-125-20</t>
  </si>
  <si>
    <t>F5112-P (250x125x20)</t>
  </si>
  <si>
    <t>F5112-P-70-60-4</t>
  </si>
  <si>
    <t>F5112-P (70x60x4)</t>
  </si>
  <si>
    <t>F5113-P-100-100-20</t>
  </si>
  <si>
    <t>F5113-P (100x100x20)</t>
  </si>
  <si>
    <t>F5132-P-130-70-4</t>
  </si>
  <si>
    <t>F5132-P (130x70x4)</t>
  </si>
  <si>
    <t>308858177740</t>
  </si>
  <si>
    <t>2768</t>
  </si>
  <si>
    <t>CA-CA/789-2026.02</t>
  </si>
  <si>
    <t>C2104-P-100-100-20</t>
  </si>
  <si>
    <t>C2104-P (100x100x20)</t>
  </si>
  <si>
    <t>C4204-P-100-100-20</t>
  </si>
  <si>
    <t>C4204-P (100x100x20)</t>
  </si>
  <si>
    <t>C5116-P-100-100-20</t>
  </si>
  <si>
    <t>C5116-P (100x100x20)</t>
  </si>
  <si>
    <t>C6046-P-100-100-20</t>
  </si>
  <si>
    <t>C6046-P (100x100x20)</t>
  </si>
  <si>
    <t>F4044-R-250-125-20</t>
  </si>
  <si>
    <t>F4044-R (250x125x20)</t>
  </si>
  <si>
    <t>F4044-R-100-100-20</t>
  </si>
  <si>
    <t>F4044-R (100x100x20)</t>
  </si>
  <si>
    <t>308858191740</t>
  </si>
  <si>
    <t>2769</t>
  </si>
  <si>
    <t>CA-CA/789-2026.02-GC</t>
  </si>
  <si>
    <t>308859333660</t>
  </si>
  <si>
    <t>2766</t>
  </si>
  <si>
    <t>CA-CA/788-2026.03</t>
  </si>
  <si>
    <t>308860794340</t>
  </si>
  <si>
    <t>2771</t>
  </si>
  <si>
    <t>CA-WA/12S-2026</t>
  </si>
  <si>
    <t>F4036-P-825-825-20</t>
  </si>
  <si>
    <t>F4036-P (825x825x20)</t>
  </si>
  <si>
    <t>308861255310</t>
  </si>
  <si>
    <t>2775</t>
  </si>
  <si>
    <t>J.G Edelen Company, Inc.</t>
  </si>
  <si>
    <t>CA-JG/07-2026</t>
  </si>
  <si>
    <t>JG26006.01-C4202-J20-P-M</t>
  </si>
  <si>
    <t>JG26006.01-C4202-J20-P-S</t>
  </si>
  <si>
    <t>JG26006.01-C4202-J20-P-V</t>
  </si>
  <si>
    <t>308861339160</t>
  </si>
  <si>
    <t>2774</t>
  </si>
  <si>
    <t>CA-CA/793-2026</t>
  </si>
  <si>
    <t>F8251-J20-1-P-A/23</t>
  </si>
  <si>
    <t>F8251-P-J20-A</t>
  </si>
  <si>
    <t>308861503810</t>
  </si>
  <si>
    <t>2780</t>
  </si>
  <si>
    <t>CA-CA/794-2026</t>
  </si>
  <si>
    <t>F4044-J30-1-R-A/11</t>
  </si>
  <si>
    <t>F4044-R-J30-A</t>
  </si>
  <si>
    <t>308861822160</t>
  </si>
  <si>
    <t>2773</t>
  </si>
  <si>
    <t>CA-CA/789-2026.03</t>
  </si>
  <si>
    <t>F5113-P-250-125-20</t>
  </si>
  <si>
    <t>F5113-P (250x125x20)</t>
  </si>
  <si>
    <t>308861841800</t>
  </si>
  <si>
    <t>2788</t>
  </si>
  <si>
    <t>CA-CA/789-2026.03-GC</t>
  </si>
  <si>
    <t>M4033-R-100-100-20</t>
  </si>
  <si>
    <t>M4033 (100x100x20)</t>
  </si>
  <si>
    <t>308861982940</t>
  </si>
  <si>
    <t>2781</t>
  </si>
  <si>
    <t>CA-CA/791-2026.02</t>
  </si>
  <si>
    <t>C5031-P-250-125-20</t>
  </si>
  <si>
    <t>C5031-P (250x125x20)</t>
  </si>
  <si>
    <t>C4023-J20-1-R-A/12</t>
  </si>
  <si>
    <t>308862077330</t>
  </si>
  <si>
    <t>2787</t>
  </si>
  <si>
    <t>CA-CA/792-2026.01</t>
  </si>
  <si>
    <t>308862096560</t>
  </si>
  <si>
    <t>2786</t>
  </si>
  <si>
    <t>CA-CA/792-2026.02</t>
  </si>
  <si>
    <t>F5112-J20-1-P-A/11</t>
  </si>
  <si>
    <t>F5112-P-J20-A</t>
  </si>
  <si>
    <t>F5112-J20-1-P-A/12</t>
  </si>
  <si>
    <t>F5112-J20-1-P-B/11</t>
  </si>
  <si>
    <t>F5112-P-J20-B</t>
  </si>
  <si>
    <t>308862149060</t>
  </si>
  <si>
    <t>2785</t>
  </si>
  <si>
    <t>CA-CA/790-2026.02</t>
  </si>
  <si>
    <t>F5130-P-100-100-20</t>
  </si>
  <si>
    <t>F5130-P (100x100x20)</t>
  </si>
  <si>
    <t>F5143-P-250-125-20</t>
  </si>
  <si>
    <t>F5143-P (250x125x20)</t>
  </si>
  <si>
    <t>F5310-P-250-125-20</t>
  </si>
  <si>
    <t>F5310-P (250x125x20)</t>
  </si>
  <si>
    <t>F8103-P-250-125-20</t>
  </si>
  <si>
    <t>F8103-P (250x125x20)</t>
  </si>
  <si>
    <t>C5111-J20-1-P-A/43</t>
  </si>
  <si>
    <t>C5111-P-J20-A</t>
  </si>
  <si>
    <t>F5110-J30-1-P-A/54</t>
  </si>
  <si>
    <t>F5110-P-J30-A</t>
  </si>
  <si>
    <t>F5310-J20-1-P-B/42</t>
  </si>
  <si>
    <t>F5310-P-J20-B</t>
  </si>
  <si>
    <t>G5310-J20-1-P-B/41</t>
  </si>
  <si>
    <t>G5310-P-J20-B</t>
  </si>
  <si>
    <t>G5310-J20-1-P-B/42</t>
  </si>
  <si>
    <t>308862701030</t>
  </si>
  <si>
    <t>2784</t>
  </si>
  <si>
    <t>CA-HS/78-2026</t>
  </si>
  <si>
    <t>C3311-J30-1-P-A/54</t>
  </si>
  <si>
    <t>C3311-P-J30-A</t>
  </si>
  <si>
    <t>C1102-J20-1-P-A/C2</t>
  </si>
  <si>
    <t>C1102-P-J20-A</t>
  </si>
  <si>
    <t>C4264-J20-1-P-A/32</t>
  </si>
  <si>
    <t>C4264-P-J20-A</t>
  </si>
  <si>
    <t>C4264-J20-1-P-A/33</t>
  </si>
  <si>
    <t>308862704420</t>
  </si>
  <si>
    <t>2783</t>
  </si>
  <si>
    <t>CA-HS/79-2026</t>
  </si>
  <si>
    <t>308862711900</t>
  </si>
  <si>
    <t>2772</t>
  </si>
  <si>
    <t>CA-DP/40-2026</t>
  </si>
  <si>
    <t>308862719120</t>
  </si>
  <si>
    <t>2782</t>
  </si>
  <si>
    <t>CA-JD/113-2026</t>
  </si>
  <si>
    <t>308865511200</t>
  </si>
  <si>
    <t>2794</t>
  </si>
  <si>
    <t>CA-CA/792-2026.03</t>
  </si>
  <si>
    <t>308865616420</t>
  </si>
  <si>
    <t>2793</t>
  </si>
  <si>
    <t>CA-CA/797-2026.01</t>
  </si>
  <si>
    <t>F8251-J20-1-P-A/22</t>
  </si>
  <si>
    <t>308865651160</t>
  </si>
  <si>
    <t>2792</t>
  </si>
  <si>
    <t>CA-CA/797-2026.02</t>
  </si>
  <si>
    <t>F8251-J20-1-P-A/21</t>
  </si>
  <si>
    <t>308865670320</t>
  </si>
  <si>
    <t>2800</t>
  </si>
  <si>
    <t>CA-CA/797-2026.03</t>
  </si>
  <si>
    <t>308865884150</t>
  </si>
  <si>
    <t>2801</t>
  </si>
  <si>
    <t>CA-CA/795-2026.01</t>
  </si>
  <si>
    <t>F5131-P-70-60-4</t>
  </si>
  <si>
    <t>F5131-P (70x60x4)</t>
  </si>
  <si>
    <t>F5133-P-70-60-4</t>
  </si>
  <si>
    <t>F5133-P (70x60x4)</t>
  </si>
  <si>
    <t>F5444-P-70-60-4</t>
  </si>
  <si>
    <t>F5444-P (70x60x4)</t>
  </si>
  <si>
    <t>308866003850</t>
  </si>
  <si>
    <t>2802</t>
  </si>
  <si>
    <t>CA-CA/796-2026.01</t>
  </si>
  <si>
    <t>F4004-E-70-60-4</t>
  </si>
  <si>
    <t>F4004-E (70x60x4)</t>
  </si>
  <si>
    <t>308866022640</t>
  </si>
  <si>
    <t>2791</t>
  </si>
  <si>
    <t>CA-CA/796-2026.02</t>
  </si>
  <si>
    <t>308866151330</t>
  </si>
  <si>
    <t>2803</t>
  </si>
  <si>
    <t>CA-CA/798-2026.01</t>
  </si>
  <si>
    <t>308866167430</t>
  </si>
  <si>
    <t>2805</t>
  </si>
  <si>
    <t>CA-CA/798-2026.02</t>
  </si>
  <si>
    <t>308866180620</t>
  </si>
  <si>
    <t>2804</t>
  </si>
  <si>
    <t>CA-CA/798-2026.03</t>
  </si>
  <si>
    <t>308866531910</t>
  </si>
  <si>
    <t>2808</t>
  </si>
  <si>
    <t>CA-SI/18-2026</t>
  </si>
  <si>
    <t>F5233-P-250-125-6</t>
  </si>
  <si>
    <t>F5233-P (250x125x6)</t>
  </si>
  <si>
    <t>F5233-J20-1-P-A/22</t>
  </si>
  <si>
    <t>F5233-P-J20-A</t>
  </si>
  <si>
    <t>F5233-J20-1-P-A/23</t>
  </si>
  <si>
    <t>308866689260</t>
  </si>
  <si>
    <t>2806</t>
  </si>
  <si>
    <t>CA-CA/797-2026.04</t>
  </si>
  <si>
    <t>308867747700</t>
  </si>
  <si>
    <t>2790</t>
  </si>
  <si>
    <t>CA-CA/796-2026.03</t>
  </si>
  <si>
    <t>308869068230</t>
  </si>
  <si>
    <t>2807</t>
  </si>
  <si>
    <t>CA-CA/795-2026.02</t>
  </si>
  <si>
    <t>308869723060</t>
  </si>
  <si>
    <t>2813</t>
  </si>
  <si>
    <t>CA-CA/803-2026.01</t>
  </si>
  <si>
    <t>308869747340</t>
  </si>
  <si>
    <t>2814</t>
  </si>
  <si>
    <t>CA-CA/803-2026.02</t>
  </si>
  <si>
    <t>308869829500</t>
  </si>
  <si>
    <t>2819</t>
  </si>
  <si>
    <t>CA-CA/799-2026</t>
  </si>
  <si>
    <t>C5116-J20-1-P-A/43</t>
  </si>
  <si>
    <t>C5116-P-J20-A</t>
  </si>
  <si>
    <t>308869992010</t>
  </si>
  <si>
    <t>2812</t>
  </si>
  <si>
    <t>CA-CA/800-2026.01</t>
  </si>
  <si>
    <t>308870011130</t>
  </si>
  <si>
    <t>2822</t>
  </si>
  <si>
    <t>CA-CA/800-2026.02</t>
  </si>
  <si>
    <t>308870176920</t>
  </si>
  <si>
    <t>2811</t>
  </si>
  <si>
    <t>CA-CA/802-2026.01</t>
  </si>
  <si>
    <t>308870411750</t>
  </si>
  <si>
    <t>2821</t>
  </si>
  <si>
    <t>CA-CA/802-2026.02</t>
  </si>
  <si>
    <t>308870438350</t>
  </si>
  <si>
    <t>2810</t>
  </si>
  <si>
    <t>CA-CA/804-2026.01</t>
  </si>
  <si>
    <t>F4011-R-250-125-20</t>
  </si>
  <si>
    <t>F4011-R (250x125x20)</t>
  </si>
  <si>
    <t>308870459130</t>
  </si>
  <si>
    <t>2820</t>
  </si>
  <si>
    <t>CA-CA/804-2026.02</t>
  </si>
  <si>
    <t>308873126500</t>
  </si>
  <si>
    <t>2818</t>
  </si>
  <si>
    <t>CA-CA/801-2026</t>
  </si>
  <si>
    <t>C0406-J30-1-E-P/43</t>
  </si>
  <si>
    <t>C0406-E-J30-P</t>
  </si>
  <si>
    <t>Trung Quốc</t>
  </si>
  <si>
    <t>C4033-J13-1-R-A/11</t>
  </si>
  <si>
    <t>C4033-R-J13-A</t>
  </si>
  <si>
    <t>C5100-J13-1-P-A/43</t>
  </si>
  <si>
    <t>C5100-P-J13-A</t>
  </si>
  <si>
    <t>C6338-J13-1-P-A/43</t>
  </si>
  <si>
    <t>C6338-P-J13-A</t>
  </si>
  <si>
    <t>F5171-J13-1-P-A/43</t>
  </si>
  <si>
    <t>F5171-P-J13-A</t>
  </si>
  <si>
    <t>308873885520</t>
  </si>
  <si>
    <t>2824</t>
  </si>
  <si>
    <t>CA-DM/76-2026</t>
  </si>
  <si>
    <t>308873893550</t>
  </si>
  <si>
    <t>2831</t>
  </si>
  <si>
    <t>CA-DM/77-2026</t>
  </si>
  <si>
    <t>308873904900</t>
  </si>
  <si>
    <t>2832</t>
  </si>
  <si>
    <t>CA-DM/78-2026</t>
  </si>
  <si>
    <t>308873932200</t>
  </si>
  <si>
    <t>2833</t>
  </si>
  <si>
    <t>CA-CA/806-2026</t>
  </si>
  <si>
    <t>308874014430</t>
  </si>
  <si>
    <t>2825</t>
  </si>
  <si>
    <t>CA-CA/803-2026.03</t>
  </si>
  <si>
    <t>308874018740</t>
  </si>
  <si>
    <t>2834</t>
  </si>
  <si>
    <t>CA-CA/803-2026.04</t>
  </si>
  <si>
    <t>308874027510</t>
  </si>
  <si>
    <t>2839</t>
  </si>
  <si>
    <t>CA-CA/805-2026.01</t>
  </si>
  <si>
    <t>F5441-J20-1-P-B/23</t>
  </si>
  <si>
    <t>308874032740</t>
  </si>
  <si>
    <t>2835</t>
  </si>
  <si>
    <t>CA-CA/804-2026.03</t>
  </si>
  <si>
    <t>308874036240</t>
  </si>
  <si>
    <t>2836</t>
  </si>
  <si>
    <t>CA-CA/804-2026.04</t>
  </si>
  <si>
    <t>308874041840</t>
  </si>
  <si>
    <t>2826</t>
  </si>
  <si>
    <t>CA-CA/804-2026.06</t>
  </si>
  <si>
    <t>308876046900</t>
  </si>
  <si>
    <t>2838</t>
  </si>
  <si>
    <t>CA-CA/807-2026</t>
  </si>
  <si>
    <t>F4001-J30-1-E-A/12</t>
  </si>
  <si>
    <t>308876071360</t>
  </si>
  <si>
    <t>2837</t>
  </si>
  <si>
    <t>CA-CA/804-2026.05</t>
  </si>
  <si>
    <t>F5444-J20-1-P-A/23</t>
  </si>
  <si>
    <t>308878943830</t>
  </si>
  <si>
    <t>2851</t>
  </si>
  <si>
    <t>CA-CA/809-2026</t>
  </si>
  <si>
    <t>Nhật Bản</t>
  </si>
  <si>
    <t>F5003-J13-1-P-A/32</t>
  </si>
  <si>
    <t>F5003-P-J13-A</t>
  </si>
  <si>
    <t>F5003-J20-1-P-A/33</t>
  </si>
  <si>
    <t>308879097130</t>
  </si>
  <si>
    <t>2850</t>
  </si>
  <si>
    <t>CA-CA/812-2026.01</t>
  </si>
  <si>
    <t>308879109360</t>
  </si>
  <si>
    <t>2849</t>
  </si>
  <si>
    <t>CA-CA/812-2026.02</t>
  </si>
  <si>
    <t>308879266200</t>
  </si>
  <si>
    <t>2848</t>
  </si>
  <si>
    <t>CA-CA/811-2026</t>
  </si>
  <si>
    <t>C0406-J30-1-E-P/42</t>
  </si>
  <si>
    <t>308879330930</t>
  </si>
  <si>
    <t>2847</t>
  </si>
  <si>
    <t>CA-CA/808-2026</t>
  </si>
  <si>
    <t>F5444-J20-1-P-B/22</t>
  </si>
  <si>
    <t>F5444-P-J20-B</t>
  </si>
  <si>
    <t>308879489940</t>
  </si>
  <si>
    <t>2845</t>
  </si>
  <si>
    <t>CA-JD/114-2026</t>
  </si>
  <si>
    <t>F2262-P-254-127-20</t>
  </si>
  <si>
    <t>F2262-P (254x127x20)</t>
  </si>
  <si>
    <t>C5225-J30-1-P-A/21</t>
  </si>
  <si>
    <t>308879510460</t>
  </si>
  <si>
    <t>2844</t>
  </si>
  <si>
    <t>CA-JD/115-2026</t>
  </si>
  <si>
    <t>C5366-P-254-127-6</t>
  </si>
  <si>
    <t>C5366-P (254x127x6)</t>
  </si>
  <si>
    <t>308879527850</t>
  </si>
  <si>
    <t>2846</t>
  </si>
  <si>
    <t>CA-JD/116-2026</t>
  </si>
  <si>
    <t>308879555740</t>
  </si>
  <si>
    <t>2843</t>
  </si>
  <si>
    <t>CA-CA/810-2026</t>
  </si>
  <si>
    <t>F5112-J30-1-P-A/54</t>
  </si>
  <si>
    <t>F5112-P-J30-A</t>
  </si>
  <si>
    <t>308879596230</t>
  </si>
  <si>
    <t>2842</t>
  </si>
  <si>
    <t>CA-DP/41-2026</t>
  </si>
  <si>
    <t>308881933750</t>
  </si>
  <si>
    <t>2855</t>
  </si>
  <si>
    <t>CA-CA/812-2026.03</t>
  </si>
  <si>
    <t>308882070730</t>
  </si>
  <si>
    <t>2856</t>
  </si>
  <si>
    <t>CA-CA/813-2026.01</t>
  </si>
  <si>
    <t>308882294360</t>
  </si>
  <si>
    <t>2854</t>
  </si>
  <si>
    <t>CA-CA/820-2026.01</t>
  </si>
  <si>
    <t>Mexico</t>
  </si>
  <si>
    <t>C5133-J20-1-P-A/41</t>
  </si>
  <si>
    <t>C5133-P-J20-A</t>
  </si>
  <si>
    <t>C5133-J20-1-P-A/42</t>
  </si>
  <si>
    <t>C5133-J20-1-P-A/43</t>
  </si>
  <si>
    <t>C5151-J20-1-P-A/13</t>
  </si>
  <si>
    <t>308883491140</t>
  </si>
  <si>
    <t>2853</t>
  </si>
  <si>
    <t>CA-JO/07-2026.01</t>
  </si>
  <si>
    <t>C1205-J30-1-P-B/12</t>
  </si>
  <si>
    <t>C1205-P-J30-B</t>
  </si>
  <si>
    <t>C1205-J30-1-P-B/13</t>
  </si>
  <si>
    <t>C2104-J30-1-P-B/43</t>
  </si>
  <si>
    <t>C2104-P-J30-B</t>
  </si>
  <si>
    <t>C2104-J30-1-P-B/54</t>
  </si>
  <si>
    <t>C4143-J30-1-P-B-/11</t>
  </si>
  <si>
    <t>C4143-P-J30-B-</t>
  </si>
  <si>
    <t>C5225-J30-1-P-B/22</t>
  </si>
  <si>
    <t>C5225-P-J30-B</t>
  </si>
  <si>
    <t>C5225-J30-1-P-B/23</t>
  </si>
  <si>
    <t>308883598720</t>
  </si>
  <si>
    <t>2864</t>
  </si>
  <si>
    <t>CA-CA/814-2026</t>
  </si>
  <si>
    <t>308883630000</t>
  </si>
  <si>
    <t>2852</t>
  </si>
  <si>
    <t>CA-CA/815-2026</t>
  </si>
  <si>
    <t>308883661130</t>
  </si>
  <si>
    <t>2863</t>
  </si>
  <si>
    <t>CA-CA/816-2026</t>
  </si>
  <si>
    <t>308883681800</t>
  </si>
  <si>
    <t>2862</t>
  </si>
  <si>
    <t>CA-CA/817-2026</t>
  </si>
  <si>
    <t>C6046-J30-1-P-A/41</t>
  </si>
  <si>
    <t>308883699150</t>
  </si>
  <si>
    <t>2861</t>
  </si>
  <si>
    <t>CA-CA/818-2026</t>
  </si>
  <si>
    <t>308883715030</t>
  </si>
  <si>
    <t>2860</t>
  </si>
  <si>
    <t>CA-CA/819-2026</t>
  </si>
  <si>
    <t>308883905540</t>
  </si>
  <si>
    <t>2859</t>
  </si>
  <si>
    <t>CA-WA/13-2026</t>
  </si>
  <si>
    <t>F5033-J30-1-P-A/11</t>
  </si>
  <si>
    <t>F5033-P-J30-A</t>
  </si>
  <si>
    <t>F5033-J30-1-P-A/12</t>
  </si>
  <si>
    <t>F5033-J30-1-P-A/13</t>
  </si>
  <si>
    <t>308886978100</t>
  </si>
  <si>
    <t>2876</t>
  </si>
  <si>
    <t>CA-CA/822-2026.01</t>
  </si>
  <si>
    <t>308886994750</t>
  </si>
  <si>
    <t>2875</t>
  </si>
  <si>
    <t>CA-CA/822-2026.02</t>
  </si>
  <si>
    <t>308887225860</t>
  </si>
  <si>
    <t>2874</t>
  </si>
  <si>
    <t>CA-CA/820-2026.02</t>
  </si>
  <si>
    <t>C4043-J20-1-R-A/11</t>
  </si>
  <si>
    <t>C4043-R-J20-A</t>
  </si>
  <si>
    <t>308887433210</t>
  </si>
  <si>
    <t>2869</t>
  </si>
  <si>
    <t>STONE WAREHOUSE OF TAMPA</t>
  </si>
  <si>
    <t>CA-SW/06-2026.01</t>
  </si>
  <si>
    <t>C3146-P-254-127-10</t>
  </si>
  <si>
    <t>C3146-P (254x127x10)</t>
  </si>
  <si>
    <t>C3311-P-254-127-10</t>
  </si>
  <si>
    <t>C3311-P (254x127x10)</t>
  </si>
  <si>
    <t>308887455350</t>
  </si>
  <si>
    <t>2878</t>
  </si>
  <si>
    <t>CA-SW/06-2026.02</t>
  </si>
  <si>
    <t>C2104-P-254-127-10</t>
  </si>
  <si>
    <t>C2104-P (254x127x10)</t>
  </si>
  <si>
    <t>308887499710</t>
  </si>
  <si>
    <t>2868</t>
  </si>
  <si>
    <t>CA-CA/823-2026</t>
  </si>
  <si>
    <t>308887530950</t>
  </si>
  <si>
    <t>2867</t>
  </si>
  <si>
    <t>CA-CA/824-2026</t>
  </si>
  <si>
    <t>C5151-P-70-60-4</t>
  </si>
  <si>
    <t>C5151-P (70x60x4)</t>
  </si>
  <si>
    <t>F5110-P-250-125-20</t>
  </si>
  <si>
    <t>F5110-P (250x125x20)</t>
  </si>
  <si>
    <t>308887554860</t>
  </si>
  <si>
    <t>2877</t>
  </si>
  <si>
    <t>CA-CA/825-2026</t>
  </si>
  <si>
    <t>F4033-J30-1-R-A/11</t>
  </si>
  <si>
    <t>F4033-R-J30-A</t>
  </si>
  <si>
    <t>F4033-J30-1-R-A/12</t>
  </si>
  <si>
    <t>308887588500</t>
  </si>
  <si>
    <t>2866</t>
  </si>
  <si>
    <t>CA-JD/117-2026</t>
  </si>
  <si>
    <t>C5341-P-254-254-20</t>
  </si>
  <si>
    <t>C5341-P (254x254x20)</t>
  </si>
  <si>
    <t>C5445-J30-1-P-A/33</t>
  </si>
  <si>
    <t>C5445-P-J30-A</t>
  </si>
  <si>
    <t>308887630720</t>
  </si>
  <si>
    <t>2865</t>
  </si>
  <si>
    <t>UNITED MATERIALS INC</t>
  </si>
  <si>
    <t>CA-UM/04-2026</t>
  </si>
  <si>
    <t>C4254-J30-1-P-A/11</t>
  </si>
  <si>
    <t>C4254-P-J30-A</t>
  </si>
  <si>
    <t>C4254-J30-1-P-A/12</t>
  </si>
  <si>
    <t>C4254-J30-1-P-A/13</t>
  </si>
  <si>
    <t>C5366-J30-1-P-A/32</t>
  </si>
  <si>
    <t>C5366-P-J30-A</t>
  </si>
  <si>
    <t>C5366-J30-1-P-A/33</t>
  </si>
  <si>
    <t>PC001-J20-1-P-A/41</t>
  </si>
  <si>
    <t>PC001-P-J20-A</t>
  </si>
  <si>
    <t>308887654630</t>
  </si>
  <si>
    <t>2879</t>
  </si>
  <si>
    <t>CA-JO/07-2026.02</t>
  </si>
  <si>
    <t>C1205-J30-1-P-B/11</t>
  </si>
  <si>
    <t>C3311-J20-1-P-B/54</t>
  </si>
  <si>
    <t>C4246-J30-1-P-B/31</t>
  </si>
  <si>
    <t>C4246-P-J30-B</t>
  </si>
  <si>
    <t>C4246-J30-1-P-B/32</t>
  </si>
  <si>
    <t>C4246-J30-1-P-B/33</t>
  </si>
  <si>
    <t>C4255-J30-1-P-B/11</t>
  </si>
  <si>
    <t>C4255-P-J30-B</t>
  </si>
  <si>
    <t>C5331-J30-1-P-B/43</t>
  </si>
  <si>
    <t>C5331-P-J30-B</t>
  </si>
  <si>
    <t>C5331-J30-1-P-B-/43</t>
  </si>
  <si>
    <t>C5331-P-J30-B-</t>
  </si>
  <si>
    <t>F5233-J30-1-P-B-/22</t>
  </si>
  <si>
    <t>F5233-P-J30-B-</t>
  </si>
  <si>
    <t>308892686710</t>
  </si>
  <si>
    <t>2886</t>
  </si>
  <si>
    <t>CA-CA/827-2026</t>
  </si>
  <si>
    <t>308892791600</t>
  </si>
  <si>
    <t>2896</t>
  </si>
  <si>
    <t>CA-CA/822-2026.03</t>
  </si>
  <si>
    <t>F5115-J20-1-P-A/43</t>
  </si>
  <si>
    <t>F5115-P-J20-A</t>
  </si>
  <si>
    <t>308892822250</t>
  </si>
  <si>
    <t>2895</t>
  </si>
  <si>
    <t>CA-CA/822-2026.04</t>
  </si>
  <si>
    <t>308892993200</t>
  </si>
  <si>
    <t>2894</t>
  </si>
  <si>
    <t>CA-CA/813-2026.02</t>
  </si>
  <si>
    <t>C0406-J30-1-E-P/22</t>
  </si>
  <si>
    <t>C5212-J13-1-P-A/41</t>
  </si>
  <si>
    <t>308893014750</t>
  </si>
  <si>
    <t>2893</t>
  </si>
  <si>
    <t>CA-CA/813-2026.03</t>
  </si>
  <si>
    <t>F5171-J20-1-P-A/43</t>
  </si>
  <si>
    <t>F5171-P-J20-A</t>
  </si>
  <si>
    <t>308893090940</t>
  </si>
  <si>
    <t>2892</t>
  </si>
  <si>
    <t>CA-CA/813-2026.04</t>
  </si>
  <si>
    <t>C5000-J20-1-E-A/31</t>
  </si>
  <si>
    <t>C5000-E-J20-A</t>
  </si>
  <si>
    <t>308893278060</t>
  </si>
  <si>
    <t>2891</t>
  </si>
  <si>
    <t>CA-CA/829-2026</t>
  </si>
  <si>
    <t>308893358560</t>
  </si>
  <si>
    <t>2898</t>
  </si>
  <si>
    <t>CA-CA/828-2026</t>
  </si>
  <si>
    <t>308893499410</t>
  </si>
  <si>
    <t>2890</t>
  </si>
  <si>
    <t>COSY STONE LTD</t>
  </si>
  <si>
    <t>CA-CE/04-2026</t>
  </si>
  <si>
    <t>F3146-P-300-200-20</t>
  </si>
  <si>
    <t>F3146-P (300x200x20)</t>
  </si>
  <si>
    <t>F3146-P-100-100-7</t>
  </si>
  <si>
    <t>F3146-P (100x100x7)</t>
  </si>
  <si>
    <t>F3146-J20-1-P-A/11</t>
  </si>
  <si>
    <t>F3146-P-J20-A</t>
  </si>
  <si>
    <t>F3146-J20-1-P-A/12</t>
  </si>
  <si>
    <t>F3146-J30-1-P-A/11</t>
  </si>
  <si>
    <t>F3146-P-J30-A</t>
  </si>
  <si>
    <t>308893986720</t>
  </si>
  <si>
    <t>2889</t>
  </si>
  <si>
    <t>CA-VE/09-2026</t>
  </si>
  <si>
    <t>C4143-P-250-150-20</t>
  </si>
  <si>
    <t>C4143-P (250x150x20)</t>
  </si>
  <si>
    <t>308894024150</t>
  </si>
  <si>
    <t>2897</t>
  </si>
  <si>
    <t>CA-WA/14-2026</t>
  </si>
  <si>
    <t>F5033-J20-1-P-A/11</t>
  </si>
  <si>
    <t>F5033-P-J20-A</t>
  </si>
  <si>
    <t>308894071310</t>
  </si>
  <si>
    <t>2888</t>
  </si>
  <si>
    <t>CA-JD/118-2026</t>
  </si>
  <si>
    <t>C4348-P-254-127-6</t>
  </si>
  <si>
    <t>C4348-P (254x127x6)</t>
  </si>
  <si>
    <t>308894096730</t>
  </si>
  <si>
    <t>2887</t>
  </si>
  <si>
    <t>CA-JD/119-2026</t>
  </si>
  <si>
    <t>C3105-P-254-127-20</t>
  </si>
  <si>
    <t>C3105-P (254x127x20)</t>
  </si>
  <si>
    <t>308896950740</t>
  </si>
  <si>
    <t>2902</t>
  </si>
  <si>
    <t>CA-CA/826-2026.01</t>
  </si>
  <si>
    <t>C5000-J20-1-E-A/12</t>
  </si>
  <si>
    <t>C5000-J20-1-E-A/32</t>
  </si>
  <si>
    <t>308896986700</t>
  </si>
  <si>
    <t>2903</t>
  </si>
  <si>
    <t>CA-CA/826-2026.01-GC</t>
  </si>
  <si>
    <t>M6313-P-100-100-20</t>
  </si>
  <si>
    <t>M6313 (100x100x20)</t>
  </si>
  <si>
    <t>308897018420</t>
  </si>
  <si>
    <t>2901</t>
  </si>
  <si>
    <t>CA-CA/826-2026.02</t>
  </si>
  <si>
    <t>308897070220</t>
  </si>
  <si>
    <t>2909</t>
  </si>
  <si>
    <t>CA-CA/826-2026.03</t>
  </si>
  <si>
    <t>308897165900</t>
  </si>
  <si>
    <t>2915</t>
  </si>
  <si>
    <t>CA-CA/832-2026.01</t>
  </si>
  <si>
    <t>308897266550</t>
  </si>
  <si>
    <t>2914</t>
  </si>
  <si>
    <t>CA-CA/831-2026</t>
  </si>
  <si>
    <t>308897502010</t>
  </si>
  <si>
    <t>2910</t>
  </si>
  <si>
    <t>CA-CA/834-2026</t>
  </si>
  <si>
    <t>308897644700</t>
  </si>
  <si>
    <t>2913</t>
  </si>
  <si>
    <t>CA-CA/833-2026.01</t>
  </si>
  <si>
    <t>C6313-P-250-125-13</t>
  </si>
  <si>
    <t>C6313-P (250x125x13)</t>
  </si>
  <si>
    <t>308897721220</t>
  </si>
  <si>
    <t>2912</t>
  </si>
  <si>
    <t>CA-CA/833-2026.02</t>
  </si>
  <si>
    <t>308897873340</t>
  </si>
  <si>
    <t>2908</t>
  </si>
  <si>
    <t>CA-CA/833-2026.02-GC</t>
  </si>
  <si>
    <t>308897947800</t>
  </si>
  <si>
    <t>2916</t>
  </si>
  <si>
    <t>CA-CA/833-2026.03</t>
  </si>
  <si>
    <t>C5130-J20-1-P-A/42</t>
  </si>
  <si>
    <t>C5130-P-J20-A</t>
  </si>
  <si>
    <t>C5130-J20-1-P-A/43</t>
  </si>
  <si>
    <t>308899370200</t>
  </si>
  <si>
    <t>2900</t>
  </si>
  <si>
    <t>CA-JD/120-2026</t>
  </si>
  <si>
    <t>F5233-J30-1-P-A/21</t>
  </si>
  <si>
    <t>F5233-J30-1-P-A/23</t>
  </si>
  <si>
    <t>308900052440</t>
  </si>
  <si>
    <t>2899</t>
  </si>
  <si>
    <t>STRATUS SURFACES LLC</t>
  </si>
  <si>
    <t>CA-ST/19-2026</t>
  </si>
  <si>
    <t>F2262-H-100-100-6</t>
  </si>
  <si>
    <t>F2262-H (100x100x6)</t>
  </si>
  <si>
    <t>C4246-P-100-100-6</t>
  </si>
  <si>
    <t>C4246-P (100x100x6)</t>
  </si>
  <si>
    <t>F2262-J30-1-H-A/32</t>
  </si>
  <si>
    <t>F2262-H-J30-A</t>
  </si>
  <si>
    <t>F2262-J30-1-H-A/33</t>
  </si>
  <si>
    <t>308901224830</t>
  </si>
  <si>
    <t>2911</t>
  </si>
  <si>
    <t>CA-CA/835-2026</t>
  </si>
  <si>
    <t>F5112-J30-1-P-B/54</t>
  </si>
  <si>
    <t>F5112-P-J30-B</t>
  </si>
  <si>
    <t>308902101010</t>
  </si>
  <si>
    <t>2922</t>
  </si>
  <si>
    <t>CA-WA/15S-2026</t>
  </si>
  <si>
    <t>F4035-P-825-825-20</t>
  </si>
  <si>
    <t>F4035-P (825x825x20)</t>
  </si>
  <si>
    <t>308902168210</t>
  </si>
  <si>
    <t>2924</t>
  </si>
  <si>
    <t>CA-CA/838-2026</t>
  </si>
  <si>
    <t>F5144-J13-1-P-A/11</t>
  </si>
  <si>
    <t>F5144-P-J13-A</t>
  </si>
  <si>
    <t>F5144-J13-1-P-A/54</t>
  </si>
  <si>
    <t>C6313-J13-1-P-A/42</t>
  </si>
  <si>
    <t>C6313-P-J13-A</t>
  </si>
  <si>
    <t>C6313-J13-1-P-A/43</t>
  </si>
  <si>
    <t>308902179040</t>
  </si>
  <si>
    <t>2934</t>
  </si>
  <si>
    <t>CA-CA/841-2026</t>
  </si>
  <si>
    <t>F4143-J30-1-P-A/54</t>
  </si>
  <si>
    <t>F4143-P-J30-A</t>
  </si>
  <si>
    <t>F8103-J30-1-P-B/42</t>
  </si>
  <si>
    <t>F8103-P-J30-B</t>
  </si>
  <si>
    <t>F8103-J30-1-P-B/43</t>
  </si>
  <si>
    <t>308902235260</t>
  </si>
  <si>
    <t>2933</t>
  </si>
  <si>
    <t>CA-CA/842-2026</t>
  </si>
  <si>
    <t>F5152-P-250-125-20</t>
  </si>
  <si>
    <t>F5152-P (250x125x20)</t>
  </si>
  <si>
    <t>308902278000</t>
  </si>
  <si>
    <t>2932</t>
  </si>
  <si>
    <t>CA-CA/843-2026</t>
  </si>
  <si>
    <t>308902289900</t>
  </si>
  <si>
    <t>2931</t>
  </si>
  <si>
    <t>Valentino Stone Import &amp; Export Inc</t>
  </si>
  <si>
    <t>CA-VI/01-2026</t>
  </si>
  <si>
    <t>C5233-P-152-76-7</t>
  </si>
  <si>
    <t>C5233-P (152x76x7)</t>
  </si>
  <si>
    <t>C5233-P-254-254-20</t>
  </si>
  <si>
    <t>C5233-P (254x254x20)</t>
  </si>
  <si>
    <t>C5233-H-254-254-20</t>
  </si>
  <si>
    <t>C5233-H (254x254x20)</t>
  </si>
  <si>
    <t>C5233-H-152-76-7</t>
  </si>
  <si>
    <t>C5233-H (152x76x7)</t>
  </si>
  <si>
    <t>C5233-J30-1-H-A/21</t>
  </si>
  <si>
    <t>C5233-H-J30-A</t>
  </si>
  <si>
    <t>308902303160</t>
  </si>
  <si>
    <t>2930</t>
  </si>
  <si>
    <t>CA-CA/844-2026</t>
  </si>
  <si>
    <t>308902351500</t>
  </si>
  <si>
    <t>2929</t>
  </si>
  <si>
    <t>CA-CA/845-2026</t>
  </si>
  <si>
    <t>308902447950</t>
  </si>
  <si>
    <t>2928</t>
  </si>
  <si>
    <t>CA-CA/836-2026</t>
  </si>
  <si>
    <t>F6131-P-70-60-4</t>
  </si>
  <si>
    <t>F6131-P (70x60x4)</t>
  </si>
  <si>
    <t>C5000-P-130-70-4</t>
  </si>
  <si>
    <t>C5000-P (130x70x4)</t>
  </si>
  <si>
    <t>308904287660</t>
  </si>
  <si>
    <t>2927</t>
  </si>
  <si>
    <t>CA-CA/837-2026</t>
  </si>
  <si>
    <t>C4043-J30-1-R-A/11</t>
  </si>
  <si>
    <t>C4043-R-J30-A</t>
  </si>
  <si>
    <t>F5115-J30-1-P-A/43</t>
  </si>
  <si>
    <t>F5115-P-J30-A</t>
  </si>
  <si>
    <t>308904640460</t>
  </si>
  <si>
    <t>2926</t>
  </si>
  <si>
    <t>CA-CA/832-2026.02</t>
  </si>
  <si>
    <t>C5111-P-100-100-20</t>
  </si>
  <si>
    <t>C5111-P (100x100x20)</t>
  </si>
  <si>
    <t>C4143-P-100-100-20</t>
  </si>
  <si>
    <t>C4143-P (100x100x20)</t>
  </si>
  <si>
    <t>C4204-P-250-125-20</t>
  </si>
  <si>
    <t>C4204-P (250x125x20)</t>
  </si>
  <si>
    <t>C5820-E-100-100-20</t>
  </si>
  <si>
    <t>C5820-E (100x100x20)</t>
  </si>
  <si>
    <t>308904752940</t>
  </si>
  <si>
    <t>2925</t>
  </si>
  <si>
    <t>CA-CA/839-2026</t>
  </si>
  <si>
    <t>308904821540</t>
  </si>
  <si>
    <t>2923</t>
  </si>
  <si>
    <t>CA-CA/840-2026</t>
  </si>
  <si>
    <t>F5144-P-100-100-20</t>
  </si>
  <si>
    <t>F5144-P (100x100x20)</t>
  </si>
  <si>
    <t>F5131-J30-1-P-B/54</t>
  </si>
  <si>
    <t>308907899920</t>
  </si>
  <si>
    <t>2938</t>
  </si>
  <si>
    <t>CA-CA/847-2026.01</t>
  </si>
  <si>
    <t>C4023-R-100-100-20</t>
  </si>
  <si>
    <t>C4023-R (100x100x20)</t>
  </si>
  <si>
    <t>C5133-P-100-100-20</t>
  </si>
  <si>
    <t>C5133-P (100x100x20)</t>
  </si>
  <si>
    <t>F5152-P-70-60-4</t>
  </si>
  <si>
    <t>F5152-P (70x60x4)</t>
  </si>
  <si>
    <t>F5441-P-250-125-20</t>
  </si>
  <si>
    <t>F5441-P (250x125x20)</t>
  </si>
  <si>
    <t>308907950060</t>
  </si>
  <si>
    <t>2936</t>
  </si>
  <si>
    <t>CA-CA/847-2026.02-GC</t>
  </si>
  <si>
    <t>M4011-R-100-100-20</t>
  </si>
  <si>
    <t>M4011 (100x100x20)</t>
  </si>
  <si>
    <t>308907966640</t>
  </si>
  <si>
    <t>2937</t>
  </si>
  <si>
    <t>CA-CA/847-2026.02</t>
  </si>
  <si>
    <t>C5100-P-100-100-20</t>
  </si>
  <si>
    <t>C5100-P (100x100x20)</t>
  </si>
  <si>
    <t>C4023-R-70-60-4</t>
  </si>
  <si>
    <t>C4023-R (70x60x4)</t>
  </si>
  <si>
    <t>C4011-J20-1-R-A/12</t>
  </si>
  <si>
    <t>308908026730</t>
  </si>
  <si>
    <t>2943</t>
  </si>
  <si>
    <t>CA-CA/847-2026.03</t>
  </si>
  <si>
    <t>F5444-P-100-100-20</t>
  </si>
  <si>
    <t>F5444-P (100x100x20)</t>
  </si>
  <si>
    <t>308908108260</t>
  </si>
  <si>
    <t>2944</t>
  </si>
  <si>
    <t>CA-CA/846-2026</t>
  </si>
  <si>
    <t>Payer</t>
  </si>
  <si>
    <t xml:space="preserve">Số hoá đơn giá trị gia tăng đầu ra </t>
  </si>
  <si>
    <t>Số tờ khai</t>
  </si>
  <si>
    <t xml:space="preserve">Ngày hoá đơn </t>
  </si>
  <si>
    <t>Mã trên billing</t>
  </si>
  <si>
    <t>Bỏ</t>
  </si>
  <si>
    <t>Số lượng trên billing</t>
  </si>
  <si>
    <t>giá theo báo giá</t>
  </si>
  <si>
    <t>Gía theo hợp đồng</t>
  </si>
  <si>
    <t>giá theo hợp đồng -giá theo báo giá</t>
  </si>
  <si>
    <t>Gía hải quan- giá sau khi đã chia các chi phí đi kèm, giá trên billing</t>
  </si>
  <si>
    <t>số lượng *giá hải quan</t>
  </si>
  <si>
    <t>Khu CN Châu Sơn, Phường Châu Sơn, Tỉnh Ninh Bình, Việt Nam.</t>
  </si>
  <si>
    <t>Công ty Cổ phần Casablanca Việt Nam</t>
  </si>
  <si>
    <t>QUỐC GIA ĐẾN</t>
  </si>
  <si>
    <t>SỐ TỜ KHAI</t>
  </si>
  <si>
    <t>Từ ngày 01/08/2026 đến ngày 30/08/2026</t>
  </si>
  <si>
    <t>NGÀY CHỨNG TỪ</t>
  </si>
  <si>
    <t xml:space="preserve">ĐƠN VỊ TÍNH 
</t>
  </si>
  <si>
    <t>TAM</t>
  </si>
  <si>
    <t>TÊN VẬT TƯ</t>
  </si>
  <si>
    <t>GIÁ INV HẢI QUAN</t>
  </si>
  <si>
    <t>LOẠI ĐÁ</t>
  </si>
  <si>
    <t>BÁO CÁO DOANH THU BÁN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</si>
</sst>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"/>
  </numFmts>
  <fonts count="33" x14ac:knownFonts="1">
    <font>
      <sz val="10"/>
      <name val="Arial"/>
    </font>
    <font>
      <sz val="10"/>
      <name val="Calibri Light"/>
      <family val="1"/>
      <scheme val="major"/>
    </font>
    <font>
      <sz val="10"/>
      <color rgb="FF006020"/>
      <name val="Calibri Light"/>
      <family val="1"/>
      <scheme val="major"/>
    </font>
    <font>
      <sz val="10"/>
      <color theme="0"/>
      <name val="Calibri Light"/>
      <family val="1"/>
      <scheme val="major"/>
    </font>
    <font>
      <sz val="10"/>
      <color theme="5"/>
      <name val="Calibri Light"/>
      <family val="1"/>
      <scheme val="major"/>
    </font>
    <font>
      <sz val="10"/>
      <color rgb="FF7030A0"/>
      <name val="Calibri Light"/>
      <family val="1"/>
      <scheme val="maj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Times New Roman"/>
      <family val="1"/>
    </font>
    <font>
      <sz val="10"/>
      <color theme="0"/>
      <name val="Times New Roman"/>
      <family val="1"/>
    </font>
    <font>
      <sz val="10"/>
      <color theme="5" tint="-0.249977111117893"/>
      <name val="Times New Roman"/>
      <family val="1"/>
    </font>
    <font>
      <sz val="10"/>
      <color theme="5"/>
      <name val="Times New Roman"/>
      <family val="1"/>
    </font>
    <font>
      <sz val="10"/>
      <color rgb="FF006020"/>
      <name val="Times New Roman"/>
      <family val="1"/>
    </font>
    <font>
      <sz val="10"/>
      <color rgb="FF0070C0"/>
      <name val="Times New Roman"/>
      <family val="1"/>
    </font>
    <font>
      <b/>
      <sz val="10"/>
      <color rgb="FFC00000"/>
      <name val="Times New Roman"/>
      <family val="1"/>
    </font>
    <font>
      <b/>
      <sz val="11"/>
      <color theme="0"/>
      <name val="Times New Roman"/>
      <family val="1"/>
    </font>
    <font>
      <b/>
      <sz val="16"/>
      <color rgb="FF006020"/>
      <name val="Times New Roman"/>
      <family val="1"/>
    </font>
    <font>
      <sz val="16"/>
      <name val="Times New Roman"/>
      <family val="1"/>
    </font>
    <font>
      <sz val="16"/>
      <color rgb="FF7030A0"/>
      <name val="Times New Roman"/>
      <family val="1"/>
    </font>
    <font>
      <sz val="16"/>
      <color theme="5"/>
      <name val="Times New Roman"/>
      <family val="1"/>
    </font>
    <font>
      <sz val="16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7030A0"/>
      <name val="Times New Roman"/>
      <family val="1"/>
    </font>
    <font>
      <sz val="12"/>
      <color theme="0"/>
      <name val="Times New Roman"/>
      <family val="1"/>
    </font>
    <font>
      <sz val="12"/>
      <name val="Calibri Light"/>
      <family val="2"/>
      <scheme val="major"/>
    </font>
    <font>
      <sz val="12"/>
      <color rgb="FF006020"/>
      <name val="Times New Roman"/>
      <family val="1"/>
    </font>
    <font>
      <sz val="12"/>
      <color rgb="FF0070C0"/>
      <name val="Times New Roman"/>
      <family val="1"/>
    </font>
    <font>
      <b/>
      <sz val="12"/>
      <color rgb="FFC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 Light"/>
      <family val="1"/>
      <scheme val="major"/>
    </font>
    <font>
      <sz val="10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31">
    <xf numFmtId="0" fontId="0" fillId="0" borderId="0" xfId="0"/>
    <xf numFmtId="14" fontId="1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4" fontId="3" fillId="0" borderId="0" xfId="0" applyNumberFormat="1" applyFont="1"/>
    <xf numFmtId="4" fontId="4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49" fontId="5" fillId="0" borderId="0" xfId="0" applyNumberFormat="1" applyFont="1"/>
    <xf numFmtId="4" fontId="5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/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horizontal="left"/>
    </xf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4" fontId="10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14" fillId="0" borderId="0" xfId="0" applyFont="1"/>
    <xf numFmtId="4" fontId="9" fillId="0" borderId="0" xfId="0" applyNumberFormat="1" applyFont="1"/>
    <xf numFmtId="0" fontId="9" fillId="0" borderId="0" xfId="0" applyFont="1" applyAlignment="1">
      <alignment horizontal="center"/>
    </xf>
    <xf numFmtId="14" fontId="16" fillId="2" borderId="2" xfId="1" applyNumberFormat="1" applyFont="1" applyFill="1" applyBorder="1" applyAlignment="1">
      <alignment horizontal="left" vertical="center" wrapText="1"/>
    </xf>
    <xf numFmtId="14" fontId="16" fillId="2" borderId="2" xfId="1" applyNumberFormat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 wrapText="1"/>
    </xf>
    <xf numFmtId="14" fontId="16" fillId="2" borderId="2" xfId="1" applyNumberFormat="1" applyFont="1" applyFill="1" applyBorder="1" applyAlignment="1">
      <alignment horizontal="left" vertical="center"/>
    </xf>
    <xf numFmtId="4" fontId="16" fillId="2" borderId="2" xfId="1" applyNumberFormat="1" applyFont="1" applyFill="1" applyBorder="1" applyAlignment="1">
      <alignment horizontal="center" vertical="center" wrapText="1"/>
    </xf>
    <xf numFmtId="164" fontId="16" fillId="2" borderId="2" xfId="1" applyNumberFormat="1" applyFont="1" applyFill="1" applyBorder="1" applyAlignment="1">
      <alignment horizontal="center" vertical="center" wrapText="1"/>
    </xf>
    <xf numFmtId="164" fontId="16" fillId="2" borderId="4" xfId="1" applyNumberFormat="1" applyFont="1" applyFill="1" applyBorder="1" applyAlignment="1">
      <alignment horizontal="center" vertical="center" wrapText="1"/>
    </xf>
    <xf numFmtId="164" fontId="16" fillId="2" borderId="2" xfId="1" applyNumberFormat="1" applyFont="1" applyFill="1" applyBorder="1" applyAlignment="1">
      <alignment horizontal="left" vertical="center" wrapText="1"/>
    </xf>
    <xf numFmtId="14" fontId="9" fillId="0" borderId="0" xfId="0" applyNumberFormat="1" applyFont="1" applyAlignment="1">
      <alignment horizontal="left"/>
    </xf>
    <xf numFmtId="49" fontId="9" fillId="0" borderId="0" xfId="0" applyNumberFormat="1" applyFont="1"/>
    <xf numFmtId="49" fontId="13" fillId="0" borderId="0" xfId="0" applyNumberFormat="1" applyFont="1"/>
    <xf numFmtId="4" fontId="12" fillId="0" borderId="0" xfId="0" applyNumberFormat="1" applyFont="1"/>
    <xf numFmtId="164" fontId="9" fillId="0" borderId="0" xfId="0" applyNumberFormat="1" applyFont="1"/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4" fontId="9" fillId="0" borderId="1" xfId="0" applyNumberFormat="1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3" fillId="0" borderId="1" xfId="0" applyFont="1" applyBorder="1"/>
    <xf numFmtId="4" fontId="15" fillId="0" borderId="1" xfId="0" applyNumberFormat="1" applyFont="1" applyBorder="1"/>
    <xf numFmtId="4" fontId="9" fillId="0" borderId="1" xfId="0" applyNumberFormat="1" applyFont="1" applyBorder="1"/>
    <xf numFmtId="0" fontId="9" fillId="0" borderId="1" xfId="0" applyFont="1" applyBorder="1" applyAlignment="1">
      <alignment horizontal="left"/>
    </xf>
    <xf numFmtId="0" fontId="10" fillId="0" borderId="0" xfId="0" applyFont="1" applyAlignment="1">
      <alignment vertical="center"/>
    </xf>
    <xf numFmtId="14" fontId="17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4" fontId="18" fillId="0" borderId="0" xfId="0" applyNumberFormat="1" applyFont="1"/>
    <xf numFmtId="4" fontId="20" fillId="0" borderId="0" xfId="0" applyNumberFormat="1" applyFont="1"/>
    <xf numFmtId="4" fontId="19" fillId="0" borderId="0" xfId="0" applyNumberFormat="1" applyFont="1"/>
    <xf numFmtId="0" fontId="18" fillId="0" borderId="0" xfId="0" applyFont="1" applyAlignment="1">
      <alignment horizontal="left"/>
    </xf>
    <xf numFmtId="0" fontId="21" fillId="0" borderId="0" xfId="0" applyFont="1"/>
    <xf numFmtId="14" fontId="22" fillId="0" borderId="0" xfId="0" applyNumberFormat="1" applyFont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4" fontId="23" fillId="0" borderId="0" xfId="0" applyNumberFormat="1" applyFont="1" applyAlignment="1">
      <alignment vertical="center"/>
    </xf>
    <xf numFmtId="49" fontId="23" fillId="0" borderId="0" xfId="0" applyNumberFormat="1" applyFont="1" applyAlignment="1">
      <alignment horizontal="left"/>
    </xf>
    <xf numFmtId="4" fontId="24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5" fillId="0" borderId="0" xfId="0" applyFont="1"/>
    <xf numFmtId="0" fontId="23" fillId="0" borderId="0" xfId="0" applyFont="1"/>
    <xf numFmtId="14" fontId="23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14" fontId="23" fillId="0" borderId="1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0" fontId="27" fillId="0" borderId="1" xfId="0" applyFont="1" applyBorder="1"/>
    <xf numFmtId="0" fontId="28" fillId="0" borderId="0" xfId="0" applyFont="1"/>
    <xf numFmtId="4" fontId="29" fillId="0" borderId="1" xfId="0" applyNumberFormat="1" applyFont="1" applyBorder="1"/>
    <xf numFmtId="4" fontId="25" fillId="0" borderId="0" xfId="0" applyNumberFormat="1" applyFont="1"/>
    <xf numFmtId="4" fontId="23" fillId="0" borderId="1" xfId="0" applyNumberFormat="1" applyFont="1" applyBorder="1"/>
    <xf numFmtId="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1" xfId="0" applyFont="1" applyBorder="1" applyAlignment="1">
      <alignment horizontal="left"/>
    </xf>
    <xf numFmtId="4" fontId="9" fillId="0" borderId="6" xfId="0" applyNumberFormat="1" applyFont="1" applyBorder="1"/>
    <xf numFmtId="4" fontId="10" fillId="0" borderId="6" xfId="0" applyNumberFormat="1" applyFont="1" applyBorder="1"/>
    <xf numFmtId="4" fontId="30" fillId="0" borderId="2" xfId="0" applyNumberFormat="1" applyFont="1" applyBorder="1"/>
    <xf numFmtId="49" fontId="30" fillId="0" borderId="2" xfId="0" applyNumberFormat="1" applyFont="1" applyBorder="1"/>
    <xf numFmtId="49" fontId="31" fillId="0" borderId="2" xfId="0" applyNumberFormat="1" applyFont="1" applyBorder="1"/>
    <xf numFmtId="14" fontId="30" fillId="0" borderId="2" xfId="0" applyNumberFormat="1" applyFont="1" applyBorder="1" applyAlignment="1">
      <alignment horizontal="left"/>
    </xf>
    <xf numFmtId="0" fontId="30" fillId="0" borderId="2" xfId="0" applyFont="1" applyBorder="1" applyAlignment="1">
      <alignment horizontal="center"/>
    </xf>
    <xf numFmtId="49" fontId="30" fillId="0" borderId="2" xfId="0" applyNumberFormat="1" applyFont="1" applyBorder="1" applyAlignment="1">
      <alignment horizontal="left"/>
    </xf>
    <xf numFmtId="0" fontId="30" fillId="0" borderId="2" xfId="0" applyFont="1" applyBorder="1"/>
    <xf numFmtId="164" fontId="30" fillId="0" borderId="2" xfId="0" applyNumberFormat="1" applyFont="1" applyBorder="1"/>
    <xf numFmtId="164" fontId="30" fillId="0" borderId="2" xfId="0" applyNumberFormat="1" applyFont="1" applyBorder="1" applyAlignment="1">
      <alignment horizontal="center"/>
    </xf>
    <xf numFmtId="49" fontId="30" fillId="0" borderId="2" xfId="0" applyNumberFormat="1" applyFont="1" applyBorder="1" applyAlignment="1">
      <alignment horizontal="center"/>
    </xf>
    <xf numFmtId="0" fontId="30" fillId="0" borderId="2" xfId="0" applyFont="1" applyBorder="1" applyAlignment="1">
      <alignment horizontal="left"/>
    </xf>
    <xf numFmtId="0" fontId="30" fillId="0" borderId="0" xfId="0" applyFont="1"/>
    <xf numFmtId="14" fontId="31" fillId="0" borderId="2" xfId="0" applyNumberFormat="1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49" fontId="31" fillId="0" borderId="2" xfId="0" applyNumberFormat="1" applyFont="1" applyBorder="1" applyAlignment="1">
      <alignment horizontal="left"/>
    </xf>
    <xf numFmtId="0" fontId="31" fillId="0" borderId="2" xfId="0" applyFont="1" applyBorder="1"/>
    <xf numFmtId="4" fontId="32" fillId="0" borderId="2" xfId="0" applyNumberFormat="1" applyFont="1" applyBorder="1"/>
    <xf numFmtId="4" fontId="31" fillId="0" borderId="2" xfId="0" applyNumberFormat="1" applyFont="1" applyBorder="1"/>
    <xf numFmtId="164" fontId="31" fillId="0" borderId="2" xfId="0" applyNumberFormat="1" applyFont="1" applyBorder="1"/>
    <xf numFmtId="164" fontId="31" fillId="0" borderId="2" xfId="0" applyNumberFormat="1" applyFont="1" applyBorder="1" applyAlignment="1">
      <alignment horizontal="center"/>
    </xf>
    <xf numFmtId="49" fontId="31" fillId="0" borderId="2" xfId="0" applyNumberFormat="1" applyFont="1" applyBorder="1" applyAlignment="1">
      <alignment horizontal="center"/>
    </xf>
    <xf numFmtId="0" fontId="31" fillId="0" borderId="2" xfId="0" applyFont="1" applyBorder="1" applyAlignment="1">
      <alignment horizontal="left"/>
    </xf>
    <xf numFmtId="0" fontId="31" fillId="0" borderId="0" xfId="0" applyFont="1"/>
    <xf numFmtId="0" fontId="31" fillId="0" borderId="2" xfId="0" quotePrefix="1" applyFont="1" applyBorder="1" applyAlignment="1">
      <alignment horizontal="center"/>
    </xf>
    <xf numFmtId="0" fontId="14" fillId="0" borderId="6" xfId="0" applyFont="1" applyBorder="1"/>
    <xf numFmtId="4" fontId="16" fillId="2" borderId="3" xfId="1" applyNumberFormat="1" applyFont="1" applyFill="1" applyBorder="1" applyAlignment="1">
      <alignment horizontal="center" vertical="center" wrapText="1"/>
    </xf>
    <xf numFmtId="4" fontId="16" fillId="2" borderId="4" xfId="1" applyNumberFormat="1" applyFont="1" applyFill="1" applyBorder="1" applyAlignment="1">
      <alignment horizontal="center" vertical="center" wrapText="1"/>
    </xf>
    <xf numFmtId="14" fontId="16" fillId="2" borderId="3" xfId="1" applyNumberFormat="1" applyFont="1" applyFill="1" applyBorder="1" applyAlignment="1">
      <alignment horizontal="left" vertical="center" wrapText="1"/>
    </xf>
    <xf numFmtId="14" fontId="16" fillId="2" borderId="4" xfId="1" applyNumberFormat="1" applyFont="1" applyFill="1" applyBorder="1" applyAlignment="1">
      <alignment horizontal="left" vertical="center" wrapText="1"/>
    </xf>
    <xf numFmtId="0" fontId="16" fillId="2" borderId="3" xfId="1" applyFont="1" applyFill="1" applyBorder="1" applyAlignment="1">
      <alignment horizontal="center" vertical="center" wrapText="1"/>
    </xf>
    <xf numFmtId="0" fontId="16" fillId="2" borderId="4" xfId="1" applyFont="1" applyFill="1" applyBorder="1" applyAlignment="1">
      <alignment horizontal="center" vertical="center" wrapText="1"/>
    </xf>
    <xf numFmtId="14" fontId="16" fillId="2" borderId="3" xfId="1" applyNumberFormat="1" applyFont="1" applyFill="1" applyBorder="1" applyAlignment="1">
      <alignment horizontal="center" vertical="center" wrapText="1"/>
    </xf>
    <xf numFmtId="14" fontId="16" fillId="2" borderId="4" xfId="1" applyNumberFormat="1" applyFont="1" applyFill="1" applyBorder="1" applyAlignment="1">
      <alignment horizontal="center" vertical="center" wrapText="1"/>
    </xf>
    <xf numFmtId="14" fontId="16" fillId="2" borderId="3" xfId="1" applyNumberFormat="1" applyFont="1" applyFill="1" applyBorder="1" applyAlignment="1">
      <alignment horizontal="center" vertical="center"/>
    </xf>
    <xf numFmtId="14" fontId="16" fillId="2" borderId="4" xfId="1" applyNumberFormat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164" fontId="16" fillId="2" borderId="3" xfId="1" applyNumberFormat="1" applyFont="1" applyFill="1" applyBorder="1" applyAlignment="1">
      <alignment horizontal="center" vertical="center" wrapText="1"/>
    </xf>
    <xf numFmtId="164" fontId="16" fillId="2" borderId="4" xfId="1" applyNumberFormat="1" applyFont="1" applyFill="1" applyBorder="1" applyAlignment="1">
      <alignment horizontal="center" vertical="center" wrapText="1"/>
    </xf>
    <xf numFmtId="14" fontId="16" fillId="2" borderId="5" xfId="1" applyNumberFormat="1" applyFont="1" applyFill="1" applyBorder="1" applyAlignment="1">
      <alignment horizontal="center" vertical="center" wrapText="1"/>
    </xf>
    <xf numFmtId="14" fontId="16" fillId="2" borderId="6" xfId="1" applyNumberFormat="1" applyFont="1" applyFill="1" applyBorder="1" applyAlignment="1">
      <alignment horizontal="center" vertical="center" wrapText="1"/>
    </xf>
    <xf numFmtId="14" fontId="16" fillId="2" borderId="7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0FCAE1E-E824-4EF4-87FC-981AC0DDAB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DDT\BAO%20CAO\Bao_cao_tinh_hinh_su_dung_hoa_d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Packages/5319275A.WhatsAppDesktop_cv1g1gvanyjgm/LocalState/sessions/BF5CDDC3B2867FD1E617453F1DD2792266BF1770/transfers/2026-38/B&#193;O%20C&#193;O%20CHI%20TI&#7870;T%20DT%20TH&#193;NG%208%202026.xlsx" TargetMode="External"/><Relationship Id="rId2" Type="http://schemas.openxmlformats.org/officeDocument/2006/relationships/externalLinkPath" Target="file:///C:\Users\TUANDV\AppData\Local\Packages\5319275A.WhatsAppDesktop_cv1g1gvanyjgm\LocalState\sessions\BF5CDDC3B2867FD1E617453F1DD2792266BF1770\transfers\2026-38\B&#193;O%20C&#193;O%20CHI%20TI&#7870;T%20DT%20TH&#193;NG%208%202026.xlsx" TargetMode="External"/><Relationship Id="rId1" Type="http://schemas.openxmlformats.org/officeDocument/2006/relationships/externalLinkPath" Target="/Users/TUANDV/AppData/Local/Packages/5319275A.WhatsAppDesktop_cv1g1gvanyjgm/LocalState/sessions/BF5CDDC3B2867FD1E617453F1DD2792266BF1770/transfers/2026-38/B&#193;O%20C&#193;O%20CHI%20TI&#7870;T%20DT%20TH&#193;NG%208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m số BC"/>
      <sheetName val="Báo cáo"/>
    </sheetNames>
    <sheetDataSet>
      <sheetData sheetId="0"/>
      <sheetData sheetId="1">
        <row r="1">
          <cell r="A1" t="str">
            <v>CỘNG HÒA XÃ HỘI CHỦ NGHĨA VIỆT NAM (1)</v>
          </cell>
          <cell r="T1" t="str">
            <v>Mẫu: BC26/AC
(Ban hành kèm theo Thông tư 
số 39/2014/TT-BTC ngày 
31/3/2014 của Bộ Tài chính)</v>
          </cell>
        </row>
        <row r="2">
          <cell r="A2" t="str">
            <v>Độc lập - Tự do - Hạnh phúc (2)</v>
          </cell>
        </row>
        <row r="3">
          <cell r="A3" t="str">
            <v>BÁO CÁO TÌNH HÌNH SỬ DỤNG HÓA ĐƠN (3)</v>
          </cell>
        </row>
        <row r="4">
          <cell r="A4" t="str">
            <v>Tháng 11 năm 2019 (4)</v>
          </cell>
        </row>
        <row r="5">
          <cell r="A5" t="str">
            <v xml:space="preserve">1. Tên tổ chức(Cá nhân): </v>
          </cell>
          <cell r="C5" t="str">
            <v>chi nhánh 851 (5)</v>
          </cell>
        </row>
        <row r="6">
          <cell r="A6" t="str">
            <v xml:space="preserve">2. Mã số thuế: </v>
          </cell>
          <cell r="C6" t="str">
            <v>0100109106-851 (6)</v>
          </cell>
        </row>
        <row r="7">
          <cell r="A7" t="str">
            <v>3. Địa chỉ:</v>
          </cell>
          <cell r="C7" t="str">
            <v>a (7)</v>
          </cell>
        </row>
        <row r="8">
          <cell r="A8" t="str">
            <v>Đơn vị tính: Số</v>
          </cell>
          <cell r="T8" t="str">
            <v>(40)</v>
          </cell>
        </row>
        <row r="9">
          <cell r="A9" t="str">
            <v>STT</v>
          </cell>
          <cell r="B9" t="str">
            <v>Tên loại
 hóa đơn</v>
          </cell>
          <cell r="C9" t="str">
            <v>Ký hiệu
 mẫu hoá
 đơn</v>
          </cell>
          <cell r="D9" t="str">
            <v>Ký hiệu
 hóa đơn</v>
          </cell>
          <cell r="E9" t="str">
            <v>Số tồn đầu kỳ, mua/phát hành
 trong kỳ</v>
          </cell>
          <cell r="J9" t="str">
            <v>Số sử dụng, xóa bỏ, mất, hủy trong kỳ</v>
          </cell>
          <cell r="T9" t="str">
            <v>Tồn cuối kỳ</v>
          </cell>
        </row>
        <row r="10">
          <cell r="E10" t="str">
            <v>Tổng
 số</v>
          </cell>
          <cell r="F10" t="str">
            <v>Số tồn đầu kỳ</v>
          </cell>
          <cell r="H10" t="str">
            <v>Số mua/
phát hành trong kỳ</v>
          </cell>
          <cell r="J10" t="str">
            <v>Tổng số sử dụng, xóa bỏ,
 mất, hủy</v>
          </cell>
          <cell r="M10" t="str">
            <v>Trong đó</v>
          </cell>
        </row>
        <row r="11">
          <cell r="M11" t="str">
            <v>Số lượng
 đã Sử
  dụng</v>
          </cell>
          <cell r="N11" t="str">
            <v>Xóa bỏ</v>
          </cell>
          <cell r="P11" t="str">
            <v>Mất</v>
          </cell>
          <cell r="R11" t="str">
            <v>Huỷ</v>
          </cell>
        </row>
        <row r="12">
          <cell r="F12" t="str">
            <v>Từ số</v>
          </cell>
          <cell r="G12" t="str">
            <v>Đến số</v>
          </cell>
          <cell r="H12" t="str">
            <v>Từ số</v>
          </cell>
          <cell r="I12" t="str">
            <v>Đến số</v>
          </cell>
          <cell r="J12" t="str">
            <v>Từ số</v>
          </cell>
          <cell r="K12" t="str">
            <v>Đến số</v>
          </cell>
          <cell r="L12" t="str">
            <v>Cộng</v>
          </cell>
          <cell r="N12" t="str">
            <v>Số 
lượng</v>
          </cell>
          <cell r="O12" t="str">
            <v>Số</v>
          </cell>
          <cell r="P12" t="str">
            <v>Số 
lượng</v>
          </cell>
          <cell r="Q12" t="str">
            <v>Số</v>
          </cell>
          <cell r="R12" t="str">
            <v>Số 
lượng</v>
          </cell>
          <cell r="S12" t="str">
            <v>Số</v>
          </cell>
          <cell r="T12" t="str">
            <v>Từ số</v>
          </cell>
          <cell r="U12" t="str">
            <v>Đến số</v>
          </cell>
          <cell r="V12" t="str">
            <v>Số lượng</v>
          </cell>
        </row>
        <row r="13">
          <cell r="A13" t="str">
            <v>(8)</v>
          </cell>
          <cell r="B13" t="str">
            <v>(9)</v>
          </cell>
          <cell r="C13" t="str">
            <v>(10)</v>
          </cell>
          <cell r="D13" t="str">
            <v>(11)</v>
          </cell>
          <cell r="E13" t="str">
            <v>(12)</v>
          </cell>
          <cell r="F13" t="str">
            <v>(13)</v>
          </cell>
          <cell r="G13" t="str">
            <v>(14)</v>
          </cell>
          <cell r="H13" t="str">
            <v>(15)</v>
          </cell>
          <cell r="I13" t="str">
            <v>(16)</v>
          </cell>
          <cell r="J13" t="str">
            <v>(17)</v>
          </cell>
          <cell r="K13" t="str">
            <v>(18)</v>
          </cell>
          <cell r="L13" t="str">
            <v>(19)</v>
          </cell>
          <cell r="M13" t="str">
            <v>(20)</v>
          </cell>
          <cell r="N13" t="str">
            <v>(21)</v>
          </cell>
          <cell r="O13" t="str">
            <v>(22)</v>
          </cell>
          <cell r="P13" t="str">
            <v>(23)</v>
          </cell>
          <cell r="Q13" t="str">
            <v>(24)</v>
          </cell>
          <cell r="R13" t="str">
            <v>(25)</v>
          </cell>
          <cell r="S13" t="str">
            <v>(26)</v>
          </cell>
          <cell r="T13" t="str">
            <v>(27)</v>
          </cell>
          <cell r="U13" t="str">
            <v>(28)</v>
          </cell>
          <cell r="V13" t="str">
            <v>(29)</v>
          </cell>
        </row>
        <row r="14">
          <cell r="A14" t="str">
            <v>1</v>
          </cell>
          <cell r="B14" t="str">
            <v>2</v>
          </cell>
          <cell r="C14" t="str">
            <v>3</v>
          </cell>
          <cell r="D14" t="str">
            <v>4</v>
          </cell>
          <cell r="E14" t="str">
            <v>5</v>
          </cell>
          <cell r="F14" t="str">
            <v>6</v>
          </cell>
          <cell r="G14" t="str">
            <v>7</v>
          </cell>
          <cell r="H14" t="str">
            <v>8</v>
          </cell>
          <cell r="I14" t="str">
            <v>9</v>
          </cell>
          <cell r="J14" t="str">
            <v>10</v>
          </cell>
          <cell r="K14" t="str">
            <v>11</v>
          </cell>
          <cell r="L14" t="str">
            <v>12</v>
          </cell>
          <cell r="M14" t="str">
            <v>13</v>
          </cell>
          <cell r="N14" t="str">
            <v>14</v>
          </cell>
          <cell r="O14" t="str">
            <v>15</v>
          </cell>
          <cell r="P14" t="str">
            <v>16</v>
          </cell>
          <cell r="Q14" t="str">
            <v>17</v>
          </cell>
          <cell r="R14" t="str">
            <v>18</v>
          </cell>
          <cell r="S14" t="str">
            <v>19</v>
          </cell>
          <cell r="T14" t="str">
            <v>20</v>
          </cell>
          <cell r="U14" t="str">
            <v>21</v>
          </cell>
          <cell r="V14" t="str">
            <v>22</v>
          </cell>
        </row>
        <row r="15">
          <cell r="A15">
            <v>1</v>
          </cell>
          <cell r="B15" t="str">
            <v>Hóa đơn giá trị gia tăng</v>
          </cell>
          <cell r="C15" t="str">
            <v>01GTKT0/208</v>
          </cell>
          <cell r="D15" t="str">
            <v>AB/18E</v>
          </cell>
          <cell r="E15">
            <v>9999</v>
          </cell>
          <cell r="F15">
            <v>2</v>
          </cell>
          <cell r="G15">
            <v>10000</v>
          </cell>
          <cell r="T15">
            <v>2</v>
          </cell>
          <cell r="U15">
            <v>10000</v>
          </cell>
          <cell r="V15">
            <v>9999</v>
          </cell>
        </row>
        <row r="16">
          <cell r="A16">
            <v>2</v>
          </cell>
          <cell r="B16" t="str">
            <v>Hóa đơn giá trị gia tăng</v>
          </cell>
          <cell r="C16" t="str">
            <v>01GTKT0/211</v>
          </cell>
          <cell r="D16" t="str">
            <v>AA/18E</v>
          </cell>
          <cell r="E16">
            <v>10000</v>
          </cell>
          <cell r="F16">
            <v>1</v>
          </cell>
          <cell r="G16">
            <v>10000</v>
          </cell>
          <cell r="T16">
            <v>1</v>
          </cell>
          <cell r="U16">
            <v>10000</v>
          </cell>
          <cell r="V16">
            <v>10000</v>
          </cell>
        </row>
        <row r="17">
          <cell r="A17">
            <v>3</v>
          </cell>
          <cell r="B17" t="str">
            <v>Hóa đơn giá trị gia tăng</v>
          </cell>
          <cell r="C17" t="str">
            <v>01GTKT0/323</v>
          </cell>
          <cell r="D17" t="str">
            <v>AB/19E</v>
          </cell>
          <cell r="E17">
            <v>3000</v>
          </cell>
          <cell r="H17">
            <v>1</v>
          </cell>
          <cell r="I17">
            <v>3000</v>
          </cell>
          <cell r="J17">
            <v>1</v>
          </cell>
          <cell r="K17">
            <v>5</v>
          </cell>
          <cell r="L17">
            <v>5</v>
          </cell>
          <cell r="M17">
            <v>5</v>
          </cell>
          <cell r="T17">
            <v>6</v>
          </cell>
          <cell r="U17">
            <v>3000</v>
          </cell>
          <cell r="V17">
            <v>2995</v>
          </cell>
        </row>
        <row r="18">
          <cell r="A18">
            <v>4</v>
          </cell>
          <cell r="B18" t="str">
            <v>Hóa đơn bán hàng</v>
          </cell>
          <cell r="C18" t="str">
            <v>02GTTT0/180</v>
          </cell>
          <cell r="D18" t="str">
            <v>AB/19E</v>
          </cell>
          <cell r="E18">
            <v>5000</v>
          </cell>
          <cell r="H18">
            <v>1</v>
          </cell>
          <cell r="I18">
            <v>5000</v>
          </cell>
          <cell r="J18">
            <v>1</v>
          </cell>
          <cell r="K18">
            <v>17</v>
          </cell>
          <cell r="L18">
            <v>17</v>
          </cell>
          <cell r="M18">
            <v>17</v>
          </cell>
          <cell r="T18">
            <v>18</v>
          </cell>
          <cell r="U18">
            <v>5000</v>
          </cell>
          <cell r="V18">
            <v>4983</v>
          </cell>
        </row>
        <row r="19">
          <cell r="A19">
            <v>5</v>
          </cell>
          <cell r="B19" t="str">
            <v>Hóa đơn bán hàng</v>
          </cell>
          <cell r="C19" t="str">
            <v>02GTTT0/181</v>
          </cell>
          <cell r="D19" t="str">
            <v>AA/19E</v>
          </cell>
          <cell r="E19">
            <v>4000</v>
          </cell>
          <cell r="H19">
            <v>1</v>
          </cell>
          <cell r="I19">
            <v>4000</v>
          </cell>
          <cell r="T19">
            <v>1</v>
          </cell>
          <cell r="U19">
            <v>4000</v>
          </cell>
          <cell r="V19">
            <v>4000</v>
          </cell>
        </row>
        <row r="20">
          <cell r="A20" t="str">
            <v>Tổng cộng</v>
          </cell>
          <cell r="E20" t="str">
            <v>31999 (30)</v>
          </cell>
          <cell r="L20" t="str">
            <v>22 (31)</v>
          </cell>
          <cell r="M20" t="str">
            <v>22 (32)</v>
          </cell>
          <cell r="V20">
            <v>31977</v>
          </cell>
        </row>
        <row r="21">
          <cell r="A21" t="str">
            <v>Cam kết báo cáo tình hình sử dụng hóa đơn trên đây là đúng sự thật, nếu sai, đơn vị chịu hoàn toàn trách nhiệm trước pháp luật. (34)</v>
          </cell>
        </row>
        <row r="22">
          <cell r="P22" t="str">
            <v>........,Ngày ..... tháng ..... năm ..... (37)</v>
          </cell>
        </row>
        <row r="23">
          <cell r="A23" t="str">
            <v>Người lập biểu (35)</v>
          </cell>
          <cell r="P23" t="str">
            <v>NGƯỜI ĐẠI DIỆN THEO PHÁP LUẬT (38)</v>
          </cell>
        </row>
        <row r="24">
          <cell r="A24" t="str">
            <v>(Ký, ghi rõ họ, tên) (36)</v>
          </cell>
          <cell r="P24" t="str">
            <v>(Ký, ghi rõ họ, tên và đóng dấu) (39)</v>
          </cell>
        </row>
        <row r="27">
          <cell r="C27" t="str">
            <v>Mô tả</v>
          </cell>
        </row>
        <row r="28">
          <cell r="C28" t="str">
            <v xml:space="preserve">Hiển thị các dải hóa đơn của đơn vị </v>
          </cell>
        </row>
        <row r="29">
          <cell r="C29" t="str">
            <v>Chung</v>
          </cell>
          <cell r="D29" t="str">
            <v xml:space="preserve">Báo cáo lấy dữ liệu các hóa đơn đã được lập, phát hành trong chức năng HDĐT_04_02 - Quản lý hóa đơn </v>
          </cell>
        </row>
        <row r="30">
          <cell r="C30" t="str">
            <v>(1)</v>
          </cell>
          <cell r="D30" t="str">
            <v>Fix cứng giá trị "CỘNG HÒA XÃ HỘI CHỦ NGHĨA VIỆT NAM"</v>
          </cell>
        </row>
        <row r="31">
          <cell r="C31" t="str">
            <v>(2)</v>
          </cell>
          <cell r="D31" t="str">
            <v>Fix cứng giá trị "Độc lập - Tự do - Hạnh phúc"</v>
          </cell>
        </row>
        <row r="32">
          <cell r="C32" t="str">
            <v>(3)</v>
          </cell>
          <cell r="D32" t="str">
            <v>Fix cứng giá trị "BÁO CÁO TÌNH HÌNH SỬ DỤNG HÓA ĐƠN"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 HÓA ĐƠN"/>
      <sheetName val="511"/>
      <sheetName val="thị trường"/>
      <sheetName val="632"/>
      <sheetName val="check mã hàng"/>
      <sheetName val="data"/>
      <sheetName val="GIA CA"/>
      <sheetName val="giá CA update"/>
      <sheetName val="giá mỹ từ 6.8.2025"/>
      <sheetName val="giá ngoài mỹ 6.8.2025 (final)"/>
      <sheetName val="GIÁ MỸ 1.8-5.8"/>
      <sheetName val="GIÁ NGOÀI MỸ 1.8-5.8"/>
      <sheetName val=" Giá ngoài Mỹ - SI-GR"/>
      <sheetName val="GIA HS"/>
      <sheetName val="duyệt chênh lệch giá"/>
      <sheetName val="giá ngoài mỹ 6.8.2025"/>
      <sheetName val="Duyệt khách AT phí make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G1" t="str">
            <v>Price 01.01.2026</v>
          </cell>
        </row>
        <row r="2">
          <cell r="G2" t="str">
            <v>Quartz</v>
          </cell>
          <cell r="I2" t="str">
            <v>Free silica</v>
          </cell>
        </row>
        <row r="3">
          <cell r="G3" t="str">
            <v>C4001J13</v>
          </cell>
          <cell r="H3">
            <v>46.75</v>
          </cell>
          <cell r="I3" t="str">
            <v>F4001J13</v>
          </cell>
          <cell r="J3" t="str">
            <v>G4001J13</v>
          </cell>
          <cell r="K3">
            <v>49.3</v>
          </cell>
        </row>
        <row r="4">
          <cell r="G4" t="str">
            <v>C4001J20</v>
          </cell>
          <cell r="H4">
            <v>55</v>
          </cell>
          <cell r="I4" t="str">
            <v>F4001J20</v>
          </cell>
          <cell r="J4" t="str">
            <v>G4001J20</v>
          </cell>
          <cell r="K4">
            <v>58</v>
          </cell>
        </row>
        <row r="5">
          <cell r="G5" t="str">
            <v>C4001J30</v>
          </cell>
          <cell r="H5">
            <v>68.75</v>
          </cell>
          <cell r="I5" t="str">
            <v>F4001J30</v>
          </cell>
          <cell r="J5" t="str">
            <v>G4001J30</v>
          </cell>
          <cell r="K5">
            <v>72.5</v>
          </cell>
        </row>
        <row r="6">
          <cell r="G6" t="str">
            <v>C4003J13</v>
          </cell>
          <cell r="H6">
            <v>46.75</v>
          </cell>
          <cell r="I6" t="str">
            <v>F4003J13</v>
          </cell>
          <cell r="J6" t="str">
            <v>G4003J13</v>
          </cell>
          <cell r="K6">
            <v>49.3</v>
          </cell>
        </row>
        <row r="7">
          <cell r="G7" t="str">
            <v>C4003J20</v>
          </cell>
          <cell r="H7">
            <v>55</v>
          </cell>
          <cell r="I7" t="str">
            <v>F4003J20</v>
          </cell>
          <cell r="J7" t="str">
            <v>G4003J20</v>
          </cell>
          <cell r="K7">
            <v>58</v>
          </cell>
        </row>
        <row r="8">
          <cell r="G8" t="str">
            <v>C4003J30</v>
          </cell>
          <cell r="H8">
            <v>68.75</v>
          </cell>
          <cell r="I8" t="str">
            <v>F4003J30</v>
          </cell>
          <cell r="J8" t="str">
            <v>G4003J30</v>
          </cell>
          <cell r="K8">
            <v>72.5</v>
          </cell>
        </row>
        <row r="9">
          <cell r="G9" t="str">
            <v>C4004J13</v>
          </cell>
          <cell r="H9">
            <v>46.75</v>
          </cell>
          <cell r="I9" t="str">
            <v>F4004J13</v>
          </cell>
          <cell r="J9" t="str">
            <v>G4004J13</v>
          </cell>
          <cell r="K9">
            <v>49.3</v>
          </cell>
        </row>
        <row r="10">
          <cell r="G10" t="str">
            <v>C4004J20</v>
          </cell>
          <cell r="H10">
            <v>55</v>
          </cell>
          <cell r="I10" t="str">
            <v>F4004J20</v>
          </cell>
          <cell r="J10" t="str">
            <v>G4004J20</v>
          </cell>
          <cell r="K10">
            <v>58</v>
          </cell>
        </row>
        <row r="11">
          <cell r="G11" t="str">
            <v>C4004J30</v>
          </cell>
          <cell r="H11">
            <v>68.75</v>
          </cell>
          <cell r="I11" t="str">
            <v>F4004J30</v>
          </cell>
          <cell r="J11" t="str">
            <v>G4004J30</v>
          </cell>
          <cell r="K11">
            <v>72.5</v>
          </cell>
        </row>
        <row r="12">
          <cell r="G12" t="str">
            <v>C5000J13</v>
          </cell>
          <cell r="H12">
            <v>46.75</v>
          </cell>
          <cell r="I12" t="str">
            <v>F5000J13</v>
          </cell>
          <cell r="J12" t="str">
            <v>G5000J13</v>
          </cell>
          <cell r="K12">
            <v>49.3</v>
          </cell>
        </row>
        <row r="13">
          <cell r="G13" t="str">
            <v>C5000J20</v>
          </cell>
          <cell r="H13">
            <v>55</v>
          </cell>
          <cell r="I13" t="str">
            <v>F5000J20</v>
          </cell>
          <cell r="J13" t="str">
            <v>G5000J20</v>
          </cell>
          <cell r="K13">
            <v>58</v>
          </cell>
        </row>
        <row r="14">
          <cell r="G14" t="str">
            <v>C5000J30</v>
          </cell>
          <cell r="H14">
            <v>68.75</v>
          </cell>
          <cell r="I14" t="str">
            <v>F5000J30</v>
          </cell>
          <cell r="J14" t="str">
            <v>G5000J30</v>
          </cell>
          <cell r="K14">
            <v>72.5</v>
          </cell>
        </row>
        <row r="15">
          <cell r="G15" t="str">
            <v>C5141J13</v>
          </cell>
          <cell r="H15">
            <v>46.75</v>
          </cell>
          <cell r="I15" t="str">
            <v>F5141J13</v>
          </cell>
          <cell r="J15" t="str">
            <v>G5141J13</v>
          </cell>
          <cell r="K15">
            <v>49.3</v>
          </cell>
        </row>
        <row r="16">
          <cell r="G16" t="str">
            <v>C5141J20</v>
          </cell>
          <cell r="H16">
            <v>55</v>
          </cell>
          <cell r="I16" t="str">
            <v>F5141J20</v>
          </cell>
          <cell r="J16" t="str">
            <v>G5141J20</v>
          </cell>
          <cell r="K16">
            <v>58</v>
          </cell>
        </row>
        <row r="17">
          <cell r="G17" t="str">
            <v>C5141J30</v>
          </cell>
          <cell r="H17">
            <v>68.75</v>
          </cell>
          <cell r="I17" t="str">
            <v>F5141J30</v>
          </cell>
          <cell r="J17" t="str">
            <v>G5141J30</v>
          </cell>
          <cell r="K17">
            <v>72.5</v>
          </cell>
        </row>
        <row r="18">
          <cell r="G18" t="str">
            <v>C5111J13</v>
          </cell>
          <cell r="H18">
            <v>46.75</v>
          </cell>
          <cell r="I18" t="str">
            <v>F5111J13</v>
          </cell>
          <cell r="J18" t="str">
            <v>G5111J13</v>
          </cell>
          <cell r="K18">
            <v>49.3</v>
          </cell>
        </row>
        <row r="19">
          <cell r="G19" t="str">
            <v>C5111J20</v>
          </cell>
          <cell r="H19">
            <v>55</v>
          </cell>
          <cell r="I19" t="str">
            <v>F5111J20</v>
          </cell>
          <cell r="J19" t="str">
            <v>G5111J20</v>
          </cell>
          <cell r="K19">
            <v>58</v>
          </cell>
        </row>
        <row r="20">
          <cell r="G20" t="str">
            <v>C5111J30</v>
          </cell>
          <cell r="H20">
            <v>68.75</v>
          </cell>
          <cell r="I20" t="str">
            <v>F5111J30</v>
          </cell>
          <cell r="J20" t="str">
            <v>G5111J30</v>
          </cell>
          <cell r="K20">
            <v>72.5</v>
          </cell>
        </row>
        <row r="21">
          <cell r="G21" t="str">
            <v>C7512J13</v>
          </cell>
          <cell r="H21">
            <v>46.75</v>
          </cell>
          <cell r="I21" t="str">
            <v>F7512J13</v>
          </cell>
          <cell r="J21" t="str">
            <v>G7512J13</v>
          </cell>
          <cell r="K21">
            <v>49.3</v>
          </cell>
        </row>
        <row r="22">
          <cell r="G22" t="str">
            <v>C7512J20</v>
          </cell>
          <cell r="H22">
            <v>55</v>
          </cell>
          <cell r="I22" t="str">
            <v>F7512J20</v>
          </cell>
          <cell r="J22" t="str">
            <v>G7512J20</v>
          </cell>
          <cell r="K22">
            <v>58</v>
          </cell>
        </row>
        <row r="23">
          <cell r="G23" t="str">
            <v>C7512J30</v>
          </cell>
          <cell r="H23">
            <v>68.75</v>
          </cell>
          <cell r="I23" t="str">
            <v>F7512J30</v>
          </cell>
          <cell r="J23" t="str">
            <v>G7512J30</v>
          </cell>
          <cell r="K23">
            <v>72.5</v>
          </cell>
        </row>
        <row r="24">
          <cell r="G24" t="str">
            <v>C5031J13</v>
          </cell>
          <cell r="H24">
            <v>48.449999999999996</v>
          </cell>
          <cell r="I24" t="str">
            <v>F5031J13</v>
          </cell>
          <cell r="J24" t="str">
            <v>G5031J13</v>
          </cell>
          <cell r="K24">
            <v>51</v>
          </cell>
        </row>
        <row r="25">
          <cell r="G25" t="str">
            <v>C5031J20</v>
          </cell>
          <cell r="H25">
            <v>57</v>
          </cell>
          <cell r="I25" t="str">
            <v>F5031J20</v>
          </cell>
          <cell r="J25" t="str">
            <v>G5031J20</v>
          </cell>
          <cell r="K25">
            <v>60</v>
          </cell>
        </row>
        <row r="26">
          <cell r="G26" t="str">
            <v>C5031J30</v>
          </cell>
          <cell r="H26">
            <v>71.25</v>
          </cell>
          <cell r="I26" t="str">
            <v>F5031J30</v>
          </cell>
          <cell r="J26" t="str">
            <v>G5031J30</v>
          </cell>
          <cell r="K26">
            <v>75</v>
          </cell>
        </row>
        <row r="27">
          <cell r="G27" t="str">
            <v>C5110J13</v>
          </cell>
          <cell r="H27">
            <v>48.449999999999996</v>
          </cell>
          <cell r="I27" t="str">
            <v>F5110J13</v>
          </cell>
          <cell r="J27" t="str">
            <v>G5110J13</v>
          </cell>
          <cell r="K27">
            <v>51</v>
          </cell>
        </row>
        <row r="28">
          <cell r="G28" t="str">
            <v>C5110J20</v>
          </cell>
          <cell r="H28">
            <v>57</v>
          </cell>
          <cell r="I28" t="str">
            <v>F5110J20</v>
          </cell>
          <cell r="J28" t="str">
            <v>G5110J20</v>
          </cell>
          <cell r="K28">
            <v>60</v>
          </cell>
        </row>
        <row r="29">
          <cell r="G29" t="str">
            <v>C5110J30</v>
          </cell>
          <cell r="H29">
            <v>71.25</v>
          </cell>
          <cell r="I29" t="str">
            <v>F5110J30</v>
          </cell>
          <cell r="J29" t="str">
            <v>G5110J30</v>
          </cell>
          <cell r="K29">
            <v>75</v>
          </cell>
        </row>
        <row r="30">
          <cell r="G30" t="str">
            <v>C5112J13</v>
          </cell>
          <cell r="H30">
            <v>48.449999999999996</v>
          </cell>
          <cell r="I30" t="str">
            <v>F5112J13</v>
          </cell>
          <cell r="J30" t="str">
            <v>G5112J13</v>
          </cell>
          <cell r="K30">
            <v>51</v>
          </cell>
        </row>
        <row r="31">
          <cell r="G31" t="str">
            <v>C5112J20</v>
          </cell>
          <cell r="H31">
            <v>57</v>
          </cell>
          <cell r="I31" t="str">
            <v>F5112J20</v>
          </cell>
          <cell r="J31" t="str">
            <v>G5112J20</v>
          </cell>
          <cell r="K31">
            <v>60</v>
          </cell>
        </row>
        <row r="32">
          <cell r="G32" t="str">
            <v>C5112J30</v>
          </cell>
          <cell r="H32">
            <v>71.25</v>
          </cell>
          <cell r="I32" t="str">
            <v>F5112J30</v>
          </cell>
          <cell r="J32" t="str">
            <v>G5112J30</v>
          </cell>
          <cell r="K32">
            <v>75</v>
          </cell>
        </row>
        <row r="33">
          <cell r="G33" t="str">
            <v>C7524J13</v>
          </cell>
          <cell r="H33">
            <v>48.449999999999996</v>
          </cell>
          <cell r="I33" t="str">
            <v>F7524J13</v>
          </cell>
          <cell r="J33" t="str">
            <v>G7524J13</v>
          </cell>
          <cell r="K33">
            <v>51</v>
          </cell>
        </row>
        <row r="34">
          <cell r="G34" t="str">
            <v>C7524J20</v>
          </cell>
          <cell r="H34">
            <v>57</v>
          </cell>
          <cell r="I34" t="str">
            <v>F7524J20</v>
          </cell>
          <cell r="J34" t="str">
            <v>G7524J20</v>
          </cell>
          <cell r="K34">
            <v>60</v>
          </cell>
        </row>
        <row r="35">
          <cell r="G35" t="str">
            <v>C7524J30</v>
          </cell>
          <cell r="H35">
            <v>71.25</v>
          </cell>
          <cell r="I35" t="str">
            <v>F7524J30</v>
          </cell>
          <cell r="J35" t="str">
            <v>G7524J30</v>
          </cell>
          <cell r="K35">
            <v>75</v>
          </cell>
        </row>
        <row r="36">
          <cell r="G36" t="str">
            <v>C5131J13</v>
          </cell>
          <cell r="H36">
            <v>48.449999999999996</v>
          </cell>
          <cell r="I36" t="str">
            <v>F5131J13</v>
          </cell>
          <cell r="J36" t="str">
            <v>G5131J13</v>
          </cell>
          <cell r="K36">
            <v>51</v>
          </cell>
        </row>
        <row r="37">
          <cell r="G37" t="str">
            <v>C5131J20</v>
          </cell>
          <cell r="H37">
            <v>57</v>
          </cell>
          <cell r="I37" t="str">
            <v>F5131J20</v>
          </cell>
          <cell r="J37" t="str">
            <v>G5131J20</v>
          </cell>
          <cell r="K37">
            <v>60</v>
          </cell>
        </row>
        <row r="38">
          <cell r="G38" t="str">
            <v>C5131J30</v>
          </cell>
          <cell r="H38">
            <v>71.25</v>
          </cell>
          <cell r="I38" t="str">
            <v>F5131J30</v>
          </cell>
          <cell r="J38" t="str">
            <v>G5131J30</v>
          </cell>
          <cell r="K38">
            <v>75</v>
          </cell>
        </row>
        <row r="39">
          <cell r="G39" t="str">
            <v>C5132J13</v>
          </cell>
          <cell r="H39">
            <v>50.15</v>
          </cell>
          <cell r="I39" t="str">
            <v>F5132J13</v>
          </cell>
          <cell r="J39" t="str">
            <v>G5132J13</v>
          </cell>
          <cell r="K39">
            <v>52.699999999999996</v>
          </cell>
        </row>
        <row r="40">
          <cell r="G40" t="str">
            <v>C5132J20</v>
          </cell>
          <cell r="H40">
            <v>59</v>
          </cell>
          <cell r="I40" t="str">
            <v>F5132J20</v>
          </cell>
          <cell r="J40" t="str">
            <v>G5132J20</v>
          </cell>
          <cell r="K40">
            <v>62</v>
          </cell>
        </row>
        <row r="41">
          <cell r="G41" t="str">
            <v>C5132J30</v>
          </cell>
          <cell r="H41">
            <v>73.75</v>
          </cell>
          <cell r="I41" t="str">
            <v>F5132J30</v>
          </cell>
          <cell r="J41" t="str">
            <v>G5132J30</v>
          </cell>
          <cell r="K41">
            <v>77.5</v>
          </cell>
        </row>
        <row r="42">
          <cell r="G42" t="str">
            <v>C5140J13</v>
          </cell>
          <cell r="H42">
            <v>50.15</v>
          </cell>
          <cell r="I42" t="str">
            <v>F5140J13</v>
          </cell>
          <cell r="J42" t="str">
            <v>G5140J13</v>
          </cell>
          <cell r="K42">
            <v>52.699999999999996</v>
          </cell>
        </row>
        <row r="43">
          <cell r="G43" t="str">
            <v>C5140J20</v>
          </cell>
          <cell r="H43">
            <v>59</v>
          </cell>
          <cell r="I43" t="str">
            <v>F5140J20</v>
          </cell>
          <cell r="J43" t="str">
            <v>G5140J20</v>
          </cell>
          <cell r="K43">
            <v>62</v>
          </cell>
        </row>
        <row r="44">
          <cell r="G44" t="str">
            <v>C5140J30</v>
          </cell>
          <cell r="H44">
            <v>73.75</v>
          </cell>
          <cell r="I44" t="str">
            <v>F5140J30</v>
          </cell>
          <cell r="J44" t="str">
            <v>G5140J30</v>
          </cell>
          <cell r="K44">
            <v>77.5</v>
          </cell>
        </row>
        <row r="45">
          <cell r="G45" t="str">
            <v>C5143J13</v>
          </cell>
          <cell r="H45">
            <v>50.15</v>
          </cell>
          <cell r="I45" t="str">
            <v>F5143J13</v>
          </cell>
          <cell r="J45" t="str">
            <v>G5143J13</v>
          </cell>
          <cell r="K45">
            <v>52.699999999999996</v>
          </cell>
        </row>
        <row r="46">
          <cell r="G46" t="str">
            <v>C5143J20</v>
          </cell>
          <cell r="H46">
            <v>59</v>
          </cell>
          <cell r="I46" t="str">
            <v>F5143J20</v>
          </cell>
          <cell r="J46" t="str">
            <v>G5143J20</v>
          </cell>
          <cell r="K46">
            <v>62</v>
          </cell>
        </row>
        <row r="47">
          <cell r="G47" t="str">
            <v>C5143J30</v>
          </cell>
          <cell r="H47">
            <v>73.75</v>
          </cell>
          <cell r="I47" t="str">
            <v>F5143J30</v>
          </cell>
          <cell r="J47" t="str">
            <v>G5143J30</v>
          </cell>
          <cell r="K47">
            <v>77.5</v>
          </cell>
        </row>
        <row r="48">
          <cell r="G48" t="str">
            <v>C5144J13</v>
          </cell>
          <cell r="H48">
            <v>50.15</v>
          </cell>
          <cell r="I48" t="str">
            <v>F5144J13</v>
          </cell>
          <cell r="J48" t="str">
            <v>G5144J13</v>
          </cell>
          <cell r="K48">
            <v>52.699999999999996</v>
          </cell>
        </row>
        <row r="49">
          <cell r="G49" t="str">
            <v>C5144J20</v>
          </cell>
          <cell r="H49">
            <v>59</v>
          </cell>
          <cell r="I49" t="str">
            <v>F5144J20</v>
          </cell>
          <cell r="J49" t="str">
            <v>G5144J20</v>
          </cell>
          <cell r="K49">
            <v>62</v>
          </cell>
        </row>
        <row r="50">
          <cell r="G50" t="str">
            <v>C5144J30</v>
          </cell>
          <cell r="H50">
            <v>73.75</v>
          </cell>
          <cell r="I50" t="str">
            <v>F5144J30</v>
          </cell>
          <cell r="J50" t="str">
            <v>G5144J30</v>
          </cell>
          <cell r="K50">
            <v>77.5</v>
          </cell>
        </row>
        <row r="51">
          <cell r="G51" t="str">
            <v>C5171J13</v>
          </cell>
          <cell r="H51">
            <v>50.15</v>
          </cell>
          <cell r="I51" t="str">
            <v>F5171J13</v>
          </cell>
          <cell r="J51" t="str">
            <v>G5171J13</v>
          </cell>
          <cell r="K51">
            <v>52.699999999999996</v>
          </cell>
        </row>
        <row r="52">
          <cell r="G52" t="str">
            <v>C5171J20</v>
          </cell>
          <cell r="H52">
            <v>59</v>
          </cell>
          <cell r="I52" t="str">
            <v>F5171J20</v>
          </cell>
          <cell r="J52" t="str">
            <v>G5171J20</v>
          </cell>
          <cell r="K52">
            <v>62</v>
          </cell>
        </row>
        <row r="53">
          <cell r="G53" t="str">
            <v>C5171J30</v>
          </cell>
          <cell r="H53">
            <v>73.75</v>
          </cell>
          <cell r="I53" t="str">
            <v>F5171J30</v>
          </cell>
          <cell r="J53" t="str">
            <v>G5171J30</v>
          </cell>
          <cell r="K53">
            <v>77.5</v>
          </cell>
        </row>
        <row r="54">
          <cell r="G54" t="str">
            <v>C5100J13</v>
          </cell>
          <cell r="H54">
            <v>50.15</v>
          </cell>
          <cell r="I54" t="str">
            <v>F5100J13</v>
          </cell>
          <cell r="J54" t="str">
            <v>G5100J13</v>
          </cell>
          <cell r="K54">
            <v>52.699999999999996</v>
          </cell>
        </row>
        <row r="55">
          <cell r="G55" t="str">
            <v>C5100J20</v>
          </cell>
          <cell r="H55">
            <v>59</v>
          </cell>
          <cell r="I55" t="str">
            <v>F5100J20</v>
          </cell>
          <cell r="J55" t="str">
            <v>G5100J20</v>
          </cell>
          <cell r="K55">
            <v>62</v>
          </cell>
        </row>
        <row r="56">
          <cell r="G56" t="str">
            <v>C5100J30</v>
          </cell>
          <cell r="H56">
            <v>73.75</v>
          </cell>
          <cell r="I56" t="str">
            <v>F5100J30</v>
          </cell>
          <cell r="J56" t="str">
            <v>G5100J30</v>
          </cell>
          <cell r="K56">
            <v>77.5</v>
          </cell>
        </row>
        <row r="57">
          <cell r="G57" t="str">
            <v>C5113J13</v>
          </cell>
          <cell r="H57">
            <v>50.15</v>
          </cell>
          <cell r="I57" t="str">
            <v>F5113J13</v>
          </cell>
          <cell r="J57" t="str">
            <v>G5113J13</v>
          </cell>
          <cell r="K57">
            <v>52.699999999999996</v>
          </cell>
        </row>
        <row r="58">
          <cell r="G58" t="str">
            <v>C5113J20</v>
          </cell>
          <cell r="H58">
            <v>59</v>
          </cell>
          <cell r="I58" t="str">
            <v>F5113J20</v>
          </cell>
          <cell r="J58" t="str">
            <v>G5113J20</v>
          </cell>
          <cell r="K58">
            <v>62</v>
          </cell>
        </row>
        <row r="59">
          <cell r="G59" t="str">
            <v>C5113J30</v>
          </cell>
          <cell r="H59">
            <v>73.75</v>
          </cell>
          <cell r="I59" t="str">
            <v>F5113J30</v>
          </cell>
          <cell r="J59" t="str">
            <v>G5113J30</v>
          </cell>
          <cell r="K59">
            <v>77.5</v>
          </cell>
        </row>
        <row r="60">
          <cell r="G60" t="str">
            <v>C5130J13</v>
          </cell>
          <cell r="H60">
            <v>50.15</v>
          </cell>
          <cell r="I60" t="str">
            <v>F5130J13</v>
          </cell>
          <cell r="J60" t="str">
            <v>G5130J13</v>
          </cell>
          <cell r="K60">
            <v>52.699999999999996</v>
          </cell>
        </row>
        <row r="61">
          <cell r="G61" t="str">
            <v>C5130J20</v>
          </cell>
          <cell r="H61">
            <v>59</v>
          </cell>
          <cell r="I61" t="str">
            <v>F5130J20</v>
          </cell>
          <cell r="J61" t="str">
            <v>G5130J20</v>
          </cell>
          <cell r="K61">
            <v>62</v>
          </cell>
        </row>
        <row r="62">
          <cell r="G62" t="str">
            <v>C5130J30</v>
          </cell>
          <cell r="H62">
            <v>73.75</v>
          </cell>
          <cell r="I62" t="str">
            <v>F5130J30</v>
          </cell>
          <cell r="J62" t="str">
            <v>G5130J30</v>
          </cell>
          <cell r="K62">
            <v>77.5</v>
          </cell>
        </row>
        <row r="63">
          <cell r="G63" t="str">
            <v>C5133J13</v>
          </cell>
          <cell r="H63">
            <v>50.15</v>
          </cell>
          <cell r="I63" t="str">
            <v>F5133J13</v>
          </cell>
          <cell r="J63" t="str">
            <v>G5133J13</v>
          </cell>
          <cell r="K63">
            <v>52.699999999999996</v>
          </cell>
        </row>
        <row r="64">
          <cell r="G64" t="str">
            <v>C5133J20</v>
          </cell>
          <cell r="H64">
            <v>59</v>
          </cell>
          <cell r="I64" t="str">
            <v>F5133J20</v>
          </cell>
          <cell r="J64" t="str">
            <v>G5133J20</v>
          </cell>
          <cell r="K64">
            <v>62</v>
          </cell>
        </row>
        <row r="65">
          <cell r="G65" t="str">
            <v>C5133J30</v>
          </cell>
          <cell r="H65">
            <v>73.75</v>
          </cell>
          <cell r="I65" t="str">
            <v>F5133J30</v>
          </cell>
          <cell r="J65" t="str">
            <v>G5133J30</v>
          </cell>
          <cell r="K65">
            <v>77.5</v>
          </cell>
        </row>
        <row r="66">
          <cell r="G66" t="str">
            <v>C5212J13</v>
          </cell>
          <cell r="H66">
            <v>50.15</v>
          </cell>
          <cell r="I66" t="str">
            <v>F5212J13</v>
          </cell>
          <cell r="J66" t="str">
            <v>G5212J13</v>
          </cell>
        </row>
        <row r="67">
          <cell r="G67" t="str">
            <v>C5212J20</v>
          </cell>
          <cell r="H67">
            <v>59</v>
          </cell>
          <cell r="I67" t="str">
            <v>F5212J20</v>
          </cell>
          <cell r="J67" t="str">
            <v>G5212J20</v>
          </cell>
        </row>
        <row r="68">
          <cell r="G68" t="str">
            <v>C5212J30</v>
          </cell>
          <cell r="H68">
            <v>73.75</v>
          </cell>
          <cell r="I68" t="str">
            <v>F5212J30</v>
          </cell>
          <cell r="J68" t="str">
            <v>G5212J30</v>
          </cell>
        </row>
        <row r="69">
          <cell r="G69" t="str">
            <v>C5310J13</v>
          </cell>
          <cell r="H69">
            <v>50.15</v>
          </cell>
          <cell r="I69" t="str">
            <v>F5310J13</v>
          </cell>
          <cell r="J69" t="str">
            <v>G5310J13</v>
          </cell>
          <cell r="K69">
            <v>52.699999999999996</v>
          </cell>
        </row>
        <row r="70">
          <cell r="G70" t="str">
            <v>C5310J20</v>
          </cell>
          <cell r="H70">
            <v>59</v>
          </cell>
          <cell r="I70" t="str">
            <v>F5310J20</v>
          </cell>
          <cell r="J70" t="str">
            <v>G5310J20</v>
          </cell>
          <cell r="K70">
            <v>62</v>
          </cell>
        </row>
        <row r="71">
          <cell r="G71" t="str">
            <v>C5310J30</v>
          </cell>
          <cell r="H71">
            <v>73.75</v>
          </cell>
          <cell r="I71" t="str">
            <v>F5310J30</v>
          </cell>
          <cell r="J71" t="str">
            <v>G5310J30</v>
          </cell>
          <cell r="K71">
            <v>77.5</v>
          </cell>
        </row>
        <row r="72">
          <cell r="G72" t="str">
            <v>C6046J13</v>
          </cell>
          <cell r="H72">
            <v>50.15</v>
          </cell>
          <cell r="I72" t="str">
            <v>F6046J13</v>
          </cell>
          <cell r="J72" t="str">
            <v>G6046J13</v>
          </cell>
        </row>
        <row r="73">
          <cell r="G73" t="str">
            <v>C6046J20</v>
          </cell>
          <cell r="H73">
            <v>59</v>
          </cell>
          <cell r="I73" t="str">
            <v>F6046J20</v>
          </cell>
          <cell r="J73" t="str">
            <v>G6046J20</v>
          </cell>
        </row>
        <row r="74">
          <cell r="G74" t="str">
            <v>C6046J30</v>
          </cell>
          <cell r="H74">
            <v>73.75</v>
          </cell>
          <cell r="I74" t="str">
            <v>F6046J30</v>
          </cell>
          <cell r="J74" t="str">
            <v>G6046J30</v>
          </cell>
        </row>
        <row r="75">
          <cell r="G75" t="str">
            <v>C6611J13</v>
          </cell>
          <cell r="H75">
            <v>50.15</v>
          </cell>
          <cell r="I75" t="str">
            <v>F6611J13</v>
          </cell>
          <cell r="J75" t="str">
            <v>G6611J13</v>
          </cell>
          <cell r="K75">
            <v>52.699999999999996</v>
          </cell>
        </row>
        <row r="76">
          <cell r="G76" t="str">
            <v>C6611J20</v>
          </cell>
          <cell r="H76">
            <v>59</v>
          </cell>
          <cell r="I76" t="str">
            <v>F6611J20</v>
          </cell>
          <cell r="J76" t="str">
            <v>G6611J20</v>
          </cell>
          <cell r="K76">
            <v>62</v>
          </cell>
        </row>
        <row r="77">
          <cell r="G77" t="str">
            <v>C6611J30</v>
          </cell>
          <cell r="H77">
            <v>73.75</v>
          </cell>
          <cell r="I77" t="str">
            <v>F6611J30</v>
          </cell>
          <cell r="J77" t="str">
            <v>G6611J30</v>
          </cell>
          <cell r="K77">
            <v>77.5</v>
          </cell>
        </row>
        <row r="78">
          <cell r="G78" t="str">
            <v>C6131J13</v>
          </cell>
          <cell r="H78">
            <v>50.15</v>
          </cell>
          <cell r="I78" t="str">
            <v>F6131J13</v>
          </cell>
          <cell r="J78" t="str">
            <v>G6131J13</v>
          </cell>
          <cell r="K78">
            <v>52.699999999999996</v>
          </cell>
        </row>
        <row r="79">
          <cell r="G79" t="str">
            <v>C6131J20</v>
          </cell>
          <cell r="H79">
            <v>59</v>
          </cell>
          <cell r="I79" t="str">
            <v>F6131J20</v>
          </cell>
          <cell r="J79" t="str">
            <v>G6131J20</v>
          </cell>
          <cell r="K79">
            <v>62</v>
          </cell>
        </row>
        <row r="80">
          <cell r="G80" t="str">
            <v>C6131J30</v>
          </cell>
          <cell r="H80">
            <v>73.75</v>
          </cell>
          <cell r="I80" t="str">
            <v>F6131J30</v>
          </cell>
          <cell r="J80" t="str">
            <v>G6131J30</v>
          </cell>
          <cell r="K80">
            <v>77.5</v>
          </cell>
        </row>
        <row r="81">
          <cell r="G81" t="str">
            <v>C6134J13</v>
          </cell>
          <cell r="H81">
            <v>50.15</v>
          </cell>
          <cell r="I81" t="str">
            <v>F6134J13</v>
          </cell>
          <cell r="J81" t="str">
            <v>G6134J13</v>
          </cell>
          <cell r="K81">
            <v>52.699999999999996</v>
          </cell>
        </row>
        <row r="82">
          <cell r="G82" t="str">
            <v>C6134J20</v>
          </cell>
          <cell r="H82">
            <v>59</v>
          </cell>
          <cell r="I82" t="str">
            <v>F6134J20</v>
          </cell>
          <cell r="J82" t="str">
            <v>G6134J20</v>
          </cell>
          <cell r="K82">
            <v>62</v>
          </cell>
        </row>
        <row r="83">
          <cell r="G83" t="str">
            <v>C6134J30</v>
          </cell>
          <cell r="H83">
            <v>73.75</v>
          </cell>
          <cell r="I83" t="str">
            <v>F6134J30</v>
          </cell>
          <cell r="J83" t="str">
            <v>G6134J30</v>
          </cell>
          <cell r="K83">
            <v>77.5</v>
          </cell>
        </row>
        <row r="84">
          <cell r="G84" t="str">
            <v>C6313J13</v>
          </cell>
          <cell r="H84">
            <v>50.15</v>
          </cell>
          <cell r="I84" t="str">
            <v>F6313J13</v>
          </cell>
          <cell r="J84" t="str">
            <v>G6313J13</v>
          </cell>
          <cell r="K84">
            <v>52.699999999999996</v>
          </cell>
        </row>
        <row r="85">
          <cell r="G85" t="str">
            <v>C6313J20</v>
          </cell>
          <cell r="H85">
            <v>59</v>
          </cell>
          <cell r="I85" t="str">
            <v>F6313J20</v>
          </cell>
          <cell r="J85" t="str">
            <v>G6313J20</v>
          </cell>
          <cell r="K85">
            <v>62</v>
          </cell>
        </row>
        <row r="86">
          <cell r="G86" t="str">
            <v>C6313J30</v>
          </cell>
          <cell r="H86">
            <v>73.75</v>
          </cell>
          <cell r="I86" t="str">
            <v>F6313J30</v>
          </cell>
          <cell r="J86" t="str">
            <v>G6313J30</v>
          </cell>
          <cell r="K86">
            <v>77.5</v>
          </cell>
        </row>
        <row r="87">
          <cell r="G87" t="str">
            <v>C5122J13</v>
          </cell>
          <cell r="H87">
            <v>50.15</v>
          </cell>
          <cell r="I87" t="str">
            <v>F5122J13</v>
          </cell>
          <cell r="J87" t="str">
            <v>G5122J13</v>
          </cell>
          <cell r="K87">
            <v>52.699999999999996</v>
          </cell>
        </row>
        <row r="88">
          <cell r="G88" t="str">
            <v>C5122J20</v>
          </cell>
          <cell r="H88">
            <v>59</v>
          </cell>
          <cell r="I88" t="str">
            <v>F5122J20</v>
          </cell>
          <cell r="J88" t="str">
            <v>G5122J20</v>
          </cell>
          <cell r="K88">
            <v>62</v>
          </cell>
        </row>
        <row r="89">
          <cell r="G89" t="str">
            <v>C5122J30</v>
          </cell>
          <cell r="H89">
            <v>73.75</v>
          </cell>
          <cell r="I89" t="str">
            <v>F5122J30</v>
          </cell>
          <cell r="J89" t="str">
            <v>G5122J30</v>
          </cell>
          <cell r="K89">
            <v>77.5</v>
          </cell>
        </row>
        <row r="90">
          <cell r="G90" t="str">
            <v>C5152J13</v>
          </cell>
          <cell r="H90">
            <v>50.15</v>
          </cell>
          <cell r="I90" t="str">
            <v>F5152J13</v>
          </cell>
          <cell r="J90" t="str">
            <v>G5152J13</v>
          </cell>
          <cell r="K90">
            <v>52.699999999999996</v>
          </cell>
        </row>
        <row r="91">
          <cell r="G91" t="str">
            <v>C5152J20</v>
          </cell>
          <cell r="H91">
            <v>59</v>
          </cell>
          <cell r="I91" t="str">
            <v>F5152J20</v>
          </cell>
          <cell r="J91" t="str">
            <v>G5152J20</v>
          </cell>
          <cell r="K91">
            <v>62</v>
          </cell>
        </row>
        <row r="92">
          <cell r="G92" t="str">
            <v>C5152J30</v>
          </cell>
          <cell r="H92">
            <v>73.75</v>
          </cell>
          <cell r="I92" t="str">
            <v>F5152J30</v>
          </cell>
          <cell r="J92" t="str">
            <v>G5152J30</v>
          </cell>
          <cell r="K92">
            <v>77.5</v>
          </cell>
        </row>
        <row r="93">
          <cell r="G93" t="str">
            <v>C7514J13</v>
          </cell>
          <cell r="H93">
            <v>50.15</v>
          </cell>
          <cell r="I93" t="str">
            <v>F7514J13</v>
          </cell>
          <cell r="J93" t="str">
            <v>G7514J13</v>
          </cell>
          <cell r="K93">
            <v>52.699999999999996</v>
          </cell>
        </row>
        <row r="94">
          <cell r="G94" t="str">
            <v>C7514J20</v>
          </cell>
          <cell r="H94">
            <v>59</v>
          </cell>
          <cell r="I94" t="str">
            <v>F7514J20</v>
          </cell>
          <cell r="J94" t="str">
            <v>G7514J20</v>
          </cell>
          <cell r="K94">
            <v>62</v>
          </cell>
        </row>
        <row r="95">
          <cell r="G95" t="str">
            <v>C7514J30</v>
          </cell>
          <cell r="H95">
            <v>73.75</v>
          </cell>
          <cell r="I95" t="str">
            <v>F7514J30</v>
          </cell>
          <cell r="J95" t="str">
            <v>G7514J30</v>
          </cell>
          <cell r="K95">
            <v>77.5</v>
          </cell>
        </row>
        <row r="96">
          <cell r="G96" t="str">
            <v>C5115J13</v>
          </cell>
          <cell r="H96">
            <v>55.25</v>
          </cell>
          <cell r="I96" t="str">
            <v>F5115J13</v>
          </cell>
          <cell r="J96" t="str">
            <v>G5115J13</v>
          </cell>
          <cell r="K96">
            <v>57.8</v>
          </cell>
        </row>
        <row r="97">
          <cell r="G97" t="str">
            <v>C5115J20</v>
          </cell>
          <cell r="H97">
            <v>65</v>
          </cell>
          <cell r="I97" t="str">
            <v>F5115J20</v>
          </cell>
          <cell r="J97" t="str">
            <v>G5115J20</v>
          </cell>
          <cell r="K97">
            <v>68</v>
          </cell>
        </row>
        <row r="98">
          <cell r="G98" t="str">
            <v>C5115J30</v>
          </cell>
          <cell r="H98">
            <v>81.25</v>
          </cell>
          <cell r="I98" t="str">
            <v>F5115J30</v>
          </cell>
          <cell r="J98" t="str">
            <v>G5115J30</v>
          </cell>
          <cell r="K98">
            <v>85</v>
          </cell>
        </row>
        <row r="99">
          <cell r="G99" t="str">
            <v>C5116J13</v>
          </cell>
          <cell r="H99">
            <v>55.25</v>
          </cell>
          <cell r="I99" t="str">
            <v>F5116J13</v>
          </cell>
          <cell r="J99" t="str">
            <v>G5116J13</v>
          </cell>
        </row>
        <row r="100">
          <cell r="G100" t="str">
            <v>C5116J20</v>
          </cell>
          <cell r="H100">
            <v>65</v>
          </cell>
          <cell r="I100" t="str">
            <v>F5116J20</v>
          </cell>
          <cell r="J100" t="str">
            <v>G5116J20</v>
          </cell>
        </row>
        <row r="101">
          <cell r="G101" t="str">
            <v>C5116J30</v>
          </cell>
          <cell r="H101">
            <v>81.25</v>
          </cell>
          <cell r="I101" t="str">
            <v>F5116J30</v>
          </cell>
          <cell r="J101" t="str">
            <v>G5116J30</v>
          </cell>
        </row>
        <row r="102">
          <cell r="G102" t="str">
            <v>C5118J13</v>
          </cell>
          <cell r="H102">
            <v>55.25</v>
          </cell>
          <cell r="I102" t="str">
            <v>F5118J13</v>
          </cell>
          <cell r="J102" t="str">
            <v>G5118J13</v>
          </cell>
        </row>
        <row r="103">
          <cell r="G103" t="str">
            <v>C5118J20</v>
          </cell>
          <cell r="H103">
            <v>65</v>
          </cell>
          <cell r="I103" t="str">
            <v>F5118J20</v>
          </cell>
          <cell r="J103" t="str">
            <v>G5118J20</v>
          </cell>
        </row>
        <row r="104">
          <cell r="G104" t="str">
            <v>C5118J30</v>
          </cell>
          <cell r="H104">
            <v>81.25</v>
          </cell>
          <cell r="I104" t="str">
            <v>F5118J30</v>
          </cell>
          <cell r="J104" t="str">
            <v>G5118J30</v>
          </cell>
        </row>
        <row r="105">
          <cell r="G105" t="str">
            <v>C5151J13</v>
          </cell>
          <cell r="H105">
            <v>55.25</v>
          </cell>
          <cell r="I105" t="str">
            <v>F5151J13</v>
          </cell>
          <cell r="J105" t="str">
            <v>G5151J13</v>
          </cell>
          <cell r="K105">
            <v>57.8</v>
          </cell>
        </row>
        <row r="106">
          <cell r="G106" t="str">
            <v>C5151J20</v>
          </cell>
          <cell r="H106">
            <v>65</v>
          </cell>
          <cell r="I106" t="str">
            <v>F5151J20</v>
          </cell>
          <cell r="J106" t="str">
            <v>G5151J20</v>
          </cell>
          <cell r="K106">
            <v>68</v>
          </cell>
        </row>
        <row r="107">
          <cell r="G107" t="str">
            <v>C5151J30</v>
          </cell>
          <cell r="H107">
            <v>81.25</v>
          </cell>
          <cell r="I107" t="str">
            <v>F5151J30</v>
          </cell>
          <cell r="J107" t="str">
            <v>G5151J30</v>
          </cell>
          <cell r="K107">
            <v>85</v>
          </cell>
        </row>
        <row r="108">
          <cell r="G108" t="str">
            <v>C8252J13</v>
          </cell>
          <cell r="I108" t="str">
            <v>F8252J13</v>
          </cell>
          <cell r="J108" t="str">
            <v>G8252J13</v>
          </cell>
          <cell r="K108">
            <v>57.8</v>
          </cell>
        </row>
        <row r="109">
          <cell r="G109" t="str">
            <v>C8252J20</v>
          </cell>
          <cell r="I109" t="str">
            <v>F8252J20</v>
          </cell>
          <cell r="J109" t="str">
            <v>G8252J20</v>
          </cell>
          <cell r="K109">
            <v>68</v>
          </cell>
        </row>
        <row r="110">
          <cell r="G110" t="str">
            <v>C8252J30</v>
          </cell>
          <cell r="I110" t="str">
            <v>F8252J30</v>
          </cell>
          <cell r="J110" t="str">
            <v>G8252J30</v>
          </cell>
          <cell r="K110">
            <v>85</v>
          </cell>
        </row>
        <row r="111">
          <cell r="G111" t="str">
            <v>C5105J13</v>
          </cell>
          <cell r="H111">
            <v>55.25</v>
          </cell>
          <cell r="I111" t="str">
            <v>F5105J13</v>
          </cell>
          <cell r="J111" t="str">
            <v>G5105J13</v>
          </cell>
          <cell r="K111">
            <v>57.8</v>
          </cell>
        </row>
        <row r="112">
          <cell r="G112" t="str">
            <v>C5105J20</v>
          </cell>
          <cell r="H112">
            <v>65</v>
          </cell>
          <cell r="I112" t="str">
            <v>F5105J20</v>
          </cell>
          <cell r="J112" t="str">
            <v>G5105J20</v>
          </cell>
          <cell r="K112">
            <v>68</v>
          </cell>
        </row>
        <row r="113">
          <cell r="G113" t="str">
            <v>C5105J30</v>
          </cell>
          <cell r="H113">
            <v>81.25</v>
          </cell>
          <cell r="I113" t="str">
            <v>F5105J30</v>
          </cell>
          <cell r="J113" t="str">
            <v>G5105J30</v>
          </cell>
          <cell r="K113">
            <v>85</v>
          </cell>
        </row>
        <row r="114">
          <cell r="G114" t="str">
            <v>C5441J13</v>
          </cell>
          <cell r="I114" t="str">
            <v>F5441J13</v>
          </cell>
          <cell r="J114" t="str">
            <v>G5441J13</v>
          </cell>
          <cell r="K114">
            <v>62.9</v>
          </cell>
        </row>
        <row r="115">
          <cell r="G115" t="str">
            <v>C5441J20</v>
          </cell>
          <cell r="I115" t="str">
            <v>F5441J20</v>
          </cell>
          <cell r="J115" t="str">
            <v>G5441J20</v>
          </cell>
          <cell r="K115">
            <v>74</v>
          </cell>
        </row>
        <row r="116">
          <cell r="G116" t="str">
            <v>C5441J30</v>
          </cell>
          <cell r="I116" t="str">
            <v>F5441J30</v>
          </cell>
          <cell r="J116" t="str">
            <v>G5441J30</v>
          </cell>
          <cell r="K116">
            <v>92.5</v>
          </cell>
        </row>
        <row r="117">
          <cell r="G117" t="str">
            <v>C5444J13</v>
          </cell>
          <cell r="I117" t="str">
            <v>F5444J13</v>
          </cell>
          <cell r="J117" t="str">
            <v>G5444J13</v>
          </cell>
          <cell r="K117">
            <v>62.9</v>
          </cell>
        </row>
        <row r="118">
          <cell r="G118" t="str">
            <v>C5444J20</v>
          </cell>
          <cell r="I118" t="str">
            <v>F5444J20</v>
          </cell>
          <cell r="J118" t="str">
            <v>G5444J20</v>
          </cell>
          <cell r="K118">
            <v>74</v>
          </cell>
        </row>
        <row r="119">
          <cell r="G119" t="str">
            <v>C5444J30</v>
          </cell>
          <cell r="I119" t="str">
            <v>F5444J30</v>
          </cell>
          <cell r="J119" t="str">
            <v>G5444J30</v>
          </cell>
          <cell r="K119">
            <v>92.5</v>
          </cell>
        </row>
        <row r="120">
          <cell r="G120" t="str">
            <v>C8103J13</v>
          </cell>
          <cell r="I120" t="str">
            <v>F8103J13</v>
          </cell>
          <cell r="J120" t="str">
            <v>G8103J13</v>
          </cell>
          <cell r="K120">
            <v>62.9</v>
          </cell>
        </row>
        <row r="121">
          <cell r="G121" t="str">
            <v>C8103J20</v>
          </cell>
          <cell r="I121" t="str">
            <v>F8103J20</v>
          </cell>
          <cell r="J121" t="str">
            <v>G8103J20</v>
          </cell>
          <cell r="K121">
            <v>74</v>
          </cell>
        </row>
        <row r="122">
          <cell r="G122" t="str">
            <v>C8103J30</v>
          </cell>
          <cell r="I122" t="str">
            <v>F8103J30</v>
          </cell>
          <cell r="J122" t="str">
            <v>G8103J30</v>
          </cell>
          <cell r="K122">
            <v>92.5</v>
          </cell>
        </row>
        <row r="123">
          <cell r="G123" t="str">
            <v>C8104J13</v>
          </cell>
          <cell r="I123" t="str">
            <v>F8104J13</v>
          </cell>
          <cell r="J123" t="str">
            <v>G8104J13</v>
          </cell>
          <cell r="K123">
            <v>62.9</v>
          </cell>
        </row>
        <row r="124">
          <cell r="G124" t="str">
            <v>C8104J20</v>
          </cell>
          <cell r="I124" t="str">
            <v>F8104J20</v>
          </cell>
          <cell r="J124" t="str">
            <v>G8104J20</v>
          </cell>
          <cell r="K124">
            <v>74</v>
          </cell>
        </row>
        <row r="125">
          <cell r="G125" t="str">
            <v>C8104J30</v>
          </cell>
          <cell r="I125" t="str">
            <v>F8104J30</v>
          </cell>
          <cell r="J125" t="str">
            <v>G8104J30</v>
          </cell>
          <cell r="K125">
            <v>92.5</v>
          </cell>
        </row>
        <row r="126">
          <cell r="G126" t="str">
            <v>C8250J13</v>
          </cell>
          <cell r="I126" t="str">
            <v>F8250J13</v>
          </cell>
          <cell r="J126" t="str">
            <v>G8250J13</v>
          </cell>
          <cell r="K126">
            <v>62.9</v>
          </cell>
        </row>
        <row r="127">
          <cell r="G127" t="str">
            <v>C8250J20</v>
          </cell>
          <cell r="I127" t="str">
            <v>F8250J20</v>
          </cell>
          <cell r="J127" t="str">
            <v>G8250J20</v>
          </cell>
          <cell r="K127">
            <v>74</v>
          </cell>
        </row>
        <row r="128">
          <cell r="G128" t="str">
            <v>C8250J30</v>
          </cell>
          <cell r="I128" t="str">
            <v>F8250J30</v>
          </cell>
          <cell r="J128" t="str">
            <v>G8250J30</v>
          </cell>
          <cell r="K128">
            <v>92.5</v>
          </cell>
        </row>
        <row r="129">
          <cell r="G129" t="str">
            <v>C8251J13</v>
          </cell>
          <cell r="I129" t="str">
            <v>F8251J13</v>
          </cell>
          <cell r="J129" t="str">
            <v>G8251J13</v>
          </cell>
          <cell r="K129">
            <v>62.9</v>
          </cell>
        </row>
        <row r="130">
          <cell r="G130" t="str">
            <v>C8251J20</v>
          </cell>
          <cell r="I130" t="str">
            <v>F8251J20</v>
          </cell>
          <cell r="J130" t="str">
            <v>G8251J20</v>
          </cell>
          <cell r="K130">
            <v>74</v>
          </cell>
        </row>
        <row r="131">
          <cell r="G131" t="str">
            <v>C8251J30</v>
          </cell>
          <cell r="I131" t="str">
            <v>F8251J30</v>
          </cell>
          <cell r="J131" t="str">
            <v>G8251J30</v>
          </cell>
          <cell r="K131">
            <v>92.5</v>
          </cell>
        </row>
        <row r="132">
          <cell r="G132" t="str">
            <v>C4270J13</v>
          </cell>
          <cell r="H132">
            <v>59.754999999999995</v>
          </cell>
          <cell r="I132" t="str">
            <v>F4270J13</v>
          </cell>
          <cell r="J132" t="str">
            <v>G4270J13</v>
          </cell>
        </row>
        <row r="133">
          <cell r="G133" t="str">
            <v>C4270J20</v>
          </cell>
          <cell r="H133">
            <v>70.3</v>
          </cell>
          <cell r="I133" t="str">
            <v>F4270J20</v>
          </cell>
          <cell r="J133" t="str">
            <v>G4270J20</v>
          </cell>
        </row>
        <row r="134">
          <cell r="G134" t="str">
            <v>C4270J30</v>
          </cell>
          <cell r="H134">
            <v>87.875</v>
          </cell>
          <cell r="I134" t="str">
            <v>F4270J30</v>
          </cell>
          <cell r="J134" t="str">
            <v>G4270J30</v>
          </cell>
        </row>
        <row r="135">
          <cell r="G135" t="str">
            <v>C6141J13</v>
          </cell>
          <cell r="I135" t="str">
            <v>F6141J13</v>
          </cell>
          <cell r="J135" t="str">
            <v>G6141J13</v>
          </cell>
          <cell r="K135">
            <v>42.5</v>
          </cell>
        </row>
        <row r="136">
          <cell r="G136" t="str">
            <v>C6141J20</v>
          </cell>
          <cell r="I136" t="str">
            <v>F6141J20</v>
          </cell>
          <cell r="J136" t="str">
            <v>G6141J20</v>
          </cell>
          <cell r="K136">
            <v>50</v>
          </cell>
        </row>
        <row r="137">
          <cell r="G137" t="str">
            <v>C6141J30</v>
          </cell>
          <cell r="I137" t="str">
            <v>F6141J30</v>
          </cell>
          <cell r="J137" t="str">
            <v>G6141J30</v>
          </cell>
          <cell r="K137">
            <v>60</v>
          </cell>
        </row>
        <row r="138">
          <cell r="G138" t="str">
            <v>C1023J13</v>
          </cell>
          <cell r="H138">
            <v>40.4</v>
          </cell>
          <cell r="I138" t="str">
            <v>F1023J13</v>
          </cell>
          <cell r="J138" t="str">
            <v>G1023J13</v>
          </cell>
        </row>
        <row r="139">
          <cell r="G139" t="str">
            <v>C1023J20</v>
          </cell>
          <cell r="H139">
            <v>47.5</v>
          </cell>
          <cell r="I139" t="str">
            <v>F1023J20</v>
          </cell>
          <cell r="J139" t="str">
            <v>G1023J20</v>
          </cell>
        </row>
        <row r="140">
          <cell r="G140" t="str">
            <v>C1023J30</v>
          </cell>
          <cell r="H140">
            <v>60.8</v>
          </cell>
          <cell r="I140" t="str">
            <v>F1023J30</v>
          </cell>
          <cell r="J140" t="str">
            <v>G1023J30</v>
          </cell>
        </row>
        <row r="141">
          <cell r="G141" t="str">
            <v>C1006J13</v>
          </cell>
          <cell r="H141">
            <v>40.4</v>
          </cell>
          <cell r="I141" t="str">
            <v>F1006J13</v>
          </cell>
          <cell r="J141" t="str">
            <v>G1006J13</v>
          </cell>
          <cell r="K141">
            <v>46.07</v>
          </cell>
        </row>
        <row r="142">
          <cell r="G142" t="str">
            <v>C1006J20</v>
          </cell>
          <cell r="H142">
            <v>47.5</v>
          </cell>
          <cell r="I142" t="str">
            <v>F1006J20</v>
          </cell>
          <cell r="J142" t="str">
            <v>G1006J20</v>
          </cell>
          <cell r="K142">
            <v>54.2</v>
          </cell>
        </row>
        <row r="143">
          <cell r="G143" t="str">
            <v>C1006J30</v>
          </cell>
          <cell r="H143">
            <v>60.8</v>
          </cell>
          <cell r="I143" t="str">
            <v>F1006J30</v>
          </cell>
          <cell r="J143" t="str">
            <v>G1006J30</v>
          </cell>
          <cell r="K143">
            <v>70.3</v>
          </cell>
        </row>
        <row r="144">
          <cell r="G144" t="str">
            <v>C1111J13</v>
          </cell>
          <cell r="H144">
            <v>48.449999999999996</v>
          </cell>
          <cell r="I144" t="str">
            <v>F1111J13</v>
          </cell>
          <cell r="J144" t="str">
            <v>G1111J13</v>
          </cell>
        </row>
        <row r="145">
          <cell r="G145" t="str">
            <v>C1111J20</v>
          </cell>
          <cell r="H145">
            <v>57</v>
          </cell>
          <cell r="I145" t="str">
            <v>F1111J20</v>
          </cell>
          <cell r="J145" t="str">
            <v>G1111J20</v>
          </cell>
        </row>
        <row r="146">
          <cell r="G146" t="str">
            <v>C1111J30</v>
          </cell>
          <cell r="H146">
            <v>74.099999999999994</v>
          </cell>
          <cell r="I146" t="str">
            <v>F1111J30</v>
          </cell>
          <cell r="J146" t="str">
            <v>G1111J30</v>
          </cell>
          <cell r="K146">
            <v>77.804999999999993</v>
          </cell>
        </row>
        <row r="147">
          <cell r="G147" t="str">
            <v>C4143J13</v>
          </cell>
          <cell r="H147">
            <v>48.5</v>
          </cell>
          <cell r="I147" t="str">
            <v>F4143J13</v>
          </cell>
          <cell r="J147" t="str">
            <v>G4143J13</v>
          </cell>
          <cell r="K147">
            <v>51</v>
          </cell>
        </row>
        <row r="148">
          <cell r="G148" t="str">
            <v>C4143J20</v>
          </cell>
          <cell r="H148">
            <v>57</v>
          </cell>
          <cell r="I148" t="str">
            <v>F4143J20</v>
          </cell>
          <cell r="J148" t="str">
            <v>G4143J20</v>
          </cell>
          <cell r="K148">
            <v>60</v>
          </cell>
        </row>
        <row r="149">
          <cell r="G149" t="str">
            <v>C4143J30</v>
          </cell>
          <cell r="H149">
            <v>71.3</v>
          </cell>
          <cell r="I149" t="str">
            <v>F4143J30</v>
          </cell>
          <cell r="J149" t="str">
            <v>G4143J30</v>
          </cell>
          <cell r="K149">
            <v>75</v>
          </cell>
        </row>
        <row r="150">
          <cell r="G150" t="str">
            <v>C4204J13</v>
          </cell>
          <cell r="H150">
            <v>50.2</v>
          </cell>
          <cell r="I150" t="str">
            <v>F4204J13</v>
          </cell>
          <cell r="J150" t="str">
            <v>G4204J13</v>
          </cell>
          <cell r="K150">
            <v>52.7</v>
          </cell>
        </row>
        <row r="151">
          <cell r="G151" t="str">
            <v>C4204J20</v>
          </cell>
          <cell r="H151">
            <v>59</v>
          </cell>
          <cell r="I151" t="str">
            <v>F4204J20</v>
          </cell>
          <cell r="J151" t="str">
            <v>G4204J20</v>
          </cell>
          <cell r="K151">
            <v>62</v>
          </cell>
        </row>
        <row r="152">
          <cell r="G152" t="str">
            <v>C4204J30</v>
          </cell>
          <cell r="H152">
            <v>73.8</v>
          </cell>
          <cell r="I152" t="str">
            <v>F4204J30</v>
          </cell>
          <cell r="J152" t="str">
            <v>G4204J30</v>
          </cell>
          <cell r="K152">
            <v>77.5</v>
          </cell>
        </row>
        <row r="153">
          <cell r="G153" t="str">
            <v>C0405J20</v>
          </cell>
          <cell r="H153">
            <v>58</v>
          </cell>
          <cell r="I153" t="str">
            <v>F0405J20</v>
          </cell>
          <cell r="J153" t="str">
            <v>G0405J20</v>
          </cell>
          <cell r="K153">
            <v>61.2</v>
          </cell>
        </row>
        <row r="154">
          <cell r="G154" t="str">
            <v>C0405J30</v>
          </cell>
          <cell r="H154">
            <v>74</v>
          </cell>
          <cell r="I154" t="str">
            <v>F0405J30</v>
          </cell>
          <cell r="J154" t="str">
            <v>G0405J30</v>
          </cell>
          <cell r="K154">
            <v>78</v>
          </cell>
        </row>
        <row r="155">
          <cell r="G155" t="str">
            <v>C0406J20</v>
          </cell>
          <cell r="H155">
            <v>58</v>
          </cell>
          <cell r="I155" t="str">
            <v>F0406J20</v>
          </cell>
          <cell r="J155" t="str">
            <v>G0406J20</v>
          </cell>
          <cell r="K155">
            <v>61.2</v>
          </cell>
        </row>
        <row r="156">
          <cell r="G156" t="str">
            <v>C0406J30</v>
          </cell>
          <cell r="H156">
            <v>74</v>
          </cell>
          <cell r="I156" t="str">
            <v>F0406J30</v>
          </cell>
          <cell r="J156" t="str">
            <v>G0406J30</v>
          </cell>
          <cell r="K156">
            <v>78</v>
          </cell>
        </row>
        <row r="157">
          <cell r="G157" t="str">
            <v>C0515J20</v>
          </cell>
          <cell r="H157">
            <v>58</v>
          </cell>
          <cell r="I157" t="str">
            <v>F0515J20</v>
          </cell>
          <cell r="J157" t="str">
            <v>G0515J20</v>
          </cell>
          <cell r="K157">
            <v>61.2</v>
          </cell>
        </row>
        <row r="158">
          <cell r="G158" t="str">
            <v>C0515J30</v>
          </cell>
          <cell r="H158">
            <v>74</v>
          </cell>
          <cell r="I158" t="str">
            <v>F0515J30</v>
          </cell>
          <cell r="J158" t="str">
            <v>G0515J30</v>
          </cell>
          <cell r="K158">
            <v>78</v>
          </cell>
        </row>
        <row r="159">
          <cell r="G159" t="str">
            <v>F4001J13</v>
          </cell>
          <cell r="H159">
            <v>49.3</v>
          </cell>
        </row>
        <row r="160">
          <cell r="G160" t="str">
            <v>F4001J20</v>
          </cell>
          <cell r="H160">
            <v>58</v>
          </cell>
        </row>
        <row r="161">
          <cell r="G161" t="str">
            <v>F4001J30</v>
          </cell>
          <cell r="H161">
            <v>72.5</v>
          </cell>
        </row>
        <row r="162">
          <cell r="G162" t="str">
            <v>F4003J13</v>
          </cell>
          <cell r="H162">
            <v>49.3</v>
          </cell>
        </row>
        <row r="163">
          <cell r="G163" t="str">
            <v>F4003J20</v>
          </cell>
          <cell r="H163">
            <v>58</v>
          </cell>
        </row>
        <row r="164">
          <cell r="G164" t="str">
            <v>F4003J30</v>
          </cell>
          <cell r="H164">
            <v>72.5</v>
          </cell>
        </row>
        <row r="165">
          <cell r="G165" t="str">
            <v>F4004J13</v>
          </cell>
          <cell r="H165">
            <v>49.3</v>
          </cell>
        </row>
        <row r="166">
          <cell r="G166" t="str">
            <v>F4004J20</v>
          </cell>
          <cell r="H166">
            <v>58</v>
          </cell>
        </row>
        <row r="167">
          <cell r="G167" t="str">
            <v>F4004J30</v>
          </cell>
          <cell r="H167">
            <v>72.5</v>
          </cell>
        </row>
        <row r="168">
          <cell r="G168" t="str">
            <v>F5000J13</v>
          </cell>
          <cell r="H168">
            <v>49.3</v>
          </cell>
        </row>
        <row r="169">
          <cell r="G169" t="str">
            <v>F5000J20</v>
          </cell>
          <cell r="H169">
            <v>58</v>
          </cell>
        </row>
        <row r="170">
          <cell r="G170" t="str">
            <v>F5000J30</v>
          </cell>
          <cell r="H170">
            <v>72.5</v>
          </cell>
        </row>
        <row r="171">
          <cell r="G171" t="str">
            <v>F5141J13</v>
          </cell>
          <cell r="H171">
            <v>49.3</v>
          </cell>
        </row>
        <row r="172">
          <cell r="G172" t="str">
            <v>F5141J20</v>
          </cell>
          <cell r="H172">
            <v>58</v>
          </cell>
        </row>
        <row r="173">
          <cell r="G173" t="str">
            <v>F5141J30</v>
          </cell>
          <cell r="H173">
            <v>72.5</v>
          </cell>
        </row>
        <row r="174">
          <cell r="G174" t="str">
            <v>F5111J13</v>
          </cell>
          <cell r="H174">
            <v>49.3</v>
          </cell>
        </row>
        <row r="175">
          <cell r="G175" t="str">
            <v>F5111J20</v>
          </cell>
          <cell r="H175">
            <v>58</v>
          </cell>
        </row>
        <row r="176">
          <cell r="G176" t="str">
            <v>F5111J30</v>
          </cell>
          <cell r="H176">
            <v>72.5</v>
          </cell>
        </row>
        <row r="177">
          <cell r="G177" t="str">
            <v>F7512J13</v>
          </cell>
          <cell r="H177">
            <v>49.3</v>
          </cell>
        </row>
        <row r="178">
          <cell r="G178" t="str">
            <v>F7512J20</v>
          </cell>
          <cell r="H178">
            <v>58</v>
          </cell>
        </row>
        <row r="179">
          <cell r="G179" t="str">
            <v>F7512J30</v>
          </cell>
          <cell r="H179">
            <v>72.5</v>
          </cell>
        </row>
        <row r="180">
          <cell r="G180" t="str">
            <v>F5031J13</v>
          </cell>
          <cell r="H180">
            <v>51</v>
          </cell>
        </row>
        <row r="181">
          <cell r="G181" t="str">
            <v>F5031J20</v>
          </cell>
          <cell r="H181">
            <v>60</v>
          </cell>
        </row>
        <row r="182">
          <cell r="G182" t="str">
            <v>F5031J30</v>
          </cell>
          <cell r="H182">
            <v>75</v>
          </cell>
        </row>
        <row r="183">
          <cell r="G183" t="str">
            <v>F5110J13</v>
          </cell>
          <cell r="H183">
            <v>51</v>
          </cell>
        </row>
        <row r="184">
          <cell r="G184" t="str">
            <v>F5110J20</v>
          </cell>
          <cell r="H184">
            <v>60</v>
          </cell>
        </row>
        <row r="185">
          <cell r="G185" t="str">
            <v>F5110J30</v>
          </cell>
          <cell r="H185">
            <v>75</v>
          </cell>
        </row>
        <row r="186">
          <cell r="G186" t="str">
            <v>F5112J13</v>
          </cell>
          <cell r="H186">
            <v>51</v>
          </cell>
        </row>
        <row r="187">
          <cell r="G187" t="str">
            <v>F5112J20</v>
          </cell>
          <cell r="H187">
            <v>60</v>
          </cell>
        </row>
        <row r="188">
          <cell r="G188" t="str">
            <v>F5112J30</v>
          </cell>
          <cell r="H188">
            <v>75</v>
          </cell>
        </row>
        <row r="189">
          <cell r="G189" t="str">
            <v>F7524J13</v>
          </cell>
          <cell r="H189">
            <v>51</v>
          </cell>
        </row>
        <row r="190">
          <cell r="G190" t="str">
            <v>F7524J20</v>
          </cell>
          <cell r="H190">
            <v>60</v>
          </cell>
        </row>
        <row r="191">
          <cell r="G191" t="str">
            <v>F7524J30</v>
          </cell>
          <cell r="H191">
            <v>75</v>
          </cell>
        </row>
        <row r="192">
          <cell r="G192" t="str">
            <v>F5131J13</v>
          </cell>
          <cell r="H192">
            <v>51</v>
          </cell>
        </row>
        <row r="193">
          <cell r="G193" t="str">
            <v>F5131J20</v>
          </cell>
          <cell r="H193">
            <v>60</v>
          </cell>
        </row>
        <row r="194">
          <cell r="G194" t="str">
            <v>F5131J30</v>
          </cell>
          <cell r="H194">
            <v>75</v>
          </cell>
        </row>
        <row r="195">
          <cell r="G195" t="str">
            <v>F5132J13</v>
          </cell>
          <cell r="H195">
            <v>52.699999999999996</v>
          </cell>
        </row>
        <row r="196">
          <cell r="G196" t="str">
            <v>F5132J20</v>
          </cell>
          <cell r="H196">
            <v>62</v>
          </cell>
        </row>
        <row r="197">
          <cell r="G197" t="str">
            <v>F5132J30</v>
          </cell>
          <cell r="H197">
            <v>77.5</v>
          </cell>
        </row>
        <row r="198">
          <cell r="G198" t="str">
            <v>F5140J13</v>
          </cell>
          <cell r="H198">
            <v>52.699999999999996</v>
          </cell>
        </row>
        <row r="199">
          <cell r="G199" t="str">
            <v>F5140J20</v>
          </cell>
          <cell r="H199">
            <v>62</v>
          </cell>
        </row>
        <row r="200">
          <cell r="G200" t="str">
            <v>F5140J30</v>
          </cell>
          <cell r="H200">
            <v>77.5</v>
          </cell>
        </row>
        <row r="201">
          <cell r="G201" t="str">
            <v>F5143J13</v>
          </cell>
          <cell r="H201">
            <v>52.699999999999996</v>
          </cell>
        </row>
        <row r="202">
          <cell r="G202" t="str">
            <v>F5143J20</v>
          </cell>
          <cell r="H202">
            <v>62</v>
          </cell>
        </row>
        <row r="203">
          <cell r="G203" t="str">
            <v>F5143J30</v>
          </cell>
          <cell r="H203">
            <v>77.5</v>
          </cell>
        </row>
        <row r="204">
          <cell r="G204" t="str">
            <v>F5144J13</v>
          </cell>
          <cell r="H204">
            <v>52.699999999999996</v>
          </cell>
        </row>
        <row r="205">
          <cell r="G205" t="str">
            <v>F5144J20</v>
          </cell>
          <cell r="H205">
            <v>62</v>
          </cell>
        </row>
        <row r="206">
          <cell r="G206" t="str">
            <v>F5144J30</v>
          </cell>
          <cell r="H206">
            <v>77.5</v>
          </cell>
        </row>
        <row r="207">
          <cell r="G207" t="str">
            <v>F5171J13</v>
          </cell>
          <cell r="H207">
            <v>52.699999999999996</v>
          </cell>
        </row>
        <row r="208">
          <cell r="G208" t="str">
            <v>F5171J20</v>
          </cell>
          <cell r="H208">
            <v>62</v>
          </cell>
        </row>
        <row r="209">
          <cell r="G209" t="str">
            <v>F5171J30</v>
          </cell>
          <cell r="H209">
            <v>77.5</v>
          </cell>
        </row>
        <row r="210">
          <cell r="G210" t="str">
            <v>F5100J13</v>
          </cell>
          <cell r="H210">
            <v>52.699999999999996</v>
          </cell>
        </row>
        <row r="211">
          <cell r="G211" t="str">
            <v>F5100J20</v>
          </cell>
          <cell r="H211">
            <v>62</v>
          </cell>
        </row>
        <row r="212">
          <cell r="G212" t="str">
            <v>F5100J30</v>
          </cell>
          <cell r="H212">
            <v>77.5</v>
          </cell>
        </row>
        <row r="213">
          <cell r="G213" t="str">
            <v>F5113J13</v>
          </cell>
          <cell r="H213">
            <v>52.699999999999996</v>
          </cell>
        </row>
        <row r="214">
          <cell r="G214" t="str">
            <v>F5113J20</v>
          </cell>
          <cell r="H214">
            <v>62</v>
          </cell>
        </row>
        <row r="215">
          <cell r="G215" t="str">
            <v>F5113J30</v>
          </cell>
          <cell r="H215">
            <v>77.5</v>
          </cell>
        </row>
        <row r="216">
          <cell r="G216" t="str">
            <v>F5130J13</v>
          </cell>
          <cell r="H216">
            <v>52.699999999999996</v>
          </cell>
        </row>
        <row r="217">
          <cell r="G217" t="str">
            <v>F5130J20</v>
          </cell>
          <cell r="H217">
            <v>62</v>
          </cell>
        </row>
        <row r="218">
          <cell r="G218" t="str">
            <v>F5130J30</v>
          </cell>
          <cell r="H218">
            <v>77.5</v>
          </cell>
        </row>
        <row r="219">
          <cell r="G219" t="str">
            <v>F5133J13</v>
          </cell>
          <cell r="H219">
            <v>52.699999999999996</v>
          </cell>
        </row>
        <row r="220">
          <cell r="G220" t="str">
            <v>F5133J20</v>
          </cell>
          <cell r="H220">
            <v>62</v>
          </cell>
        </row>
        <row r="221">
          <cell r="G221" t="str">
            <v>F5133J30</v>
          </cell>
          <cell r="H221">
            <v>77.5</v>
          </cell>
        </row>
        <row r="222">
          <cell r="G222" t="str">
            <v>F5212J13</v>
          </cell>
        </row>
        <row r="223">
          <cell r="G223" t="str">
            <v>F5212J20</v>
          </cell>
        </row>
        <row r="224">
          <cell r="G224" t="str">
            <v>F5212J30</v>
          </cell>
        </row>
        <row r="225">
          <cell r="G225" t="str">
            <v>F5310J13</v>
          </cell>
          <cell r="H225">
            <v>52.699999999999996</v>
          </cell>
        </row>
        <row r="226">
          <cell r="G226" t="str">
            <v>F5310J20</v>
          </cell>
          <cell r="H226">
            <v>62</v>
          </cell>
        </row>
        <row r="227">
          <cell r="G227" t="str">
            <v>F5310J30</v>
          </cell>
          <cell r="H227">
            <v>77.5</v>
          </cell>
        </row>
        <row r="228">
          <cell r="G228" t="str">
            <v>F6046J13</v>
          </cell>
        </row>
        <row r="229">
          <cell r="G229" t="str">
            <v>F6046J20</v>
          </cell>
        </row>
        <row r="230">
          <cell r="G230" t="str">
            <v>F6046J30</v>
          </cell>
        </row>
        <row r="231">
          <cell r="G231" t="str">
            <v>F6611J13</v>
          </cell>
          <cell r="H231">
            <v>52.699999999999996</v>
          </cell>
        </row>
        <row r="232">
          <cell r="G232" t="str">
            <v>F6611J20</v>
          </cell>
          <cell r="H232">
            <v>62</v>
          </cell>
        </row>
        <row r="233">
          <cell r="G233" t="str">
            <v>F6611J30</v>
          </cell>
          <cell r="H233">
            <v>77.5</v>
          </cell>
        </row>
        <row r="234">
          <cell r="G234" t="str">
            <v>F6131J13</v>
          </cell>
          <cell r="H234">
            <v>52.699999999999996</v>
          </cell>
        </row>
        <row r="235">
          <cell r="G235" t="str">
            <v>F6131J20</v>
          </cell>
          <cell r="H235">
            <v>62</v>
          </cell>
        </row>
        <row r="236">
          <cell r="G236" t="str">
            <v>F6131J30</v>
          </cell>
          <cell r="H236">
            <v>77.5</v>
          </cell>
        </row>
        <row r="237">
          <cell r="G237" t="str">
            <v>F6134J13</v>
          </cell>
          <cell r="H237">
            <v>52.699999999999996</v>
          </cell>
        </row>
        <row r="238">
          <cell r="G238" t="str">
            <v>F6134J20</v>
          </cell>
          <cell r="H238">
            <v>62</v>
          </cell>
        </row>
        <row r="239">
          <cell r="G239" t="str">
            <v>F6134J30</v>
          </cell>
          <cell r="H239">
            <v>77.5</v>
          </cell>
        </row>
        <row r="240">
          <cell r="G240" t="str">
            <v>F6313J13</v>
          </cell>
          <cell r="H240">
            <v>52.699999999999996</v>
          </cell>
        </row>
        <row r="241">
          <cell r="G241" t="str">
            <v>F6313J20</v>
          </cell>
          <cell r="H241">
            <v>62</v>
          </cell>
        </row>
        <row r="242">
          <cell r="G242" t="str">
            <v>F6313J30</v>
          </cell>
          <cell r="H242">
            <v>77.5</v>
          </cell>
        </row>
        <row r="243">
          <cell r="G243" t="str">
            <v>F5122J13</v>
          </cell>
          <cell r="H243">
            <v>52.699999999999996</v>
          </cell>
        </row>
        <row r="244">
          <cell r="G244" t="str">
            <v>F5122J20</v>
          </cell>
          <cell r="H244">
            <v>62</v>
          </cell>
        </row>
        <row r="245">
          <cell r="G245" t="str">
            <v>F5122J30</v>
          </cell>
          <cell r="H245">
            <v>77.5</v>
          </cell>
        </row>
        <row r="246">
          <cell r="G246" t="str">
            <v>F5152J13</v>
          </cell>
          <cell r="H246">
            <v>52.699999999999996</v>
          </cell>
        </row>
        <row r="247">
          <cell r="G247" t="str">
            <v>F5152J20</v>
          </cell>
          <cell r="H247">
            <v>62</v>
          </cell>
        </row>
        <row r="248">
          <cell r="G248" t="str">
            <v>F5152J30</v>
          </cell>
          <cell r="H248">
            <v>77.5</v>
          </cell>
        </row>
        <row r="249">
          <cell r="G249" t="str">
            <v>F7514J13</v>
          </cell>
          <cell r="H249">
            <v>52.699999999999996</v>
          </cell>
        </row>
        <row r="250">
          <cell r="G250" t="str">
            <v>F7514J20</v>
          </cell>
          <cell r="H250">
            <v>62</v>
          </cell>
        </row>
        <row r="251">
          <cell r="G251" t="str">
            <v>F7514J30</v>
          </cell>
          <cell r="H251">
            <v>77.5</v>
          </cell>
        </row>
        <row r="252">
          <cell r="G252" t="str">
            <v>F5115J13</v>
          </cell>
          <cell r="H252">
            <v>57.8</v>
          </cell>
        </row>
        <row r="253">
          <cell r="G253" t="str">
            <v>F5115J20</v>
          </cell>
          <cell r="H253">
            <v>68</v>
          </cell>
        </row>
        <row r="254">
          <cell r="G254" t="str">
            <v>F5115J30</v>
          </cell>
          <cell r="H254">
            <v>85</v>
          </cell>
        </row>
        <row r="255">
          <cell r="G255" t="str">
            <v>F5116J13</v>
          </cell>
        </row>
        <row r="256">
          <cell r="G256" t="str">
            <v>F5116J20</v>
          </cell>
        </row>
        <row r="257">
          <cell r="G257" t="str">
            <v>F5116J30</v>
          </cell>
        </row>
        <row r="258">
          <cell r="G258" t="str">
            <v>F5118J13</v>
          </cell>
        </row>
        <row r="259">
          <cell r="G259" t="str">
            <v>F5118J20</v>
          </cell>
        </row>
        <row r="260">
          <cell r="G260" t="str">
            <v>F5118J30</v>
          </cell>
        </row>
        <row r="261">
          <cell r="G261" t="str">
            <v>F5151J13</v>
          </cell>
          <cell r="H261">
            <v>57.8</v>
          </cell>
        </row>
        <row r="262">
          <cell r="G262" t="str">
            <v>F5151J20</v>
          </cell>
          <cell r="H262">
            <v>68</v>
          </cell>
        </row>
        <row r="263">
          <cell r="G263" t="str">
            <v>F5151J30</v>
          </cell>
          <cell r="H263">
            <v>85</v>
          </cell>
        </row>
        <row r="264">
          <cell r="G264" t="str">
            <v>F8252J13</v>
          </cell>
          <cell r="H264">
            <v>57.8</v>
          </cell>
        </row>
        <row r="265">
          <cell r="G265" t="str">
            <v>F8252J20</v>
          </cell>
          <cell r="H265">
            <v>68</v>
          </cell>
        </row>
        <row r="266">
          <cell r="G266" t="str">
            <v>F8252J30</v>
          </cell>
          <cell r="H266">
            <v>85</v>
          </cell>
        </row>
        <row r="267">
          <cell r="G267" t="str">
            <v>F5105J13</v>
          </cell>
          <cell r="H267">
            <v>57.8</v>
          </cell>
        </row>
        <row r="268">
          <cell r="G268" t="str">
            <v>F5105J20</v>
          </cell>
          <cell r="H268">
            <v>68</v>
          </cell>
        </row>
        <row r="269">
          <cell r="G269" t="str">
            <v>F5105J30</v>
          </cell>
          <cell r="H269">
            <v>85</v>
          </cell>
        </row>
        <row r="270">
          <cell r="G270" t="str">
            <v>F5441J13</v>
          </cell>
          <cell r="H270">
            <v>62.9</v>
          </cell>
        </row>
        <row r="271">
          <cell r="G271" t="str">
            <v>F5441J20</v>
          </cell>
          <cell r="H271">
            <v>74</v>
          </cell>
        </row>
        <row r="272">
          <cell r="G272" t="str">
            <v>F5441J30</v>
          </cell>
          <cell r="H272">
            <v>92.5</v>
          </cell>
        </row>
        <row r="273">
          <cell r="G273" t="str">
            <v>F5444J13</v>
          </cell>
          <cell r="H273">
            <v>62.9</v>
          </cell>
        </row>
        <row r="274">
          <cell r="G274" t="str">
            <v>F5444J20</v>
          </cell>
          <cell r="H274">
            <v>74</v>
          </cell>
        </row>
        <row r="275">
          <cell r="G275" t="str">
            <v>F5444J30</v>
          </cell>
          <cell r="H275">
            <v>92.5</v>
          </cell>
        </row>
        <row r="276">
          <cell r="G276" t="str">
            <v>F8103J13</v>
          </cell>
          <cell r="H276">
            <v>62.9</v>
          </cell>
        </row>
        <row r="277">
          <cell r="G277" t="str">
            <v>F8103J20</v>
          </cell>
          <cell r="H277">
            <v>74</v>
          </cell>
        </row>
        <row r="278">
          <cell r="G278" t="str">
            <v>F8103J30</v>
          </cell>
          <cell r="H278">
            <v>92.5</v>
          </cell>
        </row>
        <row r="279">
          <cell r="G279" t="str">
            <v>F8104J13</v>
          </cell>
          <cell r="H279">
            <v>62.9</v>
          </cell>
        </row>
        <row r="280">
          <cell r="G280" t="str">
            <v>F8104J20</v>
          </cell>
          <cell r="H280">
            <v>74</v>
          </cell>
        </row>
        <row r="281">
          <cell r="G281" t="str">
            <v>F8104J30</v>
          </cell>
          <cell r="H281">
            <v>92.5</v>
          </cell>
        </row>
        <row r="282">
          <cell r="G282" t="str">
            <v>F8250J13</v>
          </cell>
          <cell r="H282">
            <v>62.9</v>
          </cell>
        </row>
        <row r="283">
          <cell r="G283" t="str">
            <v>F8250J20</v>
          </cell>
          <cell r="H283">
            <v>74</v>
          </cell>
        </row>
        <row r="284">
          <cell r="G284" t="str">
            <v>F8250J30</v>
          </cell>
          <cell r="H284">
            <v>92.5</v>
          </cell>
        </row>
        <row r="285">
          <cell r="G285" t="str">
            <v>F8251J13</v>
          </cell>
          <cell r="H285">
            <v>62.9</v>
          </cell>
        </row>
        <row r="286">
          <cell r="G286" t="str">
            <v>F8251J20</v>
          </cell>
          <cell r="H286">
            <v>74</v>
          </cell>
        </row>
        <row r="287">
          <cell r="G287" t="str">
            <v>F8251J30</v>
          </cell>
          <cell r="H287">
            <v>92.5</v>
          </cell>
        </row>
        <row r="288">
          <cell r="G288" t="str">
            <v>F4270J13</v>
          </cell>
        </row>
        <row r="289">
          <cell r="G289" t="str">
            <v>F4270J20</v>
          </cell>
        </row>
        <row r="290">
          <cell r="G290" t="str">
            <v>F4270J30</v>
          </cell>
        </row>
        <row r="291">
          <cell r="G291" t="str">
            <v>F6141J13</v>
          </cell>
          <cell r="H291">
            <v>42.5</v>
          </cell>
        </row>
        <row r="292">
          <cell r="G292" t="str">
            <v>F6141J20</v>
          </cell>
          <cell r="H292">
            <v>50</v>
          </cell>
        </row>
        <row r="293">
          <cell r="G293" t="str">
            <v>F6141J30</v>
          </cell>
          <cell r="H293">
            <v>60</v>
          </cell>
        </row>
        <row r="294">
          <cell r="G294" t="str">
            <v>F1023J13</v>
          </cell>
        </row>
        <row r="295">
          <cell r="G295" t="str">
            <v>F1023J20</v>
          </cell>
        </row>
        <row r="296">
          <cell r="G296" t="str">
            <v>F1023J30</v>
          </cell>
        </row>
        <row r="297">
          <cell r="G297" t="str">
            <v>F1006J13</v>
          </cell>
          <cell r="H297">
            <v>46.07</v>
          </cell>
        </row>
        <row r="298">
          <cell r="G298" t="str">
            <v>F1006J20</v>
          </cell>
          <cell r="H298">
            <v>54.2</v>
          </cell>
        </row>
        <row r="299">
          <cell r="G299" t="str">
            <v>F1006J30</v>
          </cell>
          <cell r="H299">
            <v>70.3</v>
          </cell>
        </row>
        <row r="300">
          <cell r="G300" t="str">
            <v>F1111J13</v>
          </cell>
        </row>
        <row r="301">
          <cell r="G301" t="str">
            <v>F1111J20</v>
          </cell>
        </row>
        <row r="302">
          <cell r="G302" t="str">
            <v>F1111J30</v>
          </cell>
          <cell r="H302">
            <v>77.804999999999993</v>
          </cell>
        </row>
        <row r="303">
          <cell r="G303" t="str">
            <v>F4143J13</v>
          </cell>
          <cell r="H303">
            <v>51</v>
          </cell>
        </row>
        <row r="304">
          <cell r="G304" t="str">
            <v>F4143J20</v>
          </cell>
          <cell r="H304">
            <v>60</v>
          </cell>
        </row>
        <row r="305">
          <cell r="G305" t="str">
            <v>F4143J30</v>
          </cell>
          <cell r="H305">
            <v>75</v>
          </cell>
        </row>
        <row r="306">
          <cell r="G306" t="str">
            <v>F4204J13</v>
          </cell>
          <cell r="H306">
            <v>52.7</v>
          </cell>
        </row>
        <row r="307">
          <cell r="G307" t="str">
            <v>F4204J20</v>
          </cell>
          <cell r="H307">
            <v>62</v>
          </cell>
        </row>
        <row r="308">
          <cell r="G308" t="str">
            <v>F4204J30</v>
          </cell>
          <cell r="H308">
            <v>77.5</v>
          </cell>
        </row>
        <row r="309">
          <cell r="G309" t="str">
            <v>F0405J20</v>
          </cell>
          <cell r="H309">
            <v>61.2</v>
          </cell>
        </row>
        <row r="310">
          <cell r="G310" t="str">
            <v>F0405J30</v>
          </cell>
          <cell r="H310">
            <v>78</v>
          </cell>
        </row>
        <row r="311">
          <cell r="G311" t="str">
            <v>F0406J20</v>
          </cell>
          <cell r="H311">
            <v>61.2</v>
          </cell>
        </row>
        <row r="312">
          <cell r="G312" t="str">
            <v>F0406J30</v>
          </cell>
          <cell r="H312">
            <v>78</v>
          </cell>
        </row>
        <row r="313">
          <cell r="G313" t="str">
            <v>F0515J20</v>
          </cell>
          <cell r="H313">
            <v>61.2</v>
          </cell>
        </row>
        <row r="314">
          <cell r="G314" t="str">
            <v>F0515J30</v>
          </cell>
          <cell r="H314">
            <v>78</v>
          </cell>
        </row>
        <row r="315">
          <cell r="G315" t="str">
            <v>G4001J13</v>
          </cell>
          <cell r="H315">
            <v>49.3</v>
          </cell>
        </row>
        <row r="316">
          <cell r="G316" t="str">
            <v>G4001J20</v>
          </cell>
          <cell r="H316">
            <v>58</v>
          </cell>
        </row>
        <row r="317">
          <cell r="G317" t="str">
            <v>G4001J30</v>
          </cell>
          <cell r="H317">
            <v>72.5</v>
          </cell>
        </row>
        <row r="318">
          <cell r="G318" t="str">
            <v>G4003J13</v>
          </cell>
          <cell r="H318">
            <v>49.3</v>
          </cell>
        </row>
        <row r="319">
          <cell r="G319" t="str">
            <v>G4003J20</v>
          </cell>
          <cell r="H319">
            <v>58</v>
          </cell>
        </row>
        <row r="320">
          <cell r="G320" t="str">
            <v>G4003J30</v>
          </cell>
          <cell r="H320">
            <v>72.5</v>
          </cell>
        </row>
        <row r="321">
          <cell r="G321" t="str">
            <v>G4004J13</v>
          </cell>
          <cell r="H321">
            <v>49.3</v>
          </cell>
        </row>
        <row r="322">
          <cell r="G322" t="str">
            <v>G4004J20</v>
          </cell>
          <cell r="H322">
            <v>58</v>
          </cell>
        </row>
        <row r="323">
          <cell r="G323" t="str">
            <v>G4004J30</v>
          </cell>
          <cell r="H323">
            <v>72.5</v>
          </cell>
        </row>
        <row r="324">
          <cell r="G324" t="str">
            <v>G5000J13</v>
          </cell>
          <cell r="H324">
            <v>49.3</v>
          </cell>
        </row>
        <row r="325">
          <cell r="G325" t="str">
            <v>G5000J20</v>
          </cell>
          <cell r="H325">
            <v>58</v>
          </cell>
        </row>
        <row r="326">
          <cell r="G326" t="str">
            <v>G5000J30</v>
          </cell>
          <cell r="H326">
            <v>72.5</v>
          </cell>
        </row>
        <row r="327">
          <cell r="G327" t="str">
            <v>G5141J13</v>
          </cell>
          <cell r="H327">
            <v>49.3</v>
          </cell>
        </row>
        <row r="328">
          <cell r="G328" t="str">
            <v>G5141J20</v>
          </cell>
          <cell r="H328">
            <v>58</v>
          </cell>
        </row>
        <row r="329">
          <cell r="G329" t="str">
            <v>G5141J30</v>
          </cell>
          <cell r="H329">
            <v>72.5</v>
          </cell>
        </row>
        <row r="330">
          <cell r="G330" t="str">
            <v>G5111J13</v>
          </cell>
          <cell r="H330">
            <v>49.3</v>
          </cell>
        </row>
        <row r="331">
          <cell r="G331" t="str">
            <v>G5111J20</v>
          </cell>
          <cell r="H331">
            <v>58</v>
          </cell>
        </row>
        <row r="332">
          <cell r="G332" t="str">
            <v>G5111J30</v>
          </cell>
          <cell r="H332">
            <v>72.5</v>
          </cell>
        </row>
        <row r="333">
          <cell r="G333" t="str">
            <v>G7512J13</v>
          </cell>
          <cell r="H333">
            <v>49.3</v>
          </cell>
        </row>
        <row r="334">
          <cell r="G334" t="str">
            <v>G7512J20</v>
          </cell>
          <cell r="H334">
            <v>58</v>
          </cell>
        </row>
        <row r="335">
          <cell r="G335" t="str">
            <v>G7512J30</v>
          </cell>
          <cell r="H335">
            <v>72.5</v>
          </cell>
        </row>
        <row r="336">
          <cell r="G336" t="str">
            <v>G5031J13</v>
          </cell>
          <cell r="H336">
            <v>51</v>
          </cell>
        </row>
        <row r="337">
          <cell r="G337" t="str">
            <v>G5031J20</v>
          </cell>
          <cell r="H337">
            <v>60</v>
          </cell>
        </row>
        <row r="338">
          <cell r="G338" t="str">
            <v>G5031J30</v>
          </cell>
          <cell r="H338">
            <v>75</v>
          </cell>
        </row>
        <row r="339">
          <cell r="G339" t="str">
            <v>G5110J13</v>
          </cell>
          <cell r="H339">
            <v>51</v>
          </cell>
        </row>
        <row r="340">
          <cell r="G340" t="str">
            <v>G5110J20</v>
          </cell>
          <cell r="H340">
            <v>60</v>
          </cell>
        </row>
        <row r="341">
          <cell r="G341" t="str">
            <v>G5110J30</v>
          </cell>
          <cell r="H341">
            <v>75</v>
          </cell>
        </row>
        <row r="342">
          <cell r="G342" t="str">
            <v>G5112J13</v>
          </cell>
          <cell r="H342">
            <v>51</v>
          </cell>
        </row>
        <row r="343">
          <cell r="G343" t="str">
            <v>G5112J20</v>
          </cell>
          <cell r="H343">
            <v>60</v>
          </cell>
        </row>
        <row r="344">
          <cell r="G344" t="str">
            <v>G5112J30</v>
          </cell>
          <cell r="H344">
            <v>75</v>
          </cell>
        </row>
        <row r="345">
          <cell r="G345" t="str">
            <v>G7524J13</v>
          </cell>
          <cell r="H345">
            <v>51</v>
          </cell>
        </row>
        <row r="346">
          <cell r="G346" t="str">
            <v>G7524J20</v>
          </cell>
          <cell r="H346">
            <v>60</v>
          </cell>
        </row>
        <row r="347">
          <cell r="G347" t="str">
            <v>G7524J30</v>
          </cell>
          <cell r="H347">
            <v>75</v>
          </cell>
        </row>
        <row r="348">
          <cell r="G348" t="str">
            <v>G5131J13</v>
          </cell>
          <cell r="H348">
            <v>51</v>
          </cell>
        </row>
        <row r="349">
          <cell r="G349" t="str">
            <v>G5131J20</v>
          </cell>
          <cell r="H349">
            <v>60</v>
          </cell>
        </row>
        <row r="350">
          <cell r="G350" t="str">
            <v>G5131J30</v>
          </cell>
          <cell r="H350">
            <v>75</v>
          </cell>
        </row>
        <row r="351">
          <cell r="G351" t="str">
            <v>G5132J13</v>
          </cell>
          <cell r="H351">
            <v>52.699999999999996</v>
          </cell>
        </row>
        <row r="352">
          <cell r="G352" t="str">
            <v>G5132J20</v>
          </cell>
          <cell r="H352">
            <v>62</v>
          </cell>
        </row>
        <row r="353">
          <cell r="G353" t="str">
            <v>G5132J30</v>
          </cell>
          <cell r="H353">
            <v>77.5</v>
          </cell>
        </row>
        <row r="354">
          <cell r="G354" t="str">
            <v>G5140J13</v>
          </cell>
          <cell r="H354">
            <v>52.699999999999996</v>
          </cell>
        </row>
        <row r="355">
          <cell r="G355" t="str">
            <v>G5140J20</v>
          </cell>
          <cell r="H355">
            <v>62</v>
          </cell>
        </row>
        <row r="356">
          <cell r="G356" t="str">
            <v>G5140J30</v>
          </cell>
          <cell r="H356">
            <v>77.5</v>
          </cell>
        </row>
        <row r="357">
          <cell r="G357" t="str">
            <v>G5143J13</v>
          </cell>
          <cell r="H357">
            <v>52.699999999999996</v>
          </cell>
        </row>
        <row r="358">
          <cell r="G358" t="str">
            <v>G5143J20</v>
          </cell>
          <cell r="H358">
            <v>62</v>
          </cell>
        </row>
        <row r="359">
          <cell r="G359" t="str">
            <v>G5143J30</v>
          </cell>
          <cell r="H359">
            <v>77.5</v>
          </cell>
        </row>
        <row r="360">
          <cell r="G360" t="str">
            <v>G5144J13</v>
          </cell>
          <cell r="H360">
            <v>52.699999999999996</v>
          </cell>
        </row>
        <row r="361">
          <cell r="G361" t="str">
            <v>G5144J20</v>
          </cell>
          <cell r="H361">
            <v>62</v>
          </cell>
        </row>
        <row r="362">
          <cell r="G362" t="str">
            <v>G5144J30</v>
          </cell>
          <cell r="H362">
            <v>77.5</v>
          </cell>
        </row>
        <row r="363">
          <cell r="G363" t="str">
            <v>G5171J13</v>
          </cell>
          <cell r="H363">
            <v>52.699999999999996</v>
          </cell>
        </row>
        <row r="364">
          <cell r="G364" t="str">
            <v>G5171J20</v>
          </cell>
          <cell r="H364">
            <v>62</v>
          </cell>
        </row>
        <row r="365">
          <cell r="G365" t="str">
            <v>G5171J30</v>
          </cell>
          <cell r="H365">
            <v>77.5</v>
          </cell>
        </row>
        <row r="366">
          <cell r="G366" t="str">
            <v>G5100J13</v>
          </cell>
          <cell r="H366">
            <v>52.699999999999996</v>
          </cell>
        </row>
        <row r="367">
          <cell r="G367" t="str">
            <v>G5100J20</v>
          </cell>
          <cell r="H367">
            <v>62</v>
          </cell>
        </row>
        <row r="368">
          <cell r="G368" t="str">
            <v>G5100J30</v>
          </cell>
          <cell r="H368">
            <v>77.5</v>
          </cell>
        </row>
        <row r="369">
          <cell r="G369" t="str">
            <v>G5113J13</v>
          </cell>
          <cell r="H369">
            <v>52.699999999999996</v>
          </cell>
        </row>
        <row r="370">
          <cell r="G370" t="str">
            <v>G5113J20</v>
          </cell>
          <cell r="H370">
            <v>62</v>
          </cell>
        </row>
        <row r="371">
          <cell r="G371" t="str">
            <v>G5113J30</v>
          </cell>
          <cell r="H371">
            <v>77.5</v>
          </cell>
        </row>
        <row r="372">
          <cell r="G372" t="str">
            <v>G5130J13</v>
          </cell>
          <cell r="H372">
            <v>52.699999999999996</v>
          </cell>
        </row>
        <row r="373">
          <cell r="G373" t="str">
            <v>G5130J20</v>
          </cell>
          <cell r="H373">
            <v>62</v>
          </cell>
        </row>
        <row r="374">
          <cell r="G374" t="str">
            <v>G5130J30</v>
          </cell>
          <cell r="H374">
            <v>77.5</v>
          </cell>
        </row>
        <row r="375">
          <cell r="G375" t="str">
            <v>G5133J13</v>
          </cell>
          <cell r="H375">
            <v>52.699999999999996</v>
          </cell>
        </row>
        <row r="376">
          <cell r="G376" t="str">
            <v>G5133J20</v>
          </cell>
          <cell r="H376">
            <v>62</v>
          </cell>
        </row>
        <row r="377">
          <cell r="G377" t="str">
            <v>G5133J30</v>
          </cell>
          <cell r="H377">
            <v>77.5</v>
          </cell>
        </row>
        <row r="378">
          <cell r="G378" t="str">
            <v>G5212J13</v>
          </cell>
        </row>
        <row r="379">
          <cell r="G379" t="str">
            <v>G5212J20</v>
          </cell>
        </row>
        <row r="380">
          <cell r="G380" t="str">
            <v>G5212J30</v>
          </cell>
        </row>
        <row r="381">
          <cell r="G381" t="str">
            <v>G5310J13</v>
          </cell>
          <cell r="H381">
            <v>52.699999999999996</v>
          </cell>
        </row>
        <row r="382">
          <cell r="G382" t="str">
            <v>G5310J20</v>
          </cell>
          <cell r="H382">
            <v>62</v>
          </cell>
        </row>
        <row r="383">
          <cell r="G383" t="str">
            <v>G5310J30</v>
          </cell>
          <cell r="H383">
            <v>77.5</v>
          </cell>
        </row>
        <row r="384">
          <cell r="G384" t="str">
            <v>G6046J13</v>
          </cell>
        </row>
        <row r="385">
          <cell r="G385" t="str">
            <v>G6046J20</v>
          </cell>
        </row>
        <row r="386">
          <cell r="G386" t="str">
            <v>G6046J30</v>
          </cell>
        </row>
        <row r="387">
          <cell r="G387" t="str">
            <v>G6611J13</v>
          </cell>
          <cell r="H387">
            <v>52.699999999999996</v>
          </cell>
        </row>
        <row r="388">
          <cell r="G388" t="str">
            <v>G6611J20</v>
          </cell>
          <cell r="H388">
            <v>62</v>
          </cell>
        </row>
        <row r="389">
          <cell r="G389" t="str">
            <v>G6611J30</v>
          </cell>
          <cell r="H389">
            <v>77.5</v>
          </cell>
        </row>
        <row r="390">
          <cell r="G390" t="str">
            <v>G6131J13</v>
          </cell>
          <cell r="H390">
            <v>52.699999999999996</v>
          </cell>
        </row>
        <row r="391">
          <cell r="G391" t="str">
            <v>G6131J20</v>
          </cell>
          <cell r="H391">
            <v>62</v>
          </cell>
        </row>
        <row r="392">
          <cell r="G392" t="str">
            <v>G6131J30</v>
          </cell>
          <cell r="H392">
            <v>77.5</v>
          </cell>
        </row>
        <row r="393">
          <cell r="G393" t="str">
            <v>G6134J13</v>
          </cell>
          <cell r="H393">
            <v>52.699999999999996</v>
          </cell>
        </row>
        <row r="394">
          <cell r="G394" t="str">
            <v>G6134J20</v>
          </cell>
          <cell r="H394">
            <v>62</v>
          </cell>
        </row>
        <row r="395">
          <cell r="G395" t="str">
            <v>G6134J30</v>
          </cell>
          <cell r="H395">
            <v>77.5</v>
          </cell>
        </row>
        <row r="396">
          <cell r="G396" t="str">
            <v>G6313J13</v>
          </cell>
          <cell r="H396">
            <v>52.699999999999996</v>
          </cell>
        </row>
        <row r="397">
          <cell r="G397" t="str">
            <v>G6313J20</v>
          </cell>
          <cell r="H397">
            <v>62</v>
          </cell>
        </row>
        <row r="398">
          <cell r="G398" t="str">
            <v>G6313J30</v>
          </cell>
          <cell r="H398">
            <v>77.5</v>
          </cell>
        </row>
        <row r="399">
          <cell r="G399" t="str">
            <v>G5122J13</v>
          </cell>
          <cell r="H399">
            <v>52.699999999999996</v>
          </cell>
        </row>
        <row r="400">
          <cell r="G400" t="str">
            <v>G5122J20</v>
          </cell>
          <cell r="H400">
            <v>62</v>
          </cell>
        </row>
        <row r="401">
          <cell r="G401" t="str">
            <v>G5122J30</v>
          </cell>
          <cell r="H401">
            <v>77.5</v>
          </cell>
        </row>
        <row r="402">
          <cell r="G402" t="str">
            <v>G5152J13</v>
          </cell>
          <cell r="H402">
            <v>52.699999999999996</v>
          </cell>
        </row>
        <row r="403">
          <cell r="G403" t="str">
            <v>G5152J20</v>
          </cell>
          <cell r="H403">
            <v>62</v>
          </cell>
        </row>
        <row r="404">
          <cell r="G404" t="str">
            <v>G5152J30</v>
          </cell>
          <cell r="H404">
            <v>77.5</v>
          </cell>
        </row>
        <row r="405">
          <cell r="G405" t="str">
            <v>G7514J13</v>
          </cell>
          <cell r="H405">
            <v>52.699999999999996</v>
          </cell>
        </row>
        <row r="406">
          <cell r="G406" t="str">
            <v>G7514J20</v>
          </cell>
          <cell r="H406">
            <v>62</v>
          </cell>
        </row>
        <row r="407">
          <cell r="G407" t="str">
            <v>G7514J30</v>
          </cell>
          <cell r="H407">
            <v>77.5</v>
          </cell>
        </row>
        <row r="408">
          <cell r="G408" t="str">
            <v>G5115J13</v>
          </cell>
          <cell r="H408">
            <v>57.8</v>
          </cell>
        </row>
        <row r="409">
          <cell r="G409" t="str">
            <v>G5115J20</v>
          </cell>
          <cell r="H409">
            <v>68</v>
          </cell>
        </row>
        <row r="410">
          <cell r="G410" t="str">
            <v>G5115J30</v>
          </cell>
          <cell r="H410">
            <v>85</v>
          </cell>
        </row>
        <row r="411">
          <cell r="G411" t="str">
            <v>G5116J13</v>
          </cell>
        </row>
        <row r="412">
          <cell r="G412" t="str">
            <v>G5116J20</v>
          </cell>
        </row>
        <row r="413">
          <cell r="G413" t="str">
            <v>G5116J30</v>
          </cell>
        </row>
        <row r="414">
          <cell r="G414" t="str">
            <v>G5118J13</v>
          </cell>
        </row>
        <row r="415">
          <cell r="G415" t="str">
            <v>G5118J20</v>
          </cell>
        </row>
        <row r="416">
          <cell r="G416" t="str">
            <v>G5118J30</v>
          </cell>
        </row>
        <row r="417">
          <cell r="G417" t="str">
            <v>G5151J13</v>
          </cell>
          <cell r="H417">
            <v>57.8</v>
          </cell>
        </row>
        <row r="418">
          <cell r="G418" t="str">
            <v>G5151J20</v>
          </cell>
          <cell r="H418">
            <v>68</v>
          </cell>
        </row>
        <row r="419">
          <cell r="G419" t="str">
            <v>G5151J30</v>
          </cell>
          <cell r="H419">
            <v>85</v>
          </cell>
        </row>
        <row r="420">
          <cell r="G420" t="str">
            <v>G8252J13</v>
          </cell>
          <cell r="H420">
            <v>57.8</v>
          </cell>
        </row>
        <row r="421">
          <cell r="G421" t="str">
            <v>G8252J20</v>
          </cell>
          <cell r="H421">
            <v>68</v>
          </cell>
        </row>
        <row r="422">
          <cell r="G422" t="str">
            <v>G8252J30</v>
          </cell>
          <cell r="H422">
            <v>85</v>
          </cell>
        </row>
        <row r="423">
          <cell r="G423" t="str">
            <v>G5105J13</v>
          </cell>
          <cell r="H423">
            <v>57.8</v>
          </cell>
        </row>
        <row r="424">
          <cell r="G424" t="str">
            <v>G5105J20</v>
          </cell>
          <cell r="H424">
            <v>68</v>
          </cell>
        </row>
        <row r="425">
          <cell r="G425" t="str">
            <v>G5105J30</v>
          </cell>
          <cell r="H425">
            <v>85</v>
          </cell>
        </row>
        <row r="426">
          <cell r="G426" t="str">
            <v>G5441J13</v>
          </cell>
          <cell r="H426">
            <v>62.9</v>
          </cell>
        </row>
        <row r="427">
          <cell r="G427" t="str">
            <v>G5441J20</v>
          </cell>
          <cell r="H427">
            <v>74</v>
          </cell>
        </row>
        <row r="428">
          <cell r="G428" t="str">
            <v>G5441J30</v>
          </cell>
          <cell r="H428">
            <v>92.5</v>
          </cell>
        </row>
        <row r="429">
          <cell r="G429" t="str">
            <v>G5444J13</v>
          </cell>
          <cell r="H429">
            <v>62.9</v>
          </cell>
        </row>
        <row r="430">
          <cell r="G430" t="str">
            <v>G5444J20</v>
          </cell>
          <cell r="H430">
            <v>74</v>
          </cell>
        </row>
        <row r="431">
          <cell r="G431" t="str">
            <v>G5444J30</v>
          </cell>
          <cell r="H431">
            <v>92.5</v>
          </cell>
        </row>
        <row r="432">
          <cell r="G432" t="str">
            <v>G8103J13</v>
          </cell>
          <cell r="H432">
            <v>62.9</v>
          </cell>
        </row>
        <row r="433">
          <cell r="G433" t="str">
            <v>G8103J20</v>
          </cell>
          <cell r="H433">
            <v>74</v>
          </cell>
        </row>
        <row r="434">
          <cell r="G434" t="str">
            <v>G8103J30</v>
          </cell>
          <cell r="H434">
            <v>92.5</v>
          </cell>
        </row>
        <row r="435">
          <cell r="G435" t="str">
            <v>G8104J13</v>
          </cell>
          <cell r="H435">
            <v>62.9</v>
          </cell>
        </row>
        <row r="436">
          <cell r="G436" t="str">
            <v>G8104J20</v>
          </cell>
          <cell r="H436">
            <v>74</v>
          </cell>
        </row>
        <row r="437">
          <cell r="G437" t="str">
            <v>G8104J30</v>
          </cell>
          <cell r="H437">
            <v>92.5</v>
          </cell>
        </row>
        <row r="438">
          <cell r="G438" t="str">
            <v>G8250J13</v>
          </cell>
          <cell r="H438">
            <v>62.9</v>
          </cell>
        </row>
        <row r="439">
          <cell r="G439" t="str">
            <v>G8250J20</v>
          </cell>
          <cell r="H439">
            <v>74</v>
          </cell>
        </row>
        <row r="440">
          <cell r="G440" t="str">
            <v>G8250J30</v>
          </cell>
          <cell r="H440">
            <v>92.5</v>
          </cell>
        </row>
        <row r="441">
          <cell r="G441" t="str">
            <v>G8251J13</v>
          </cell>
          <cell r="H441">
            <v>62.9</v>
          </cell>
        </row>
        <row r="442">
          <cell r="G442" t="str">
            <v>G8251J20</v>
          </cell>
          <cell r="H442">
            <v>74</v>
          </cell>
        </row>
        <row r="443">
          <cell r="G443" t="str">
            <v>G8251J30</v>
          </cell>
          <cell r="H443">
            <v>92.5</v>
          </cell>
        </row>
        <row r="444">
          <cell r="G444" t="str">
            <v>G4270J13</v>
          </cell>
        </row>
        <row r="445">
          <cell r="G445" t="str">
            <v>G4270J20</v>
          </cell>
        </row>
        <row r="446">
          <cell r="G446" t="str">
            <v>G4270J30</v>
          </cell>
        </row>
        <row r="447">
          <cell r="G447" t="str">
            <v>G6141J13</v>
          </cell>
          <cell r="H447">
            <v>42.5</v>
          </cell>
        </row>
        <row r="448">
          <cell r="G448" t="str">
            <v>G6141J20</v>
          </cell>
          <cell r="H448">
            <v>50</v>
          </cell>
        </row>
        <row r="449">
          <cell r="G449" t="str">
            <v>G6141J30</v>
          </cell>
          <cell r="H449">
            <v>60</v>
          </cell>
        </row>
        <row r="450">
          <cell r="G450" t="str">
            <v>G1023J13</v>
          </cell>
        </row>
        <row r="451">
          <cell r="G451" t="str">
            <v>G1023J20</v>
          </cell>
        </row>
        <row r="452">
          <cell r="G452" t="str">
            <v>G1023J30</v>
          </cell>
        </row>
        <row r="453">
          <cell r="G453" t="str">
            <v>G1006J13</v>
          </cell>
          <cell r="H453">
            <v>46.07</v>
          </cell>
        </row>
        <row r="454">
          <cell r="G454" t="str">
            <v>G1006J20</v>
          </cell>
          <cell r="H454">
            <v>54.2</v>
          </cell>
        </row>
        <row r="455">
          <cell r="G455" t="str">
            <v>G1006J30</v>
          </cell>
          <cell r="H455">
            <v>70.3</v>
          </cell>
        </row>
        <row r="456">
          <cell r="G456" t="str">
            <v>G1111J13</v>
          </cell>
        </row>
        <row r="457">
          <cell r="G457" t="str">
            <v>G1111J20</v>
          </cell>
        </row>
        <row r="458">
          <cell r="G458" t="str">
            <v>G1111J30</v>
          </cell>
          <cell r="H458">
            <v>77.804999999999993</v>
          </cell>
        </row>
        <row r="459">
          <cell r="G459" t="str">
            <v>G4143J13</v>
          </cell>
          <cell r="H459">
            <v>51</v>
          </cell>
        </row>
        <row r="460">
          <cell r="G460" t="str">
            <v>G4143J20</v>
          </cell>
          <cell r="H460">
            <v>60</v>
          </cell>
        </row>
        <row r="461">
          <cell r="G461" t="str">
            <v>G4143J30</v>
          </cell>
          <cell r="H461">
            <v>75</v>
          </cell>
        </row>
        <row r="462">
          <cell r="G462" t="str">
            <v>G4204J13</v>
          </cell>
          <cell r="H462">
            <v>52.7</v>
          </cell>
        </row>
        <row r="463">
          <cell r="G463" t="str">
            <v>G4204J20</v>
          </cell>
          <cell r="H463">
            <v>62</v>
          </cell>
        </row>
        <row r="464">
          <cell r="G464" t="str">
            <v>G4204J30</v>
          </cell>
          <cell r="H464">
            <v>77.5</v>
          </cell>
        </row>
        <row r="465">
          <cell r="G465" t="str">
            <v>G0405J20</v>
          </cell>
          <cell r="H465">
            <v>61.2</v>
          </cell>
        </row>
        <row r="466">
          <cell r="G466" t="str">
            <v>G0405J30</v>
          </cell>
          <cell r="H466">
            <v>78</v>
          </cell>
        </row>
        <row r="467">
          <cell r="G467" t="str">
            <v>G0406J20</v>
          </cell>
          <cell r="H467">
            <v>61.2</v>
          </cell>
        </row>
        <row r="468">
          <cell r="G468" t="str">
            <v>G0406J30</v>
          </cell>
          <cell r="H468">
            <v>78</v>
          </cell>
        </row>
        <row r="469">
          <cell r="G469" t="str">
            <v>G0515J20</v>
          </cell>
          <cell r="H469">
            <v>61.2</v>
          </cell>
        </row>
        <row r="470">
          <cell r="G470" t="str">
            <v>G0515J30</v>
          </cell>
          <cell r="H470">
            <v>78</v>
          </cell>
        </row>
        <row r="471">
          <cell r="G471" t="str">
            <v>C2104J20</v>
          </cell>
          <cell r="H471">
            <v>55.099999999999994</v>
          </cell>
        </row>
        <row r="472">
          <cell r="G472" t="str">
            <v>C2104J30</v>
          </cell>
          <cell r="H472">
            <v>66.5</v>
          </cell>
        </row>
      </sheetData>
      <sheetData sheetId="7" refreshError="1"/>
      <sheetData sheetId="8" refreshError="1">
        <row r="2">
          <cell r="I2" t="str">
            <v>Giá Phú Sơn tương đương giá T-10</v>
          </cell>
        </row>
        <row r="3">
          <cell r="D3" t="str">
            <v>Màu cũ</v>
          </cell>
          <cell r="H3" t="str">
            <v>Màu mới</v>
          </cell>
        </row>
        <row r="4">
          <cell r="B4" t="str">
            <v>Mã hàng</v>
          </cell>
          <cell r="C4" t="str">
            <v>Giá bán theo NS cập nhật 4.8.2025 và cách tính T mới</v>
          </cell>
          <cell r="D4" t="str">
            <v>T-10( &gt;126 tấm)</v>
          </cell>
          <cell r="E4" t="str">
            <v>T-17 ( &lt;80 tấm)</v>
          </cell>
          <cell r="F4" t="str">
            <v>T-15  (&lt;80-100&gt; )</v>
          </cell>
          <cell r="G4" t="str">
            <v>T-13 ( &lt; 101-125&gt;</v>
          </cell>
          <cell r="H4" t="str">
            <v>T-8(&gt;100 tấm)</v>
          </cell>
          <cell r="I4" t="str">
            <v>T-10(&lt;100 tấm)</v>
          </cell>
        </row>
        <row r="5">
          <cell r="B5" t="str">
            <v>C1005J20</v>
          </cell>
          <cell r="C5">
            <v>60</v>
          </cell>
          <cell r="H5">
            <v>60</v>
          </cell>
        </row>
        <row r="6">
          <cell r="B6" t="str">
            <v>C1005J30</v>
          </cell>
          <cell r="C6">
            <v>75</v>
          </cell>
          <cell r="H6">
            <v>75</v>
          </cell>
        </row>
        <row r="7">
          <cell r="B7" t="str">
            <v>C1102J20</v>
          </cell>
          <cell r="C7">
            <v>70</v>
          </cell>
          <cell r="D7">
            <v>71</v>
          </cell>
          <cell r="H7">
            <v>70</v>
          </cell>
        </row>
        <row r="8">
          <cell r="B8" t="str">
            <v>C1102J30</v>
          </cell>
          <cell r="C8">
            <v>89</v>
          </cell>
          <cell r="D8">
            <v>90</v>
          </cell>
          <cell r="H8">
            <v>89</v>
          </cell>
        </row>
        <row r="9">
          <cell r="B9" t="str">
            <v>C1205J20</v>
          </cell>
          <cell r="C9">
            <v>57</v>
          </cell>
          <cell r="D9">
            <v>58</v>
          </cell>
          <cell r="H9">
            <v>57</v>
          </cell>
        </row>
        <row r="10">
          <cell r="B10" t="str">
            <v>C1205J30</v>
          </cell>
          <cell r="C10">
            <v>72</v>
          </cell>
          <cell r="D10">
            <v>73</v>
          </cell>
          <cell r="H10">
            <v>72</v>
          </cell>
        </row>
        <row r="11">
          <cell r="B11" t="str">
            <v>C2104J20</v>
          </cell>
          <cell r="C11">
            <v>57</v>
          </cell>
          <cell r="D11">
            <v>58</v>
          </cell>
          <cell r="H11">
            <v>57</v>
          </cell>
        </row>
        <row r="12">
          <cell r="B12" t="str">
            <v>C2104J30</v>
          </cell>
          <cell r="C12">
            <v>72</v>
          </cell>
          <cell r="D12">
            <v>73</v>
          </cell>
          <cell r="H12">
            <v>72</v>
          </cell>
        </row>
        <row r="13">
          <cell r="B13" t="str">
            <v>C2262J20</v>
          </cell>
          <cell r="C13">
            <v>80</v>
          </cell>
          <cell r="E13">
            <v>63</v>
          </cell>
        </row>
        <row r="14">
          <cell r="B14" t="str">
            <v>C2262J30</v>
          </cell>
          <cell r="C14">
            <v>90</v>
          </cell>
          <cell r="E14">
            <v>75</v>
          </cell>
        </row>
        <row r="15">
          <cell r="B15" t="str">
            <v>C3105J20</v>
          </cell>
          <cell r="C15">
            <v>57</v>
          </cell>
          <cell r="D15">
            <v>62</v>
          </cell>
          <cell r="H15">
            <v>57</v>
          </cell>
        </row>
        <row r="16">
          <cell r="B16" t="str">
            <v>C3105J30</v>
          </cell>
          <cell r="C16">
            <v>72</v>
          </cell>
          <cell r="D16">
            <v>77</v>
          </cell>
          <cell r="H16">
            <v>72</v>
          </cell>
        </row>
        <row r="17">
          <cell r="B17" t="str">
            <v>C3146J20</v>
          </cell>
          <cell r="C17">
            <v>55</v>
          </cell>
          <cell r="D17">
            <v>56</v>
          </cell>
          <cell r="H17">
            <v>55</v>
          </cell>
        </row>
        <row r="18">
          <cell r="B18" t="str">
            <v>C3146J30</v>
          </cell>
          <cell r="C18">
            <v>69</v>
          </cell>
          <cell r="D18">
            <v>70</v>
          </cell>
          <cell r="H18">
            <v>69</v>
          </cell>
        </row>
        <row r="19">
          <cell r="B19" t="str">
            <v>C3269J20</v>
          </cell>
          <cell r="C19">
            <v>69</v>
          </cell>
        </row>
        <row r="20">
          <cell r="B20" t="str">
            <v>C3269J30</v>
          </cell>
          <cell r="C20">
            <v>96</v>
          </cell>
        </row>
        <row r="21">
          <cell r="B21" t="str">
            <v>C3346J20</v>
          </cell>
          <cell r="C21">
            <v>62</v>
          </cell>
          <cell r="G21">
            <v>65</v>
          </cell>
          <cell r="H21">
            <v>62</v>
          </cell>
        </row>
        <row r="22">
          <cell r="B22" t="str">
            <v>C3346J30</v>
          </cell>
          <cell r="C22">
            <v>76</v>
          </cell>
          <cell r="G22">
            <v>80</v>
          </cell>
          <cell r="H22">
            <v>76</v>
          </cell>
        </row>
        <row r="23">
          <cell r="B23" t="str">
            <v>C3311J20</v>
          </cell>
          <cell r="C23">
            <v>56</v>
          </cell>
          <cell r="G23">
            <v>59</v>
          </cell>
          <cell r="H23">
            <v>56</v>
          </cell>
        </row>
        <row r="24">
          <cell r="B24" t="str">
            <v>C3311J30</v>
          </cell>
          <cell r="C24">
            <v>70</v>
          </cell>
          <cell r="G24">
            <v>73</v>
          </cell>
          <cell r="H24">
            <v>70</v>
          </cell>
        </row>
        <row r="25">
          <cell r="B25" t="str">
            <v>C4111J20</v>
          </cell>
          <cell r="C25">
            <v>78</v>
          </cell>
          <cell r="E25">
            <v>78</v>
          </cell>
          <cell r="H25">
            <v>78</v>
          </cell>
        </row>
        <row r="26">
          <cell r="B26" t="str">
            <v>C4111J30</v>
          </cell>
          <cell r="C26">
            <v>93</v>
          </cell>
          <cell r="E26">
            <v>94</v>
          </cell>
          <cell r="H26">
            <v>93</v>
          </cell>
        </row>
        <row r="27">
          <cell r="B27" t="str">
            <v>C4143J20</v>
          </cell>
          <cell r="C27">
            <v>56</v>
          </cell>
          <cell r="D27">
            <v>57</v>
          </cell>
          <cell r="H27">
            <v>56</v>
          </cell>
        </row>
        <row r="28">
          <cell r="B28" t="str">
            <v>C4143J30</v>
          </cell>
          <cell r="C28">
            <v>71</v>
          </cell>
          <cell r="D28">
            <v>72</v>
          </cell>
          <cell r="H28">
            <v>71</v>
          </cell>
        </row>
        <row r="29">
          <cell r="B29" t="str">
            <v>C4145J20</v>
          </cell>
          <cell r="C29">
            <v>59</v>
          </cell>
          <cell r="D29">
            <v>60</v>
          </cell>
          <cell r="H29">
            <v>59</v>
          </cell>
        </row>
        <row r="30">
          <cell r="B30" t="str">
            <v>C4145J30</v>
          </cell>
          <cell r="C30">
            <v>74</v>
          </cell>
          <cell r="D30">
            <v>75</v>
          </cell>
          <cell r="H30">
            <v>74</v>
          </cell>
        </row>
        <row r="31">
          <cell r="B31" t="str">
            <v>C4147J20</v>
          </cell>
          <cell r="C31">
            <v>67</v>
          </cell>
          <cell r="F31">
            <v>70</v>
          </cell>
          <cell r="I31">
            <v>67</v>
          </cell>
        </row>
        <row r="32">
          <cell r="B32" t="str">
            <v>C4147J30</v>
          </cell>
          <cell r="C32">
            <v>83</v>
          </cell>
          <cell r="F32">
            <v>87</v>
          </cell>
          <cell r="I32">
            <v>83</v>
          </cell>
        </row>
        <row r="33">
          <cell r="B33" t="str">
            <v>C4149J20</v>
          </cell>
          <cell r="C33">
            <v>80</v>
          </cell>
          <cell r="E33">
            <v>85</v>
          </cell>
          <cell r="I33">
            <v>80</v>
          </cell>
        </row>
        <row r="34">
          <cell r="B34" t="str">
            <v>C4149J30</v>
          </cell>
          <cell r="C34">
            <v>95</v>
          </cell>
          <cell r="E34">
            <v>100</v>
          </cell>
          <cell r="I34">
            <v>95</v>
          </cell>
        </row>
        <row r="35">
          <cell r="B35" t="str">
            <v>C4202J20</v>
          </cell>
          <cell r="C35">
            <v>59</v>
          </cell>
          <cell r="G35">
            <v>62</v>
          </cell>
          <cell r="H35">
            <v>59</v>
          </cell>
        </row>
        <row r="36">
          <cell r="B36" t="str">
            <v>C4202J30</v>
          </cell>
          <cell r="C36">
            <v>73</v>
          </cell>
          <cell r="G36">
            <v>77</v>
          </cell>
          <cell r="H36">
            <v>73</v>
          </cell>
        </row>
        <row r="37">
          <cell r="B37" t="str">
            <v>C4204J20</v>
          </cell>
          <cell r="C37">
            <v>60</v>
          </cell>
          <cell r="G37">
            <v>62</v>
          </cell>
          <cell r="H37">
            <v>60</v>
          </cell>
        </row>
        <row r="38">
          <cell r="B38" t="str">
            <v>C4204J30</v>
          </cell>
          <cell r="C38">
            <v>75</v>
          </cell>
          <cell r="G38">
            <v>77</v>
          </cell>
          <cell r="H38">
            <v>75</v>
          </cell>
        </row>
        <row r="39">
          <cell r="B39" t="str">
            <v>C4211J20</v>
          </cell>
          <cell r="C39">
            <v>56</v>
          </cell>
          <cell r="G39">
            <v>59</v>
          </cell>
          <cell r="H39">
            <v>56</v>
          </cell>
        </row>
        <row r="40">
          <cell r="B40" t="str">
            <v>C4211J30</v>
          </cell>
          <cell r="C40">
            <v>71</v>
          </cell>
          <cell r="G40">
            <v>74</v>
          </cell>
          <cell r="H40">
            <v>71</v>
          </cell>
        </row>
        <row r="41">
          <cell r="B41" t="str">
            <v>C4221J20</v>
          </cell>
          <cell r="C41">
            <v>65</v>
          </cell>
          <cell r="G41">
            <v>68</v>
          </cell>
          <cell r="H41">
            <v>65</v>
          </cell>
        </row>
        <row r="42">
          <cell r="B42" t="str">
            <v>C4221J30</v>
          </cell>
          <cell r="C42">
            <v>80</v>
          </cell>
          <cell r="G42">
            <v>84</v>
          </cell>
          <cell r="H42">
            <v>80</v>
          </cell>
        </row>
        <row r="43">
          <cell r="B43" t="str">
            <v>C4222J20</v>
          </cell>
          <cell r="C43">
            <v>65</v>
          </cell>
          <cell r="G43">
            <v>68</v>
          </cell>
          <cell r="H43">
            <v>65</v>
          </cell>
        </row>
        <row r="44">
          <cell r="B44" t="str">
            <v>C4222J30</v>
          </cell>
          <cell r="C44">
            <v>81</v>
          </cell>
          <cell r="G44">
            <v>84</v>
          </cell>
          <cell r="H44">
            <v>81</v>
          </cell>
        </row>
        <row r="45">
          <cell r="B45" t="str">
            <v>C4238J20</v>
          </cell>
          <cell r="C45">
            <v>79</v>
          </cell>
          <cell r="E45">
            <v>78</v>
          </cell>
          <cell r="I45">
            <v>79</v>
          </cell>
        </row>
        <row r="46">
          <cell r="B46" t="str">
            <v>C4238J30</v>
          </cell>
          <cell r="C46">
            <v>94</v>
          </cell>
          <cell r="E46">
            <v>93</v>
          </cell>
          <cell r="I46">
            <v>94</v>
          </cell>
        </row>
        <row r="47">
          <cell r="B47" t="str">
            <v>C4246J20</v>
          </cell>
          <cell r="C47">
            <v>58</v>
          </cell>
          <cell r="D47">
            <v>59</v>
          </cell>
          <cell r="H47">
            <v>58</v>
          </cell>
        </row>
        <row r="48">
          <cell r="B48" t="str">
            <v>C4246J30</v>
          </cell>
          <cell r="C48">
            <v>73</v>
          </cell>
          <cell r="D48">
            <v>74</v>
          </cell>
          <cell r="H48">
            <v>73</v>
          </cell>
        </row>
        <row r="49">
          <cell r="B49" t="str">
            <v>C4250J20</v>
          </cell>
          <cell r="C49">
            <v>69</v>
          </cell>
          <cell r="F49">
            <v>72</v>
          </cell>
          <cell r="I49">
            <v>69</v>
          </cell>
        </row>
        <row r="50">
          <cell r="B50" t="str">
            <v>C4250J30</v>
          </cell>
          <cell r="C50">
            <v>85</v>
          </cell>
          <cell r="F50">
            <v>88</v>
          </cell>
          <cell r="I50">
            <v>85</v>
          </cell>
        </row>
        <row r="51">
          <cell r="B51" t="str">
            <v>C4254J20</v>
          </cell>
          <cell r="C51">
            <v>58</v>
          </cell>
          <cell r="D51">
            <v>59</v>
          </cell>
          <cell r="H51">
            <v>58</v>
          </cell>
        </row>
        <row r="52">
          <cell r="B52" t="str">
            <v>C4254J30</v>
          </cell>
          <cell r="C52">
            <v>73</v>
          </cell>
          <cell r="D52">
            <v>74</v>
          </cell>
          <cell r="H52">
            <v>73</v>
          </cell>
        </row>
        <row r="53">
          <cell r="B53" t="str">
            <v>C4255J20</v>
          </cell>
          <cell r="C53">
            <v>63</v>
          </cell>
          <cell r="G53">
            <v>66</v>
          </cell>
          <cell r="H53">
            <v>63</v>
          </cell>
        </row>
        <row r="54">
          <cell r="B54" t="str">
            <v>C4255J30</v>
          </cell>
          <cell r="C54">
            <v>78</v>
          </cell>
          <cell r="G54">
            <v>82</v>
          </cell>
          <cell r="H54">
            <v>78</v>
          </cell>
        </row>
        <row r="55">
          <cell r="B55" t="str">
            <v>C4326J20</v>
          </cell>
          <cell r="C55">
            <v>63</v>
          </cell>
          <cell r="D55">
            <v>64</v>
          </cell>
          <cell r="H55">
            <v>63</v>
          </cell>
        </row>
        <row r="56">
          <cell r="B56" t="str">
            <v>C4326J30</v>
          </cell>
          <cell r="C56">
            <v>79</v>
          </cell>
          <cell r="D56">
            <v>81</v>
          </cell>
          <cell r="H56">
            <v>79</v>
          </cell>
        </row>
        <row r="57">
          <cell r="B57" t="str">
            <v>C4342J20</v>
          </cell>
          <cell r="C57">
            <v>64</v>
          </cell>
          <cell r="G57">
            <v>67</v>
          </cell>
          <cell r="H57">
            <v>64</v>
          </cell>
        </row>
        <row r="58">
          <cell r="B58" t="str">
            <v>C4342J30</v>
          </cell>
          <cell r="C58">
            <v>79</v>
          </cell>
          <cell r="G58">
            <v>83</v>
          </cell>
          <cell r="H58">
            <v>79</v>
          </cell>
        </row>
        <row r="59">
          <cell r="B59" t="str">
            <v>C4345J20</v>
          </cell>
          <cell r="C59">
            <v>63</v>
          </cell>
          <cell r="G59">
            <v>66</v>
          </cell>
          <cell r="H59">
            <v>63</v>
          </cell>
        </row>
        <row r="60">
          <cell r="B60" t="str">
            <v>C4345J30</v>
          </cell>
          <cell r="C60">
            <v>79</v>
          </cell>
          <cell r="G60">
            <v>82</v>
          </cell>
          <cell r="H60">
            <v>79</v>
          </cell>
        </row>
        <row r="61">
          <cell r="B61" t="str">
            <v>C4346J20</v>
          </cell>
          <cell r="C61">
            <v>68</v>
          </cell>
          <cell r="E61">
            <v>71</v>
          </cell>
          <cell r="I61">
            <v>68</v>
          </cell>
        </row>
        <row r="62">
          <cell r="B62" t="str">
            <v>C4346J30</v>
          </cell>
          <cell r="C62">
            <v>84</v>
          </cell>
          <cell r="E62">
            <v>87</v>
          </cell>
          <cell r="I62">
            <v>84</v>
          </cell>
        </row>
        <row r="63">
          <cell r="B63" t="str">
            <v>C4348J20</v>
          </cell>
          <cell r="C63">
            <v>62</v>
          </cell>
          <cell r="G63">
            <v>65</v>
          </cell>
          <cell r="H63">
            <v>62</v>
          </cell>
        </row>
        <row r="64">
          <cell r="B64" t="str">
            <v>C4348J30</v>
          </cell>
          <cell r="C64">
            <v>77</v>
          </cell>
          <cell r="G64">
            <v>81</v>
          </cell>
          <cell r="H64">
            <v>77</v>
          </cell>
        </row>
        <row r="65">
          <cell r="B65" t="str">
            <v>C5225J20</v>
          </cell>
          <cell r="C65">
            <v>76</v>
          </cell>
          <cell r="E65">
            <v>81</v>
          </cell>
          <cell r="I65">
            <v>76</v>
          </cell>
        </row>
        <row r="66">
          <cell r="B66" t="str">
            <v>C5225J30</v>
          </cell>
          <cell r="C66">
            <v>91</v>
          </cell>
          <cell r="E66">
            <v>96</v>
          </cell>
          <cell r="I66">
            <v>91</v>
          </cell>
        </row>
        <row r="67">
          <cell r="B67" t="str">
            <v>C5240J20</v>
          </cell>
          <cell r="C67">
            <v>63</v>
          </cell>
          <cell r="F67">
            <v>66</v>
          </cell>
          <cell r="I67">
            <v>63</v>
          </cell>
        </row>
        <row r="68">
          <cell r="B68" t="str">
            <v>C5240J30</v>
          </cell>
          <cell r="C68">
            <v>77</v>
          </cell>
          <cell r="F68">
            <v>81</v>
          </cell>
          <cell r="I68">
            <v>77</v>
          </cell>
        </row>
        <row r="69">
          <cell r="B69" t="str">
            <v>C5340J20</v>
          </cell>
          <cell r="C69">
            <v>62</v>
          </cell>
          <cell r="G69">
            <v>64</v>
          </cell>
          <cell r="H69">
            <v>62</v>
          </cell>
        </row>
        <row r="70">
          <cell r="B70" t="str">
            <v>C5340J30</v>
          </cell>
          <cell r="C70">
            <v>77</v>
          </cell>
          <cell r="G70">
            <v>80</v>
          </cell>
          <cell r="H70">
            <v>77</v>
          </cell>
        </row>
        <row r="71">
          <cell r="B71" t="str">
            <v>C5366J20</v>
          </cell>
          <cell r="C71">
            <v>63</v>
          </cell>
          <cell r="G71">
            <v>66</v>
          </cell>
          <cell r="H71">
            <v>63</v>
          </cell>
        </row>
        <row r="72">
          <cell r="B72" t="str">
            <v>C5366J30</v>
          </cell>
          <cell r="C72">
            <v>78</v>
          </cell>
          <cell r="G72">
            <v>81</v>
          </cell>
          <cell r="H72">
            <v>78</v>
          </cell>
        </row>
        <row r="73">
          <cell r="B73" t="str">
            <v>C5445J20</v>
          </cell>
          <cell r="C73">
            <v>61</v>
          </cell>
          <cell r="G73">
            <v>63</v>
          </cell>
          <cell r="H73">
            <v>61</v>
          </cell>
        </row>
        <row r="74">
          <cell r="B74" t="str">
            <v>C5445J30</v>
          </cell>
          <cell r="C74">
            <v>76</v>
          </cell>
          <cell r="G74">
            <v>79</v>
          </cell>
          <cell r="H74">
            <v>76</v>
          </cell>
        </row>
        <row r="75">
          <cell r="B75" t="str">
            <v>F4238J20</v>
          </cell>
          <cell r="C75">
            <v>84</v>
          </cell>
          <cell r="E75">
            <v>85</v>
          </cell>
          <cell r="I75">
            <v>84</v>
          </cell>
        </row>
        <row r="76">
          <cell r="B76" t="str">
            <v>F4238J30</v>
          </cell>
          <cell r="C76">
            <v>101</v>
          </cell>
          <cell r="E76">
            <v>103</v>
          </cell>
          <cell r="I76">
            <v>101</v>
          </cell>
        </row>
        <row r="77">
          <cell r="B77" t="str">
            <v>F4270J20</v>
          </cell>
          <cell r="C77">
            <v>0</v>
          </cell>
          <cell r="E77">
            <v>84</v>
          </cell>
        </row>
        <row r="78">
          <cell r="B78" t="str">
            <v>F4270J30</v>
          </cell>
          <cell r="C78">
            <v>0</v>
          </cell>
          <cell r="E78">
            <v>102</v>
          </cell>
        </row>
        <row r="79">
          <cell r="B79" t="str">
            <v>F5233J20</v>
          </cell>
          <cell r="C79">
            <v>82</v>
          </cell>
          <cell r="E79">
            <v>83</v>
          </cell>
          <cell r="I79">
            <v>82</v>
          </cell>
        </row>
        <row r="80">
          <cell r="B80" t="str">
            <v>F5233J30</v>
          </cell>
          <cell r="C80">
            <v>99</v>
          </cell>
          <cell r="E80">
            <v>100</v>
          </cell>
          <cell r="I80">
            <v>99</v>
          </cell>
        </row>
        <row r="81">
          <cell r="B81" t="str">
            <v>F5235J20</v>
          </cell>
          <cell r="C81">
            <v>82</v>
          </cell>
          <cell r="I81">
            <v>82</v>
          </cell>
        </row>
        <row r="82">
          <cell r="B82" t="str">
            <v>F5235J30</v>
          </cell>
          <cell r="C82">
            <v>99</v>
          </cell>
          <cell r="I82">
            <v>99</v>
          </cell>
        </row>
        <row r="83">
          <cell r="B83" t="str">
            <v>F5033J20</v>
          </cell>
          <cell r="C83">
            <v>75</v>
          </cell>
          <cell r="F83">
            <v>79</v>
          </cell>
          <cell r="I83">
            <v>75</v>
          </cell>
        </row>
        <row r="84">
          <cell r="B84" t="str">
            <v>F5033J30</v>
          </cell>
          <cell r="C84">
            <v>92</v>
          </cell>
          <cell r="F84">
            <v>96</v>
          </cell>
          <cell r="I84">
            <v>92</v>
          </cell>
        </row>
        <row r="85">
          <cell r="B85" t="str">
            <v>F1005J20</v>
          </cell>
          <cell r="C85">
            <v>64</v>
          </cell>
          <cell r="D85">
            <v>62</v>
          </cell>
          <cell r="H85">
            <v>64</v>
          </cell>
        </row>
        <row r="86">
          <cell r="B86" t="str">
            <v>F1005J30</v>
          </cell>
          <cell r="C86">
            <v>82</v>
          </cell>
          <cell r="D86">
            <v>80</v>
          </cell>
          <cell r="H86">
            <v>82</v>
          </cell>
        </row>
        <row r="87">
          <cell r="B87" t="str">
            <v>F2104J20</v>
          </cell>
          <cell r="C87">
            <v>66</v>
          </cell>
          <cell r="G87">
            <v>69</v>
          </cell>
          <cell r="H87">
            <v>66</v>
          </cell>
        </row>
        <row r="88">
          <cell r="B88" t="str">
            <v>F2104J30</v>
          </cell>
          <cell r="C88">
            <v>83</v>
          </cell>
          <cell r="G88">
            <v>86</v>
          </cell>
          <cell r="H88">
            <v>83</v>
          </cell>
        </row>
        <row r="89">
          <cell r="B89" t="str">
            <v>F5445J20</v>
          </cell>
          <cell r="C89">
            <v>69</v>
          </cell>
          <cell r="G89">
            <v>72</v>
          </cell>
          <cell r="H89">
            <v>69</v>
          </cell>
        </row>
        <row r="90">
          <cell r="B90" t="str">
            <v>F5445J30</v>
          </cell>
          <cell r="C90">
            <v>86</v>
          </cell>
          <cell r="G90">
            <v>90</v>
          </cell>
          <cell r="H90">
            <v>86</v>
          </cell>
        </row>
        <row r="91">
          <cell r="B91" t="str">
            <v>C5345J20</v>
          </cell>
          <cell r="C91">
            <v>76</v>
          </cell>
          <cell r="I91">
            <v>76</v>
          </cell>
        </row>
        <row r="92">
          <cell r="B92" t="str">
            <v>C5345J30</v>
          </cell>
          <cell r="C92">
            <v>91</v>
          </cell>
          <cell r="I92">
            <v>91</v>
          </cell>
        </row>
        <row r="93">
          <cell r="B93" t="str">
            <v>C5233J20</v>
          </cell>
          <cell r="C93">
            <v>81</v>
          </cell>
          <cell r="I93">
            <v>81</v>
          </cell>
        </row>
        <row r="94">
          <cell r="B94" t="str">
            <v>C5233J30</v>
          </cell>
          <cell r="C94">
            <v>95</v>
          </cell>
          <cell r="I94">
            <v>95</v>
          </cell>
        </row>
        <row r="95">
          <cell r="B95" t="str">
            <v>C5341J20</v>
          </cell>
          <cell r="C95">
            <v>60</v>
          </cell>
          <cell r="H95">
            <v>60</v>
          </cell>
        </row>
        <row r="96">
          <cell r="B96" t="str">
            <v>C5341J30</v>
          </cell>
          <cell r="C96">
            <v>76</v>
          </cell>
          <cell r="H96">
            <v>76</v>
          </cell>
        </row>
        <row r="97">
          <cell r="B97" t="str">
            <v>C3300J20</v>
          </cell>
          <cell r="C97">
            <v>66</v>
          </cell>
          <cell r="I97">
            <v>66</v>
          </cell>
        </row>
        <row r="98">
          <cell r="B98" t="str">
            <v>C3300J30</v>
          </cell>
          <cell r="C98">
            <v>81</v>
          </cell>
          <cell r="I98">
            <v>81</v>
          </cell>
        </row>
        <row r="99">
          <cell r="B99" t="str">
            <v>C4302J20</v>
          </cell>
          <cell r="C99">
            <v>66</v>
          </cell>
          <cell r="I99">
            <v>66</v>
          </cell>
        </row>
        <row r="100">
          <cell r="B100" t="str">
            <v>C4302J30</v>
          </cell>
          <cell r="C100">
            <v>81</v>
          </cell>
          <cell r="I100">
            <v>81</v>
          </cell>
        </row>
        <row r="101">
          <cell r="B101" t="str">
            <v>F4246J20</v>
          </cell>
          <cell r="C101">
            <v>66</v>
          </cell>
          <cell r="H101">
            <v>66</v>
          </cell>
        </row>
        <row r="102">
          <cell r="B102" t="str">
            <v>F4246J30</v>
          </cell>
          <cell r="C102">
            <v>84</v>
          </cell>
          <cell r="H102">
            <v>84</v>
          </cell>
        </row>
        <row r="103">
          <cell r="B103" t="str">
            <v>F4254J20</v>
          </cell>
          <cell r="C103">
            <v>66</v>
          </cell>
          <cell r="H103">
            <v>66</v>
          </cell>
        </row>
        <row r="104">
          <cell r="B104" t="str">
            <v>F4254J30</v>
          </cell>
          <cell r="C104">
            <v>84</v>
          </cell>
          <cell r="H104">
            <v>84</v>
          </cell>
        </row>
        <row r="105">
          <cell r="B105" t="str">
            <v>F1102J20</v>
          </cell>
          <cell r="C105">
            <v>70</v>
          </cell>
          <cell r="H105">
            <v>70</v>
          </cell>
        </row>
        <row r="106">
          <cell r="B106" t="str">
            <v>F1102J30</v>
          </cell>
          <cell r="C106">
            <v>89</v>
          </cell>
          <cell r="H106">
            <v>89</v>
          </cell>
        </row>
        <row r="107">
          <cell r="B107" t="str">
            <v>F2262J20</v>
          </cell>
          <cell r="C107">
            <v>69</v>
          </cell>
          <cell r="I107">
            <v>69</v>
          </cell>
        </row>
        <row r="108">
          <cell r="B108" t="str">
            <v>F2262J30</v>
          </cell>
          <cell r="C108">
            <v>86</v>
          </cell>
          <cell r="I108">
            <v>86</v>
          </cell>
        </row>
        <row r="109">
          <cell r="B109" t="str">
            <v>C5331J20</v>
          </cell>
          <cell r="C109">
            <v>68</v>
          </cell>
          <cell r="I109">
            <v>68</v>
          </cell>
        </row>
        <row r="110">
          <cell r="B110" t="str">
            <v>C5331J30</v>
          </cell>
          <cell r="C110">
            <v>83</v>
          </cell>
          <cell r="I110">
            <v>83</v>
          </cell>
        </row>
        <row r="111">
          <cell r="B111" t="str">
            <v>C2126J20</v>
          </cell>
          <cell r="C111">
            <v>55</v>
          </cell>
          <cell r="H111">
            <v>55</v>
          </cell>
        </row>
        <row r="112">
          <cell r="B112" t="str">
            <v>C2126J30</v>
          </cell>
          <cell r="C112">
            <v>69</v>
          </cell>
          <cell r="H112">
            <v>69</v>
          </cell>
        </row>
        <row r="113">
          <cell r="B113" t="str">
            <v>C4155J20</v>
          </cell>
          <cell r="C113">
            <v>70</v>
          </cell>
          <cell r="I113">
            <v>70</v>
          </cell>
        </row>
        <row r="114">
          <cell r="B114" t="str">
            <v>C4155J30</v>
          </cell>
          <cell r="C114">
            <v>85</v>
          </cell>
          <cell r="I114">
            <v>85</v>
          </cell>
        </row>
        <row r="115">
          <cell r="B115" t="str">
            <v>C4264J20</v>
          </cell>
          <cell r="C115">
            <v>77</v>
          </cell>
          <cell r="I115">
            <v>77</v>
          </cell>
        </row>
        <row r="116">
          <cell r="B116" t="str">
            <v>C4264J30</v>
          </cell>
          <cell r="C116">
            <v>93</v>
          </cell>
          <cell r="I116">
            <v>93</v>
          </cell>
        </row>
        <row r="117">
          <cell r="B117" t="str">
            <v>C2122J20</v>
          </cell>
          <cell r="C117">
            <v>50</v>
          </cell>
          <cell r="H117">
            <v>50</v>
          </cell>
        </row>
        <row r="118">
          <cell r="B118" t="str">
            <v>C2122J30</v>
          </cell>
          <cell r="C118">
            <v>64</v>
          </cell>
          <cell r="H118">
            <v>64</v>
          </cell>
        </row>
        <row r="119">
          <cell r="B119" t="str">
            <v>Giá Pokarna từ $76 đến $140/m2 cho 3cm</v>
          </cell>
        </row>
        <row r="120">
          <cell r="B120" t="str">
            <v>Giá Baba quartz từ $31 đến $87/m2</v>
          </cell>
        </row>
        <row r="121">
          <cell r="B121" t="str">
            <v>Global Stones từ $31 đến $88/m2 ( Mài Breton)</v>
          </cell>
        </row>
        <row r="122">
          <cell r="B122" t="str">
            <v>MARUDHAR QUARTZ từ $49 đến $73/m2 ( nhà máy CA đang mua bên Ấn độ, dây chuyền Breton)</v>
          </cell>
        </row>
        <row r="123">
          <cell r="B123" t="str">
            <v>Glowstone Industries giá từ $24- $94/m2</v>
          </cell>
        </row>
      </sheetData>
      <sheetData sheetId="9" refreshError="1">
        <row r="2">
          <cell r="L2" t="str">
            <v>Giá Phú Sơn tương đương giá T-10</v>
          </cell>
          <cell r="S2" t="str">
            <v>AT chiếm 10%. Khách thường không đàm phán về giá, giá Casla đưa bao nhiêu khách thấy phù hợp giá +màu thì lấy không thì thôi</v>
          </cell>
          <cell r="U2" t="str">
            <v>HS chiếm 5%. Khách yêu cầu giảm 5%, riêng C4345/C4255 cần giảm sâu hơn nếu không sang 2026 khách có kế hoạch bỏ 2 màu này khỏi kệ mẫu. Các màu mới khách đang phát triển màu đẹp nhưng yêu cầu giá chỉ tầm $80/m2 cho 3cm mới lấy, tương đương T-5</v>
          </cell>
          <cell r="W2" t="str">
            <v>DP chiếm 4% . Khách thường không đàm phán về giá, giá Casla đưa bao nhiêu khách thấy phù hợp giá +màu  thì lấy không thì thôi.</v>
          </cell>
          <cell r="Y2" t="str">
            <v>DM chiếm 3%. Khách yêu cầu giảm 5% nếu thuế 20%</v>
          </cell>
          <cell r="AA2" t="str">
            <v>ST chiếm 2%. Khách yêu cầu giảm 10% nếu thuế 20%</v>
          </cell>
          <cell r="AC2" t="str">
            <v>JD chiếm 2%. Khách chờ thông tin giảm giá của Casla</v>
          </cell>
          <cell r="AW2" t="str">
            <v>CA mã tương đương
5141 tương đương 2104
5131 tương đương 4143
1111 tương đương 1102</v>
          </cell>
          <cell r="AZ2" t="str">
            <v>C1102J20</v>
          </cell>
          <cell r="BA2">
            <v>66</v>
          </cell>
        </row>
        <row r="3">
          <cell r="S3">
            <v>1</v>
          </cell>
          <cell r="U3">
            <v>2</v>
          </cell>
          <cell r="W3">
            <v>3</v>
          </cell>
          <cell r="Y3">
            <v>4</v>
          </cell>
          <cell r="AA3">
            <v>5</v>
          </cell>
          <cell r="AC3">
            <v>6</v>
          </cell>
          <cell r="AE3">
            <v>7</v>
          </cell>
          <cell r="AG3" t="str">
            <v>8-9-10-11</v>
          </cell>
          <cell r="AI3">
            <v>12</v>
          </cell>
          <cell r="AK3">
            <v>13</v>
          </cell>
          <cell r="AM3">
            <v>14</v>
          </cell>
          <cell r="AO3">
            <v>15</v>
          </cell>
          <cell r="AQ3" t="str">
            <v>16-17-18</v>
          </cell>
          <cell r="AS3">
            <v>19</v>
          </cell>
          <cell r="AU3">
            <v>20</v>
          </cell>
        </row>
        <row r="4">
          <cell r="B4" t="str">
            <v>Mã hàng</v>
          </cell>
          <cell r="C4" t="str">
            <v>Giá CT(T15)</v>
          </cell>
          <cell r="D4" t="str">
            <v>Giá CT(T-0)</v>
          </cell>
          <cell r="E4" t="str">
            <v>T-10 chung cũ</v>
          </cell>
          <cell r="F4" t="str">
            <v>Giá bán theo NS cập nhật 4.8.2025 và cách tính T mới ( Mỹ)</v>
          </cell>
          <cell r="G4" t="str">
            <v>T-10( &gt;126 tấm)</v>
          </cell>
          <cell r="H4" t="str">
            <v>T-17 ( &lt;80 tấm)</v>
          </cell>
          <cell r="I4" t="str">
            <v>T-15  (&lt;80-100&gt; )</v>
          </cell>
          <cell r="J4" t="str">
            <v>T-13 ( &lt; 101-125&gt;</v>
          </cell>
          <cell r="K4" t="str">
            <v>Giá CT (T-5)</v>
          </cell>
          <cell r="L4" t="str">
            <v>Giá Phú Sơn T5.2025 ( màu tương đương)</v>
          </cell>
          <cell r="M4" t="str">
            <v>Giá vico trước tháng 1-2.2025 ( màu tương đương)</v>
          </cell>
          <cell r="N4" t="str">
            <v>% chênh lệch giá vico với CT T-10</v>
          </cell>
          <cell r="O4" t="str">
            <v>Thông tin vico giảm giá 10% từ 1.7</v>
          </cell>
          <cell r="P4" t="str">
            <v>% chênh lệch T-10 với giá Vico</v>
          </cell>
          <cell r="Q4" t="str">
            <v>Giá luật sư tính</v>
          </cell>
          <cell r="R4" t="str">
            <v>Chênh lệch giá T-10 với giá luật sư</v>
          </cell>
          <cell r="S4" t="str">
            <v>Giá bán cho AT</v>
          </cell>
          <cell r="T4" t="str">
            <v>Chênh lệch giá AT với T10</v>
          </cell>
          <cell r="U4" t="str">
            <v>Giá đang bán cho HS</v>
          </cell>
          <cell r="V4" t="str">
            <v>% chênh lệch giá HS với T10</v>
          </cell>
          <cell r="W4" t="str">
            <v>Giá bán cho DP</v>
          </cell>
          <cell r="X4" t="str">
            <v>% chênh lệch giá DP với T10</v>
          </cell>
          <cell r="Y4" t="str">
            <v>Giá bán cho DM</v>
          </cell>
          <cell r="Z4" t="str">
            <v>% chênh lệch giá DM với giá CT T10</v>
          </cell>
          <cell r="AA4" t="str">
            <v>Giá bán cho ST</v>
          </cell>
          <cell r="AB4" t="str">
            <v>% chênh lệch giá bán ST với giá CT T10</v>
          </cell>
          <cell r="AC4" t="str">
            <v>Giá bán cho JD</v>
          </cell>
          <cell r="AD4" t="str">
            <v>% chênh lệch giá bán JD với giá CT T10</v>
          </cell>
          <cell r="AE4" t="str">
            <v>Giá bán cho TQ</v>
          </cell>
          <cell r="AF4" t="str">
            <v>% chệnh lệch giá TQ với CT T10</v>
          </cell>
          <cell r="AG4" t="str">
            <v>SW/AS/BE/CR</v>
          </cell>
          <cell r="AI4" t="str">
            <v>OH</v>
          </cell>
          <cell r="AK4" t="str">
            <v>SC</v>
          </cell>
          <cell r="AM4" t="str">
            <v>ET</v>
          </cell>
          <cell r="AO4" t="str">
            <v>CM</v>
          </cell>
          <cell r="AQ4" t="str">
            <v xml:space="preserve">QT/RP/GQ
</v>
          </cell>
          <cell r="AS4" t="str">
            <v>VE</v>
          </cell>
          <cell r="AU4" t="str">
            <v>QN</v>
          </cell>
          <cell r="AW4" t="str">
            <v>Giá đang bán CA</v>
          </cell>
          <cell r="AX4" t="str">
            <v>% chênh lệch so với CT T-10</v>
          </cell>
          <cell r="AY4" t="str">
            <v>Giá bán ngoài Mỹ</v>
          </cell>
          <cell r="AZ4" t="str">
            <v>Giá bán theo NS cập nhật 4.8.2025 và cách tính T mới ( ngoài Mỹ)</v>
          </cell>
          <cell r="BA4" t="str">
            <v>So sánh giá đang bán với giá bán theo NS/T mới 4.8</v>
          </cell>
          <cell r="BB4" t="str">
            <v>T-5 (&lt;80)</v>
          </cell>
          <cell r="BC4" t="str">
            <v>T-2 (&gt;100)</v>
          </cell>
          <cell r="BE4" t="str">
            <v>So sánh giá ngoài Mỹ và T-5</v>
          </cell>
          <cell r="BF4" t="str">
            <v>Giá công ty đang duyệt bán Mỹ trước 10.4</v>
          </cell>
          <cell r="BG4" t="str">
            <v>Giá duyệt bán giảm 5% cho khách từ ngày 10.4.2025( Mỹ)</v>
          </cell>
          <cell r="BH4" t="str">
            <v>So sánh giá mới với giá CT duyệt ngày 10.4</v>
          </cell>
          <cell r="BI4" t="str">
            <v>Đề xuất giảm giá theo công thức tính T-10. So sánh chênh lệch với giá hiện tại</v>
          </cell>
          <cell r="BJ4" t="str">
            <v>Chênh lệch giá duyệt bán với giá công thức T15</v>
          </cell>
          <cell r="BK4" t="str">
            <v>Chênh lệch( giá Công thức  T-0 với giá bán Mỹ)</v>
          </cell>
          <cell r="BL4" t="str">
            <v>Chênh lệch( giá Công thức T-15 với giá bán Mỹ)</v>
          </cell>
          <cell r="BM4" t="str">
            <v>Năng suất</v>
          </cell>
          <cell r="BN4" t="str">
            <v>Chất lượng          (A-B_-C)</v>
          </cell>
          <cell r="BO4" t="str">
            <v>Ghi chú</v>
          </cell>
          <cell r="BP4" t="str">
            <v>Ghi chú</v>
          </cell>
        </row>
        <row r="5">
          <cell r="B5" t="str">
            <v>C1005J20</v>
          </cell>
          <cell r="C5">
            <v>59</v>
          </cell>
          <cell r="D5">
            <v>51</v>
          </cell>
          <cell r="E5">
            <v>56</v>
          </cell>
          <cell r="F5">
            <v>61</v>
          </cell>
          <cell r="G5">
            <v>61</v>
          </cell>
          <cell r="K5">
            <v>53</v>
          </cell>
          <cell r="L5">
            <v>56</v>
          </cell>
          <cell r="M5">
            <v>61</v>
          </cell>
          <cell r="N5">
            <v>8.9285714285714191E-2</v>
          </cell>
          <cell r="O5">
            <v>54.9</v>
          </cell>
          <cell r="P5">
            <v>2.0036429872495543E-2</v>
          </cell>
          <cell r="Q5">
            <v>55.357142857142854</v>
          </cell>
          <cell r="R5">
            <v>1.1612903225806548E-2</v>
          </cell>
          <cell r="U5">
            <v>56</v>
          </cell>
          <cell r="V5">
            <v>0</v>
          </cell>
          <cell r="W5">
            <v>58</v>
          </cell>
          <cell r="X5">
            <v>3.5714285714285809E-2</v>
          </cell>
          <cell r="Y5">
            <v>0</v>
          </cell>
          <cell r="AA5">
            <v>57.95</v>
          </cell>
          <cell r="AB5">
            <v>3.4821428571428559E-2</v>
          </cell>
          <cell r="AC5">
            <v>0</v>
          </cell>
          <cell r="AE5">
            <v>58</v>
          </cell>
          <cell r="AF5">
            <v>3.5714285714285809E-2</v>
          </cell>
          <cell r="AG5">
            <v>58.5</v>
          </cell>
          <cell r="AH5">
            <v>4.4642857142857206E-2</v>
          </cell>
          <cell r="AI5">
            <v>0</v>
          </cell>
          <cell r="AK5">
            <v>0</v>
          </cell>
          <cell r="AM5">
            <v>0</v>
          </cell>
          <cell r="AQ5">
            <v>0</v>
          </cell>
          <cell r="AS5">
            <v>0</v>
          </cell>
          <cell r="AU5">
            <v>59</v>
          </cell>
          <cell r="AV5">
            <v>5.3571428571428603E-2</v>
          </cell>
          <cell r="AY5">
            <v>52</v>
          </cell>
          <cell r="AZ5">
            <v>56</v>
          </cell>
          <cell r="BA5">
            <v>7.6923076923076872E-2</v>
          </cell>
          <cell r="BC5">
            <v>56</v>
          </cell>
          <cell r="BD5">
            <v>-7.1428571428571397E-2</v>
          </cell>
          <cell r="BE5">
            <v>-1.8867924528301883E-2</v>
          </cell>
          <cell r="BF5">
            <v>61</v>
          </cell>
          <cell r="BG5">
            <v>57.949999999999996</v>
          </cell>
          <cell r="BH5">
            <v>5.2631578947368585E-2</v>
          </cell>
          <cell r="BI5">
            <v>-3.3649698015530527E-2</v>
          </cell>
          <cell r="BJ5">
            <v>3.3898305084745672E-2</v>
          </cell>
          <cell r="BK5">
            <v>-0.16393442622950816</v>
          </cell>
          <cell r="BL5">
            <v>-3.2786885245901676E-2</v>
          </cell>
          <cell r="BM5" t="str">
            <v>180 tấm/ca</v>
          </cell>
          <cell r="BN5" t="str">
            <v>95-0-5</v>
          </cell>
        </row>
        <row r="6">
          <cell r="B6" t="str">
            <v>C1005J30</v>
          </cell>
          <cell r="C6">
            <v>75</v>
          </cell>
          <cell r="D6">
            <v>66</v>
          </cell>
          <cell r="E6">
            <v>72</v>
          </cell>
          <cell r="F6">
            <v>77</v>
          </cell>
          <cell r="G6">
            <v>77</v>
          </cell>
          <cell r="K6">
            <v>69</v>
          </cell>
          <cell r="L6">
            <v>67</v>
          </cell>
          <cell r="M6">
            <v>72</v>
          </cell>
          <cell r="N6">
            <v>0</v>
          </cell>
          <cell r="O6">
            <v>64.8</v>
          </cell>
          <cell r="P6">
            <v>-0.10000000000000009</v>
          </cell>
          <cell r="Q6">
            <v>75.247524752475243</v>
          </cell>
          <cell r="R6">
            <v>-4.3157894736842062E-2</v>
          </cell>
          <cell r="U6">
            <v>70</v>
          </cell>
          <cell r="V6">
            <v>-2.777777777777779E-2</v>
          </cell>
          <cell r="W6">
            <v>72</v>
          </cell>
          <cell r="X6">
            <v>0</v>
          </cell>
          <cell r="Y6">
            <v>0</v>
          </cell>
          <cell r="AA6">
            <v>72.2</v>
          </cell>
          <cell r="AB6">
            <v>2.7777777777777679E-3</v>
          </cell>
          <cell r="AC6">
            <v>0</v>
          </cell>
          <cell r="AE6">
            <v>72</v>
          </cell>
          <cell r="AF6">
            <v>0</v>
          </cell>
          <cell r="AG6">
            <v>73</v>
          </cell>
          <cell r="AH6">
            <v>1.388888888888884E-2</v>
          </cell>
          <cell r="AI6">
            <v>0</v>
          </cell>
          <cell r="AK6">
            <v>0</v>
          </cell>
          <cell r="AM6">
            <v>0</v>
          </cell>
          <cell r="AO6">
            <v>72.2</v>
          </cell>
          <cell r="AP6">
            <v>2.7777777777777679E-3</v>
          </cell>
          <cell r="AQ6">
            <v>0</v>
          </cell>
          <cell r="AS6">
            <v>0</v>
          </cell>
          <cell r="AU6">
            <v>73</v>
          </cell>
          <cell r="AV6">
            <v>1.388888888888884E-2</v>
          </cell>
          <cell r="AY6">
            <v>65</v>
          </cell>
          <cell r="AZ6">
            <v>72</v>
          </cell>
          <cell r="BA6">
            <v>0.10769230769230775</v>
          </cell>
          <cell r="BC6">
            <v>72</v>
          </cell>
          <cell r="BD6">
            <v>-9.722222222222221E-2</v>
          </cell>
          <cell r="BE6">
            <v>-5.7971014492753659E-2</v>
          </cell>
          <cell r="BF6">
            <v>76</v>
          </cell>
          <cell r="BG6">
            <v>72.2</v>
          </cell>
          <cell r="BH6">
            <v>6.6481994459833826E-2</v>
          </cell>
          <cell r="BI6">
            <v>-2.7700831024931594E-3</v>
          </cell>
          <cell r="BJ6">
            <v>1.3333333333333419E-2</v>
          </cell>
          <cell r="BK6">
            <v>-0.13157894736842102</v>
          </cell>
          <cell r="BL6">
            <v>-1.3157894736842146E-2</v>
          </cell>
          <cell r="BM6" t="str">
            <v>180 tấm/ca</v>
          </cell>
          <cell r="BN6" t="str">
            <v>95-0-5</v>
          </cell>
        </row>
        <row r="7">
          <cell r="B7" t="str">
            <v>C1102J20</v>
          </cell>
          <cell r="C7">
            <v>68</v>
          </cell>
          <cell r="D7">
            <v>59</v>
          </cell>
          <cell r="E7">
            <v>65</v>
          </cell>
          <cell r="F7">
            <v>71</v>
          </cell>
          <cell r="G7">
            <v>71</v>
          </cell>
          <cell r="K7">
            <v>62</v>
          </cell>
          <cell r="M7">
            <v>77</v>
          </cell>
          <cell r="N7">
            <v>0.18461538461538463</v>
          </cell>
          <cell r="O7">
            <v>69.3</v>
          </cell>
          <cell r="P7">
            <v>6.6153846153846008E-2</v>
          </cell>
          <cell r="Q7">
            <v>59.83606557377049</v>
          </cell>
          <cell r="R7">
            <v>8.6301369863013733E-2</v>
          </cell>
          <cell r="S7">
            <v>67</v>
          </cell>
          <cell r="T7">
            <v>3.076923076923066E-2</v>
          </cell>
          <cell r="U7">
            <v>65</v>
          </cell>
          <cell r="V7">
            <v>0</v>
          </cell>
          <cell r="W7">
            <v>67</v>
          </cell>
          <cell r="X7">
            <v>3.076923076923066E-2</v>
          </cell>
          <cell r="Y7">
            <v>68</v>
          </cell>
          <cell r="Z7">
            <v>4.6153846153846212E-2</v>
          </cell>
          <cell r="AA7">
            <v>67.45</v>
          </cell>
          <cell r="AB7">
            <v>3.7692307692307692E-2</v>
          </cell>
          <cell r="AC7">
            <v>0</v>
          </cell>
          <cell r="AE7">
            <v>69</v>
          </cell>
          <cell r="AF7">
            <v>6.1538461538461542E-2</v>
          </cell>
          <cell r="AG7">
            <v>68</v>
          </cell>
          <cell r="AH7">
            <v>4.6153846153846212E-2</v>
          </cell>
          <cell r="AI7">
            <v>68</v>
          </cell>
          <cell r="AJ7">
            <v>4.6153846153846212E-2</v>
          </cell>
          <cell r="AK7">
            <v>0</v>
          </cell>
          <cell r="AQ7">
            <v>69</v>
          </cell>
          <cell r="AR7">
            <v>6.1538461538461542E-2</v>
          </cell>
          <cell r="AS7">
            <v>0</v>
          </cell>
          <cell r="AU7">
            <v>0</v>
          </cell>
          <cell r="AW7">
            <v>58</v>
          </cell>
          <cell r="AX7">
            <v>-0.10769230769230764</v>
          </cell>
          <cell r="AY7">
            <v>62</v>
          </cell>
          <cell r="AZ7">
            <v>66</v>
          </cell>
          <cell r="BA7">
            <v>6.4516129032258007E-2</v>
          </cell>
          <cell r="BC7">
            <v>66</v>
          </cell>
          <cell r="BD7">
            <v>-4.6153846153846101E-2</v>
          </cell>
          <cell r="BE7">
            <v>0</v>
          </cell>
          <cell r="BF7">
            <v>70</v>
          </cell>
          <cell r="BG7">
            <v>66.5</v>
          </cell>
          <cell r="BH7">
            <v>6.7669172932330879E-2</v>
          </cell>
          <cell r="BI7">
            <v>-2.2556390977443663E-2</v>
          </cell>
          <cell r="BJ7">
            <v>2.9411764705882248E-2</v>
          </cell>
          <cell r="BK7">
            <v>-0.15714285714285714</v>
          </cell>
          <cell r="BL7">
            <v>-2.8571428571428581E-2</v>
          </cell>
          <cell r="BM7" t="str">
            <v>180 tấm/ca</v>
          </cell>
          <cell r="BN7" t="str">
            <v>95-0-5</v>
          </cell>
        </row>
        <row r="8">
          <cell r="B8" t="str">
            <v>C1102J30</v>
          </cell>
          <cell r="C8">
            <v>87</v>
          </cell>
          <cell r="D8">
            <v>76</v>
          </cell>
          <cell r="E8">
            <v>83</v>
          </cell>
          <cell r="F8">
            <v>90</v>
          </cell>
          <cell r="G8">
            <v>90</v>
          </cell>
          <cell r="K8">
            <v>80</v>
          </cell>
          <cell r="M8">
            <v>91</v>
          </cell>
          <cell r="N8">
            <v>9.6385542168674787E-2</v>
          </cell>
          <cell r="O8">
            <v>81.900000000000006</v>
          </cell>
          <cell r="P8">
            <v>-1.3253012048192736E-2</v>
          </cell>
          <cell r="Q8">
            <v>81.081081081081081</v>
          </cell>
          <cell r="R8">
            <v>2.3666666666666725E-2</v>
          </cell>
          <cell r="S8">
            <v>81</v>
          </cell>
          <cell r="T8">
            <v>-2.4096385542168641E-2</v>
          </cell>
          <cell r="U8">
            <v>78.5</v>
          </cell>
          <cell r="V8">
            <v>-5.4216867469879526E-2</v>
          </cell>
          <cell r="W8">
            <v>81</v>
          </cell>
          <cell r="X8">
            <v>-2.4096385542168641E-2</v>
          </cell>
          <cell r="Y8">
            <v>83</v>
          </cell>
          <cell r="Z8">
            <v>0</v>
          </cell>
          <cell r="AA8">
            <v>81.7</v>
          </cell>
          <cell r="AB8">
            <v>-1.5662650602409567E-2</v>
          </cell>
          <cell r="AC8">
            <v>0</v>
          </cell>
          <cell r="AE8">
            <v>84</v>
          </cell>
          <cell r="AF8">
            <v>1.2048192771084265E-2</v>
          </cell>
          <cell r="AG8">
            <v>83</v>
          </cell>
          <cell r="AH8">
            <v>0</v>
          </cell>
          <cell r="AI8">
            <v>82</v>
          </cell>
          <cell r="AJ8">
            <v>-1.2048192771084376E-2</v>
          </cell>
          <cell r="AK8">
            <v>0</v>
          </cell>
          <cell r="AM8">
            <v>83</v>
          </cell>
          <cell r="AN8">
            <v>0</v>
          </cell>
          <cell r="AO8">
            <v>81.7</v>
          </cell>
          <cell r="AP8">
            <v>-1.5662650602409567E-2</v>
          </cell>
          <cell r="AQ8">
            <v>85.5</v>
          </cell>
          <cell r="AR8">
            <v>3.0120481927710774E-2</v>
          </cell>
          <cell r="AS8">
            <v>0</v>
          </cell>
          <cell r="AU8">
            <v>0</v>
          </cell>
          <cell r="AW8">
            <v>76</v>
          </cell>
          <cell r="AX8">
            <v>-8.4337349397590411E-2</v>
          </cell>
          <cell r="AY8">
            <v>77</v>
          </cell>
          <cell r="AZ8">
            <v>84</v>
          </cell>
          <cell r="BA8">
            <v>9.0909090909090828E-2</v>
          </cell>
          <cell r="BC8">
            <v>84</v>
          </cell>
          <cell r="BD8">
            <v>-7.2289156626506035E-2</v>
          </cell>
          <cell r="BE8">
            <v>-3.7499999999999978E-2</v>
          </cell>
          <cell r="BF8">
            <v>85</v>
          </cell>
          <cell r="BG8">
            <v>80.75</v>
          </cell>
          <cell r="BH8">
            <v>0.11455108359133126</v>
          </cell>
          <cell r="BI8">
            <v>2.7863777089783381E-2</v>
          </cell>
          <cell r="BJ8">
            <v>-2.2988505747126409E-2</v>
          </cell>
          <cell r="BK8">
            <v>-0.10588235294117643</v>
          </cell>
          <cell r="BL8">
            <v>2.3529411764705799E-2</v>
          </cell>
          <cell r="BM8" t="str">
            <v>180 tấm/ca</v>
          </cell>
          <cell r="BN8" t="str">
            <v>95-0-5</v>
          </cell>
        </row>
        <row r="9">
          <cell r="B9" t="str">
            <v>C1205J20</v>
          </cell>
          <cell r="C9">
            <v>63</v>
          </cell>
          <cell r="D9">
            <v>55</v>
          </cell>
          <cell r="E9">
            <v>61</v>
          </cell>
          <cell r="F9">
            <v>58</v>
          </cell>
          <cell r="G9">
            <v>58</v>
          </cell>
          <cell r="K9">
            <v>59</v>
          </cell>
          <cell r="O9">
            <v>0</v>
          </cell>
          <cell r="Q9">
            <v>57.89473684210526</v>
          </cell>
          <cell r="R9">
            <v>5.3636363636363704E-2</v>
          </cell>
          <cell r="S9">
            <v>73</v>
          </cell>
          <cell r="T9">
            <v>0.19672131147540983</v>
          </cell>
          <cell r="U9">
            <v>0</v>
          </cell>
          <cell r="W9">
            <v>0</v>
          </cell>
          <cell r="Y9">
            <v>0</v>
          </cell>
          <cell r="AA9">
            <v>73.149999999999991</v>
          </cell>
          <cell r="AB9">
            <v>0.19918032786885242</v>
          </cell>
          <cell r="AE9">
            <v>0</v>
          </cell>
          <cell r="AG9">
            <v>0</v>
          </cell>
          <cell r="AK9">
            <v>0</v>
          </cell>
          <cell r="AM9">
            <v>0</v>
          </cell>
          <cell r="AQ9">
            <v>73.5</v>
          </cell>
          <cell r="AR9">
            <v>0.20491803278688514</v>
          </cell>
          <cell r="AS9">
            <v>0</v>
          </cell>
          <cell r="AU9">
            <v>74</v>
          </cell>
          <cell r="AV9">
            <v>0.21311475409836067</v>
          </cell>
          <cell r="AY9">
            <v>65</v>
          </cell>
          <cell r="AZ9">
            <v>54</v>
          </cell>
          <cell r="BA9">
            <v>-0.16923076923076918</v>
          </cell>
          <cell r="BC9">
            <v>54</v>
          </cell>
          <cell r="BD9">
            <v>6.5573770491803351E-2</v>
          </cell>
          <cell r="BE9">
            <v>0.10169491525423724</v>
          </cell>
          <cell r="BF9">
            <v>77</v>
          </cell>
          <cell r="BG9">
            <v>73.149999999999991</v>
          </cell>
          <cell r="BH9">
            <v>-0.20710868079289124</v>
          </cell>
          <cell r="BI9">
            <v>-0.16609706083390285</v>
          </cell>
          <cell r="BJ9">
            <v>0.22222222222222232</v>
          </cell>
          <cell r="BK9">
            <v>-0.2857142857142857</v>
          </cell>
          <cell r="BL9">
            <v>-0.18181818181818177</v>
          </cell>
          <cell r="BM9" t="str">
            <v>130 tấm/ca</v>
          </cell>
          <cell r="BN9" t="str">
            <v>95-0-5</v>
          </cell>
        </row>
        <row r="10">
          <cell r="B10" t="str">
            <v>C1205J30</v>
          </cell>
          <cell r="C10">
            <v>79</v>
          </cell>
          <cell r="D10">
            <v>69</v>
          </cell>
          <cell r="E10">
            <v>77</v>
          </cell>
          <cell r="F10">
            <v>73</v>
          </cell>
          <cell r="G10">
            <v>73</v>
          </cell>
          <cell r="K10">
            <v>74</v>
          </cell>
          <cell r="O10">
            <v>0</v>
          </cell>
          <cell r="Q10">
            <v>78.991596638655466</v>
          </cell>
          <cell r="R10">
            <v>-2.5212765957446814E-2</v>
          </cell>
          <cell r="S10">
            <v>86</v>
          </cell>
          <cell r="T10">
            <v>0.11688311688311681</v>
          </cell>
          <cell r="U10">
            <v>0</v>
          </cell>
          <cell r="W10">
            <v>0</v>
          </cell>
          <cell r="Y10">
            <v>0</v>
          </cell>
          <cell r="AA10">
            <v>85.5</v>
          </cell>
          <cell r="AB10">
            <v>0.11038961038961048</v>
          </cell>
          <cell r="AC10">
            <v>86.45</v>
          </cell>
          <cell r="AD10">
            <v>0.1227272727272728</v>
          </cell>
          <cell r="AE10">
            <v>0</v>
          </cell>
          <cell r="AG10">
            <v>0</v>
          </cell>
          <cell r="AI10">
            <v>86</v>
          </cell>
          <cell r="AJ10">
            <v>0.11688311688311681</v>
          </cell>
          <cell r="AK10">
            <v>0</v>
          </cell>
          <cell r="AM10">
            <v>0</v>
          </cell>
          <cell r="AO10">
            <v>85.5</v>
          </cell>
          <cell r="AP10">
            <v>0.11038961038961048</v>
          </cell>
          <cell r="AQ10">
            <v>85.5</v>
          </cell>
          <cell r="AR10">
            <v>0.11038961038961048</v>
          </cell>
          <cell r="AS10">
            <v>0</v>
          </cell>
          <cell r="AU10">
            <v>87</v>
          </cell>
          <cell r="AV10">
            <v>0.12987012987012991</v>
          </cell>
          <cell r="AY10">
            <v>77</v>
          </cell>
          <cell r="AZ10">
            <v>68</v>
          </cell>
          <cell r="BA10">
            <v>-0.11688311688311692</v>
          </cell>
          <cell r="BC10">
            <v>68</v>
          </cell>
          <cell r="BD10">
            <v>0</v>
          </cell>
          <cell r="BE10">
            <v>4.0540540540540571E-2</v>
          </cell>
          <cell r="BF10">
            <v>90</v>
          </cell>
          <cell r="BG10">
            <v>85.5</v>
          </cell>
          <cell r="BH10">
            <v>-0.14619883040935677</v>
          </cell>
          <cell r="BI10">
            <v>-9.9415204678362623E-2</v>
          </cell>
          <cell r="BJ10">
            <v>0.139240506329114</v>
          </cell>
          <cell r="BK10">
            <v>-0.23333333333333328</v>
          </cell>
          <cell r="BL10">
            <v>-0.12222222222222223</v>
          </cell>
          <cell r="BM10" t="str">
            <v>130 tấm/ca</v>
          </cell>
          <cell r="BN10" t="str">
            <v>95-0-5</v>
          </cell>
        </row>
        <row r="11">
          <cell r="B11" t="str">
            <v>C2104J20</v>
          </cell>
          <cell r="C11">
            <v>62</v>
          </cell>
          <cell r="D11">
            <v>54</v>
          </cell>
          <cell r="E11">
            <v>59</v>
          </cell>
          <cell r="F11">
            <v>58</v>
          </cell>
          <cell r="G11">
            <v>58</v>
          </cell>
          <cell r="K11">
            <v>57</v>
          </cell>
          <cell r="L11">
            <v>57</v>
          </cell>
          <cell r="M11">
            <v>61</v>
          </cell>
          <cell r="N11">
            <v>3.3898305084745672E-2</v>
          </cell>
          <cell r="O11">
            <v>54.9</v>
          </cell>
          <cell r="P11">
            <v>-6.9491525423728828E-2</v>
          </cell>
          <cell r="Q11">
            <v>52.066115702479337</v>
          </cell>
          <cell r="R11">
            <v>0.13317460317460328</v>
          </cell>
          <cell r="S11">
            <v>60</v>
          </cell>
          <cell r="T11">
            <v>1.6949152542372836E-2</v>
          </cell>
          <cell r="U11">
            <v>0</v>
          </cell>
          <cell r="W11">
            <v>0</v>
          </cell>
          <cell r="Y11">
            <v>60</v>
          </cell>
          <cell r="Z11">
            <v>1.6949152542372836E-2</v>
          </cell>
          <cell r="AA11">
            <v>0</v>
          </cell>
          <cell r="AC11">
            <v>59.849999999999994</v>
          </cell>
          <cell r="AD11">
            <v>1.4406779661016778E-2</v>
          </cell>
          <cell r="AE11">
            <v>0</v>
          </cell>
          <cell r="AG11">
            <v>60.5</v>
          </cell>
          <cell r="AH11">
            <v>2.5423728813559254E-2</v>
          </cell>
          <cell r="AI11">
            <v>60</v>
          </cell>
          <cell r="AJ11">
            <v>1.6949152542372836E-2</v>
          </cell>
          <cell r="AK11">
            <v>0</v>
          </cell>
          <cell r="AM11">
            <v>0</v>
          </cell>
          <cell r="AQ11">
            <v>60.5</v>
          </cell>
          <cell r="AR11">
            <v>2.5423728813559254E-2</v>
          </cell>
          <cell r="AS11">
            <v>0</v>
          </cell>
          <cell r="AU11">
            <v>61</v>
          </cell>
          <cell r="AV11">
            <v>3.3898305084745672E-2</v>
          </cell>
          <cell r="AW11">
            <v>56.5</v>
          </cell>
          <cell r="AX11">
            <v>-4.2372881355932202E-2</v>
          </cell>
          <cell r="AY11">
            <v>54</v>
          </cell>
          <cell r="AZ11">
            <v>54</v>
          </cell>
          <cell r="BA11">
            <v>0</v>
          </cell>
          <cell r="BC11">
            <v>54</v>
          </cell>
          <cell r="BD11">
            <v>-8.4745762711864403E-2</v>
          </cell>
          <cell r="BE11">
            <v>-5.2631578947368474E-2</v>
          </cell>
          <cell r="BF11">
            <v>63</v>
          </cell>
          <cell r="BG11">
            <v>59.849999999999994</v>
          </cell>
          <cell r="BH11">
            <v>-3.0910609857978222E-2</v>
          </cell>
          <cell r="BI11">
            <v>-1.4202172096908883E-2</v>
          </cell>
          <cell r="BJ11">
            <v>1.6129032258064502E-2</v>
          </cell>
          <cell r="BK11">
            <v>-0.1428571428571429</v>
          </cell>
          <cell r="BL11">
            <v>-1.5873015873015928E-2</v>
          </cell>
          <cell r="BM11" t="str">
            <v>120 tấm/Ca</v>
          </cell>
          <cell r="BN11" t="str">
            <v>95-0-5</v>
          </cell>
        </row>
        <row r="12">
          <cell r="B12" t="str">
            <v>C2104J30</v>
          </cell>
          <cell r="C12">
            <v>77</v>
          </cell>
          <cell r="D12">
            <v>68</v>
          </cell>
          <cell r="E12">
            <v>74</v>
          </cell>
          <cell r="F12">
            <v>73</v>
          </cell>
          <cell r="G12">
            <v>73</v>
          </cell>
          <cell r="K12">
            <v>71</v>
          </cell>
          <cell r="L12">
            <v>67</v>
          </cell>
          <cell r="M12">
            <v>79</v>
          </cell>
          <cell r="N12">
            <v>6.7567567567567544E-2</v>
          </cell>
          <cell r="O12">
            <v>71.100000000000009</v>
          </cell>
          <cell r="P12">
            <v>-3.9189189189189122E-2</v>
          </cell>
          <cell r="Q12">
            <v>70.09345794392523</v>
          </cell>
          <cell r="R12">
            <v>5.5733333333333412E-2</v>
          </cell>
          <cell r="S12">
            <v>71</v>
          </cell>
          <cell r="T12">
            <v>-4.0540540540540571E-2</v>
          </cell>
          <cell r="U12">
            <v>0</v>
          </cell>
          <cell r="W12">
            <v>0</v>
          </cell>
          <cell r="Y12">
            <v>71.5</v>
          </cell>
          <cell r="Z12">
            <v>-3.3783783783783772E-2</v>
          </cell>
          <cell r="AA12">
            <v>0</v>
          </cell>
          <cell r="AC12">
            <v>73.149999999999991</v>
          </cell>
          <cell r="AD12">
            <v>-1.1486486486486647E-2</v>
          </cell>
          <cell r="AE12">
            <v>0</v>
          </cell>
          <cell r="AG12">
            <v>71.5</v>
          </cell>
          <cell r="AH12">
            <v>-3.3783783783783772E-2</v>
          </cell>
          <cell r="AI12">
            <v>72</v>
          </cell>
          <cell r="AJ12">
            <v>-2.7027027027026973E-2</v>
          </cell>
          <cell r="AK12">
            <v>0</v>
          </cell>
          <cell r="AM12">
            <v>72</v>
          </cell>
          <cell r="AN12">
            <v>-2.7027027027026973E-2</v>
          </cell>
          <cell r="AO12">
            <v>71.25</v>
          </cell>
          <cell r="AP12">
            <v>-3.7162162162162171E-2</v>
          </cell>
          <cell r="AQ12">
            <v>71.5</v>
          </cell>
          <cell r="AR12">
            <v>-3.3783783783783772E-2</v>
          </cell>
          <cell r="AS12">
            <v>0</v>
          </cell>
          <cell r="AU12">
            <v>72</v>
          </cell>
          <cell r="AV12">
            <v>-2.7027027027026973E-2</v>
          </cell>
          <cell r="AW12">
            <v>70</v>
          </cell>
          <cell r="AX12">
            <v>-5.4054054054054057E-2</v>
          </cell>
          <cell r="AY12">
            <v>64</v>
          </cell>
          <cell r="AZ12">
            <v>68</v>
          </cell>
          <cell r="BA12">
            <v>6.25E-2</v>
          </cell>
          <cell r="BC12">
            <v>68</v>
          </cell>
          <cell r="BD12">
            <v>-0.13513513513513509</v>
          </cell>
          <cell r="BE12">
            <v>-9.8591549295774628E-2</v>
          </cell>
          <cell r="BF12">
            <v>75</v>
          </cell>
          <cell r="BG12">
            <v>71.25</v>
          </cell>
          <cell r="BH12">
            <v>2.4561403508772006E-2</v>
          </cell>
          <cell r="BI12">
            <v>3.8596491228070073E-2</v>
          </cell>
          <cell r="BJ12">
            <v>-2.5974025974025983E-2</v>
          </cell>
          <cell r="BK12">
            <v>-9.3333333333333379E-2</v>
          </cell>
          <cell r="BL12">
            <v>2.6666666666666616E-2</v>
          </cell>
          <cell r="BM12" t="str">
            <v>120 tấm/Ca</v>
          </cell>
          <cell r="BN12" t="str">
            <v>95-0-5</v>
          </cell>
        </row>
        <row r="13">
          <cell r="B13" t="str">
            <v>C2262J20</v>
          </cell>
          <cell r="C13">
            <v>64</v>
          </cell>
          <cell r="D13">
            <v>56</v>
          </cell>
          <cell r="E13">
            <v>62</v>
          </cell>
          <cell r="F13">
            <v>63</v>
          </cell>
          <cell r="H13">
            <v>63</v>
          </cell>
          <cell r="K13">
            <v>59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76</v>
          </cell>
          <cell r="AB13">
            <v>0.22580645161290325</v>
          </cell>
          <cell r="AC13">
            <v>76</v>
          </cell>
          <cell r="AD13">
            <v>0.22580645161290325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Y13">
            <v>62</v>
          </cell>
          <cell r="AZ13">
            <v>56</v>
          </cell>
          <cell r="BA13">
            <v>-9.6774193548387122E-2</v>
          </cell>
          <cell r="BB13">
            <v>56</v>
          </cell>
          <cell r="BD13">
            <v>0</v>
          </cell>
          <cell r="BE13">
            <v>5.0847457627118731E-2</v>
          </cell>
          <cell r="BF13">
            <v>80</v>
          </cell>
          <cell r="BG13">
            <v>76</v>
          </cell>
          <cell r="BH13">
            <v>-0.17105263157894735</v>
          </cell>
          <cell r="BI13">
            <v>-0.18421052631578949</v>
          </cell>
          <cell r="BJ13">
            <v>0.25</v>
          </cell>
          <cell r="BK13">
            <v>-0.30000000000000004</v>
          </cell>
          <cell r="BL13">
            <v>-0.19999999999999996</v>
          </cell>
          <cell r="BM13" t="str">
            <v>80 tấm/ca</v>
          </cell>
          <cell r="BN13" t="str">
            <v>90-0-10</v>
          </cell>
          <cell r="BO13" t="str">
            <v>NVL từ cát đà nẵng giá rẻ 1.500VNĐ/kg. Giá duyệt bán cao do luật sư tính giá cao cho NVL này</v>
          </cell>
        </row>
        <row r="14">
          <cell r="B14" t="str">
            <v>C2262J30</v>
          </cell>
          <cell r="C14">
            <v>77</v>
          </cell>
          <cell r="D14">
            <v>68</v>
          </cell>
          <cell r="E14">
            <v>74</v>
          </cell>
          <cell r="F14">
            <v>75</v>
          </cell>
          <cell r="H14">
            <v>75</v>
          </cell>
          <cell r="K14">
            <v>71</v>
          </cell>
          <cell r="O14">
            <v>0</v>
          </cell>
          <cell r="Q14">
            <v>89.247311827956992</v>
          </cell>
          <cell r="R14">
            <v>-0.17084337349397594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90.25</v>
          </cell>
          <cell r="AB14">
            <v>0.21959459459459452</v>
          </cell>
          <cell r="AC14">
            <v>92.149999999999991</v>
          </cell>
          <cell r="AD14">
            <v>0.24527027027027026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0</v>
          </cell>
          <cell r="AY14">
            <v>74</v>
          </cell>
          <cell r="AZ14">
            <v>68</v>
          </cell>
          <cell r="BA14">
            <v>-8.108108108108103E-2</v>
          </cell>
          <cell r="BB14">
            <v>68</v>
          </cell>
          <cell r="BD14">
            <v>0</v>
          </cell>
          <cell r="BE14">
            <v>4.2253521126760507E-2</v>
          </cell>
          <cell r="BF14">
            <v>95</v>
          </cell>
          <cell r="BG14">
            <v>90.25</v>
          </cell>
          <cell r="BH14">
            <v>-0.16897506925207761</v>
          </cell>
          <cell r="BI14">
            <v>-0.18005540166204981</v>
          </cell>
          <cell r="BJ14">
            <v>0.23376623376623384</v>
          </cell>
          <cell r="BK14">
            <v>-0.28421052631578947</v>
          </cell>
          <cell r="BL14">
            <v>-0.18947368421052635</v>
          </cell>
          <cell r="BM14" t="str">
            <v>80 tấm/ca</v>
          </cell>
          <cell r="BN14" t="str">
            <v>90-0-10</v>
          </cell>
        </row>
        <row r="15">
          <cell r="B15" t="str">
            <v>C3105J20</v>
          </cell>
          <cell r="C15">
            <v>59</v>
          </cell>
          <cell r="D15">
            <v>51</v>
          </cell>
          <cell r="E15">
            <v>56</v>
          </cell>
          <cell r="F15">
            <v>62</v>
          </cell>
          <cell r="G15">
            <v>62</v>
          </cell>
          <cell r="K15">
            <v>54</v>
          </cell>
          <cell r="O15">
            <v>0</v>
          </cell>
          <cell r="Q15">
            <v>0</v>
          </cell>
          <cell r="S15">
            <v>0</v>
          </cell>
          <cell r="U15">
            <v>62</v>
          </cell>
          <cell r="V15">
            <v>0.10714285714285721</v>
          </cell>
          <cell r="W15">
            <v>0</v>
          </cell>
          <cell r="Y15">
            <v>0</v>
          </cell>
          <cell r="AA15">
            <v>0</v>
          </cell>
          <cell r="AC15">
            <v>63.65</v>
          </cell>
          <cell r="AD15">
            <v>0.13660714285714293</v>
          </cell>
          <cell r="AE15">
            <v>64</v>
          </cell>
          <cell r="AF15">
            <v>0.14285714285714279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  <cell r="AQ15">
            <v>0</v>
          </cell>
          <cell r="AS15">
            <v>0</v>
          </cell>
          <cell r="AU15">
            <v>0</v>
          </cell>
          <cell r="AY15">
            <v>59</v>
          </cell>
          <cell r="AZ15">
            <v>57</v>
          </cell>
          <cell r="BA15">
            <v>-3.3898305084745783E-2</v>
          </cell>
          <cell r="BC15">
            <v>57</v>
          </cell>
          <cell r="BD15">
            <v>5.3571428571428603E-2</v>
          </cell>
          <cell r="BE15">
            <v>9.259259259259256E-2</v>
          </cell>
          <cell r="BF15">
            <v>63</v>
          </cell>
          <cell r="BG15">
            <v>59.849999999999994</v>
          </cell>
          <cell r="BH15">
            <v>3.5923141186299246E-2</v>
          </cell>
          <cell r="BI15">
            <v>-6.43274853801169E-2</v>
          </cell>
          <cell r="BJ15">
            <v>6.7796610169491567E-2</v>
          </cell>
          <cell r="BK15">
            <v>-0.19047619047619047</v>
          </cell>
          <cell r="BL15">
            <v>-6.3492063492063489E-2</v>
          </cell>
          <cell r="BM15" t="str">
            <v>140 tấm/ca</v>
          </cell>
          <cell r="BN15" t="str">
            <v>95-0-5</v>
          </cell>
        </row>
        <row r="16">
          <cell r="B16" t="str">
            <v>C3105J30</v>
          </cell>
          <cell r="C16">
            <v>74</v>
          </cell>
          <cell r="D16">
            <v>65</v>
          </cell>
          <cell r="E16">
            <v>71</v>
          </cell>
          <cell r="F16">
            <v>77</v>
          </cell>
          <cell r="G16">
            <v>77</v>
          </cell>
          <cell r="K16">
            <v>68</v>
          </cell>
          <cell r="O16">
            <v>0</v>
          </cell>
          <cell r="Q16">
            <v>70.33898305084746</v>
          </cell>
          <cell r="R16">
            <v>9.3975903614458289E-3</v>
          </cell>
          <cell r="S16">
            <v>0</v>
          </cell>
          <cell r="U16">
            <v>75</v>
          </cell>
          <cell r="V16">
            <v>5.6338028169014009E-2</v>
          </cell>
          <cell r="W16">
            <v>0</v>
          </cell>
          <cell r="Y16">
            <v>0</v>
          </cell>
          <cell r="AA16">
            <v>0</v>
          </cell>
          <cell r="AC16">
            <v>77.899999999999991</v>
          </cell>
          <cell r="AD16">
            <v>9.7183098591549166E-2</v>
          </cell>
          <cell r="AE16">
            <v>77</v>
          </cell>
          <cell r="AF16">
            <v>8.4507042253521236E-2</v>
          </cell>
          <cell r="AG16">
            <v>0</v>
          </cell>
          <cell r="AI16">
            <v>0</v>
          </cell>
          <cell r="AK16">
            <v>77</v>
          </cell>
          <cell r="AL16">
            <v>8.4507042253521236E-2</v>
          </cell>
          <cell r="AM16">
            <v>77</v>
          </cell>
          <cell r="AN16">
            <v>8.4507042253521236E-2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Y16">
            <v>72</v>
          </cell>
          <cell r="AZ16">
            <v>72</v>
          </cell>
          <cell r="BA16">
            <v>0</v>
          </cell>
          <cell r="BC16">
            <v>72</v>
          </cell>
          <cell r="BD16">
            <v>1.4084507042253502E-2</v>
          </cell>
          <cell r="BE16">
            <v>5.8823529411764719E-2</v>
          </cell>
          <cell r="BF16">
            <v>76</v>
          </cell>
          <cell r="BG16">
            <v>72.2</v>
          </cell>
          <cell r="BH16">
            <v>6.6481994459833826E-2</v>
          </cell>
          <cell r="BI16">
            <v>-1.6620498614958512E-2</v>
          </cell>
          <cell r="BJ16">
            <v>2.7027027027026973E-2</v>
          </cell>
          <cell r="BK16">
            <v>-0.14473684210526316</v>
          </cell>
          <cell r="BL16">
            <v>-2.6315789473684181E-2</v>
          </cell>
          <cell r="BM16" t="str">
            <v>140 tấm/ca</v>
          </cell>
          <cell r="BN16" t="str">
            <v>95-0-5</v>
          </cell>
        </row>
        <row r="17">
          <cell r="B17" t="str">
            <v>C3146J20</v>
          </cell>
          <cell r="C17">
            <v>58</v>
          </cell>
          <cell r="D17">
            <v>50</v>
          </cell>
          <cell r="E17">
            <v>55</v>
          </cell>
          <cell r="F17">
            <v>56</v>
          </cell>
          <cell r="G17">
            <v>56</v>
          </cell>
          <cell r="K17">
            <v>53</v>
          </cell>
          <cell r="O17">
            <v>0</v>
          </cell>
          <cell r="Q17">
            <v>53.174603174603178</v>
          </cell>
          <cell r="R17">
            <v>3.4328358208955079E-2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63.65</v>
          </cell>
          <cell r="AD17">
            <v>0.15727272727272723</v>
          </cell>
          <cell r="AE17">
            <v>64</v>
          </cell>
          <cell r="AF17">
            <v>0.16363636363636358</v>
          </cell>
          <cell r="AG17">
            <v>63</v>
          </cell>
          <cell r="AH17">
            <v>0.1454545454545455</v>
          </cell>
          <cell r="AI17">
            <v>0</v>
          </cell>
          <cell r="AK17">
            <v>0</v>
          </cell>
          <cell r="AM17">
            <v>0</v>
          </cell>
          <cell r="AO17">
            <v>0</v>
          </cell>
          <cell r="AQ17">
            <v>64</v>
          </cell>
          <cell r="AR17">
            <v>0.16363636363636358</v>
          </cell>
          <cell r="AS17">
            <v>64</v>
          </cell>
          <cell r="AT17">
            <v>0.16363636363636358</v>
          </cell>
          <cell r="AU17">
            <v>0</v>
          </cell>
          <cell r="AY17">
            <v>59</v>
          </cell>
          <cell r="AZ17">
            <v>52</v>
          </cell>
          <cell r="BA17">
            <v>-0.11864406779661019</v>
          </cell>
          <cell r="BC17">
            <v>52</v>
          </cell>
          <cell r="BD17">
            <v>7.2727272727272751E-2</v>
          </cell>
          <cell r="BE17">
            <v>0.1132075471698113</v>
          </cell>
          <cell r="BF17">
            <v>63</v>
          </cell>
          <cell r="BG17">
            <v>59.849999999999994</v>
          </cell>
          <cell r="BH17">
            <v>-6.43274853801169E-2</v>
          </cell>
          <cell r="BI17">
            <v>-8.1035923141186239E-2</v>
          </cell>
          <cell r="BJ17">
            <v>8.6206896551724199E-2</v>
          </cell>
          <cell r="BK17">
            <v>-0.20634920634920639</v>
          </cell>
          <cell r="BL17">
            <v>-7.9365079365079416E-2</v>
          </cell>
          <cell r="BM17" t="str">
            <v>140 tấm/ca</v>
          </cell>
          <cell r="BN17" t="str">
            <v>95-0-5</v>
          </cell>
        </row>
        <row r="18">
          <cell r="B18" t="str">
            <v>C3146J30</v>
          </cell>
          <cell r="C18">
            <v>72</v>
          </cell>
          <cell r="D18">
            <v>64</v>
          </cell>
          <cell r="E18">
            <v>69</v>
          </cell>
          <cell r="F18">
            <v>70</v>
          </cell>
          <cell r="G18">
            <v>70</v>
          </cell>
          <cell r="K18">
            <v>67</v>
          </cell>
          <cell r="O18">
            <v>0</v>
          </cell>
          <cell r="Q18">
            <v>70.689655172413794</v>
          </cell>
          <cell r="R18">
            <v>-2.3902439024390265E-2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77.899999999999991</v>
          </cell>
          <cell r="AD18">
            <v>0.12898550724637659</v>
          </cell>
          <cell r="AE18">
            <v>77</v>
          </cell>
          <cell r="AF18">
            <v>0.11594202898550732</v>
          </cell>
          <cell r="AG18">
            <v>75</v>
          </cell>
          <cell r="AH18">
            <v>8.6956521739130377E-2</v>
          </cell>
          <cell r="AI18">
            <v>0</v>
          </cell>
          <cell r="AK18">
            <v>77</v>
          </cell>
          <cell r="AL18">
            <v>0.11594202898550732</v>
          </cell>
          <cell r="AM18">
            <v>0</v>
          </cell>
          <cell r="AO18">
            <v>0</v>
          </cell>
          <cell r="AQ18">
            <v>77</v>
          </cell>
          <cell r="AR18">
            <v>0.11594202898550732</v>
          </cell>
          <cell r="AS18">
            <v>77</v>
          </cell>
          <cell r="AT18">
            <v>0.11594202898550732</v>
          </cell>
          <cell r="AU18">
            <v>0</v>
          </cell>
          <cell r="AY18">
            <v>72</v>
          </cell>
          <cell r="AZ18">
            <v>66</v>
          </cell>
          <cell r="BA18">
            <v>-8.333333333333337E-2</v>
          </cell>
          <cell r="BC18">
            <v>66</v>
          </cell>
          <cell r="BD18">
            <v>4.3478260869565188E-2</v>
          </cell>
          <cell r="BE18">
            <v>7.4626865671641784E-2</v>
          </cell>
          <cell r="BF18">
            <v>76</v>
          </cell>
          <cell r="BG18">
            <v>72.2</v>
          </cell>
          <cell r="BH18">
            <v>-3.0470914127423865E-2</v>
          </cell>
          <cell r="BI18">
            <v>-4.4321329639889218E-2</v>
          </cell>
          <cell r="BJ18">
            <v>5.555555555555558E-2</v>
          </cell>
          <cell r="BK18">
            <v>-0.15789473684210531</v>
          </cell>
          <cell r="BL18">
            <v>-5.2631578947368474E-2</v>
          </cell>
          <cell r="BM18" t="str">
            <v>140 tấm/ca</v>
          </cell>
          <cell r="BN18" t="str">
            <v>95-0-5</v>
          </cell>
        </row>
        <row r="19">
          <cell r="B19" t="str">
            <v>C3269J20</v>
          </cell>
          <cell r="C19">
            <v>48</v>
          </cell>
          <cell r="D19">
            <v>42</v>
          </cell>
          <cell r="E19">
            <v>46</v>
          </cell>
          <cell r="F19">
            <v>46</v>
          </cell>
          <cell r="G19">
            <v>46</v>
          </cell>
          <cell r="K19">
            <v>44</v>
          </cell>
          <cell r="O19">
            <v>0</v>
          </cell>
          <cell r="Q19">
            <v>68.674698795180731</v>
          </cell>
          <cell r="R19">
            <v>-0.33017543859649134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E19">
            <v>66</v>
          </cell>
          <cell r="AF19">
            <v>0.43478260869565211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  <cell r="AQ19">
            <v>0</v>
          </cell>
          <cell r="AS19">
            <v>0</v>
          </cell>
          <cell r="AU19">
            <v>0</v>
          </cell>
          <cell r="AY19">
            <v>52</v>
          </cell>
          <cell r="AZ19">
            <v>43</v>
          </cell>
          <cell r="BA19">
            <v>-0.17307692307692313</v>
          </cell>
          <cell r="BC19">
            <v>43</v>
          </cell>
          <cell r="BD19">
            <v>0.13043478260869557</v>
          </cell>
          <cell r="BE19">
            <v>0.18181818181818188</v>
          </cell>
          <cell r="BF19">
            <v>69</v>
          </cell>
          <cell r="BG19">
            <v>65.55</v>
          </cell>
          <cell r="BH19">
            <v>-0.29824561403508765</v>
          </cell>
          <cell r="BI19">
            <v>-0.29824561403508765</v>
          </cell>
          <cell r="BJ19">
            <v>0.4375</v>
          </cell>
          <cell r="BK19">
            <v>-0.39130434782608692</v>
          </cell>
          <cell r="BL19">
            <v>-0.30434782608695654</v>
          </cell>
          <cell r="BM19" t="str">
            <v>170 tấm/ca</v>
          </cell>
          <cell r="BN19" t="str">
            <v>95-0-5</v>
          </cell>
          <cell r="BO19" t="str">
            <v>NVL từ cát đà nẵng giá rẻ 1.500VNĐ/kg. Giá duyệt bán cao do luật sư tính giá cao cho NVL này</v>
          </cell>
        </row>
        <row r="20">
          <cell r="B20" t="str">
            <v>C3269J30</v>
          </cell>
          <cell r="C20">
            <v>61</v>
          </cell>
          <cell r="D20">
            <v>54</v>
          </cell>
          <cell r="E20">
            <v>58</v>
          </cell>
          <cell r="F20">
            <v>58</v>
          </cell>
          <cell r="G20">
            <v>58</v>
          </cell>
          <cell r="K20">
            <v>56</v>
          </cell>
          <cell r="O20">
            <v>0</v>
          </cell>
          <cell r="Q20">
            <v>95.890410958904113</v>
          </cell>
          <cell r="R20">
            <v>-0.39514285714285713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E20">
            <v>91</v>
          </cell>
          <cell r="AF20">
            <v>0.56896551724137923</v>
          </cell>
          <cell r="AG20">
            <v>0</v>
          </cell>
          <cell r="AI20">
            <v>0</v>
          </cell>
          <cell r="AK20">
            <v>0</v>
          </cell>
          <cell r="AM20">
            <v>0</v>
          </cell>
          <cell r="AO20">
            <v>0</v>
          </cell>
          <cell r="AQ20">
            <v>0</v>
          </cell>
          <cell r="AS20">
            <v>0</v>
          </cell>
          <cell r="AU20">
            <v>0</v>
          </cell>
          <cell r="AY20">
            <v>64</v>
          </cell>
          <cell r="AZ20">
            <v>55</v>
          </cell>
          <cell r="BA20">
            <v>-0.140625</v>
          </cell>
          <cell r="BC20">
            <v>55</v>
          </cell>
          <cell r="BD20">
            <v>0.10344827586206895</v>
          </cell>
          <cell r="BE20">
            <v>0.14285714285714279</v>
          </cell>
          <cell r="BF20">
            <v>96</v>
          </cell>
          <cell r="BG20">
            <v>91.199999999999989</v>
          </cell>
          <cell r="BH20">
            <v>-0.36403508771929816</v>
          </cell>
          <cell r="BI20">
            <v>-0.36403508771929816</v>
          </cell>
          <cell r="BJ20">
            <v>0.57377049180327866</v>
          </cell>
          <cell r="BK20">
            <v>-0.4375</v>
          </cell>
          <cell r="BL20">
            <v>-0.36458333333333337</v>
          </cell>
          <cell r="BM20" t="str">
            <v>170 tấm/ca</v>
          </cell>
          <cell r="BN20" t="str">
            <v>95-0-5</v>
          </cell>
        </row>
        <row r="21">
          <cell r="B21" t="str">
            <v>C3346J20</v>
          </cell>
          <cell r="C21">
            <v>69</v>
          </cell>
          <cell r="D21">
            <v>60</v>
          </cell>
          <cell r="E21">
            <v>66</v>
          </cell>
          <cell r="F21">
            <v>65</v>
          </cell>
          <cell r="J21">
            <v>65</v>
          </cell>
          <cell r="K21">
            <v>63</v>
          </cell>
          <cell r="O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59.849999999999994</v>
          </cell>
          <cell r="AD21">
            <v>-9.3181818181818254E-2</v>
          </cell>
          <cell r="AE21">
            <v>60</v>
          </cell>
          <cell r="AF21">
            <v>-9.0909090909090939E-2</v>
          </cell>
          <cell r="AG21">
            <v>63</v>
          </cell>
          <cell r="AH21">
            <v>-4.5454545454545414E-2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Y21">
            <v>60</v>
          </cell>
          <cell r="AZ21">
            <v>58</v>
          </cell>
          <cell r="BA21">
            <v>-3.3333333333333326E-2</v>
          </cell>
          <cell r="BC21">
            <v>58</v>
          </cell>
          <cell r="BD21">
            <v>-9.0909090909090939E-2</v>
          </cell>
          <cell r="BE21">
            <v>-4.7619047619047672E-2</v>
          </cell>
          <cell r="BF21">
            <v>63</v>
          </cell>
          <cell r="BG21">
            <v>59.849999999999994</v>
          </cell>
          <cell r="BH21">
            <v>8.6048454469507263E-2</v>
          </cell>
          <cell r="BI21">
            <v>0.1027568922305766</v>
          </cell>
          <cell r="BJ21">
            <v>-8.6956521739130488E-2</v>
          </cell>
          <cell r="BK21">
            <v>-4.7619047619047672E-2</v>
          </cell>
          <cell r="BL21">
            <v>9.5238095238095344E-2</v>
          </cell>
          <cell r="BM21" t="str">
            <v>80 tấm/ca</v>
          </cell>
          <cell r="BN21" t="str">
            <v>95-0-5</v>
          </cell>
          <cell r="BO21" t="str">
            <v>Năng suất thực tế thấp hơn nhiều so với dự kiến</v>
          </cell>
        </row>
        <row r="22">
          <cell r="B22" t="str">
            <v>C3346J30</v>
          </cell>
          <cell r="C22">
            <v>84</v>
          </cell>
          <cell r="D22">
            <v>74</v>
          </cell>
          <cell r="E22">
            <v>81</v>
          </cell>
          <cell r="F22">
            <v>80</v>
          </cell>
          <cell r="J22">
            <v>80</v>
          </cell>
          <cell r="K22">
            <v>77</v>
          </cell>
          <cell r="O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77.899999999999991</v>
          </cell>
          <cell r="AD22">
            <v>-3.8271604938271753E-2</v>
          </cell>
          <cell r="AE22">
            <v>76</v>
          </cell>
          <cell r="AF22">
            <v>-6.1728395061728447E-2</v>
          </cell>
          <cell r="AG22">
            <v>78.5</v>
          </cell>
          <cell r="AH22">
            <v>-3.0864197530864224E-2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Y22">
            <v>75</v>
          </cell>
          <cell r="AZ22">
            <v>72</v>
          </cell>
          <cell r="BA22">
            <v>-4.0000000000000036E-2</v>
          </cell>
          <cell r="BC22">
            <v>72</v>
          </cell>
          <cell r="BD22">
            <v>-7.407407407407407E-2</v>
          </cell>
          <cell r="BE22">
            <v>-2.5974025974025983E-2</v>
          </cell>
          <cell r="BF22">
            <v>80</v>
          </cell>
          <cell r="BG22">
            <v>76</v>
          </cell>
          <cell r="BH22">
            <v>5.2631578947368363E-2</v>
          </cell>
          <cell r="BI22">
            <v>6.578947368421062E-2</v>
          </cell>
          <cell r="BJ22">
            <v>-4.7619047619047672E-2</v>
          </cell>
          <cell r="BK22">
            <v>-7.4999999999999956E-2</v>
          </cell>
          <cell r="BL22">
            <v>5.0000000000000044E-2</v>
          </cell>
          <cell r="BM22" t="str">
            <v>80 tấm/ca</v>
          </cell>
          <cell r="BN22" t="str">
            <v>95-0-5</v>
          </cell>
        </row>
        <row r="23">
          <cell r="B23" t="str">
            <v>C3311J20</v>
          </cell>
          <cell r="C23">
            <v>58</v>
          </cell>
          <cell r="D23">
            <v>51</v>
          </cell>
          <cell r="E23">
            <v>55</v>
          </cell>
          <cell r="F23">
            <v>59</v>
          </cell>
          <cell r="J23">
            <v>59</v>
          </cell>
          <cell r="K23">
            <v>53</v>
          </cell>
          <cell r="O23">
            <v>0</v>
          </cell>
          <cell r="Q23">
            <v>56.20437956204379</v>
          </cell>
          <cell r="R23">
            <v>-2.1428571428571352E-2</v>
          </cell>
          <cell r="S23">
            <v>68</v>
          </cell>
          <cell r="T23">
            <v>0.23636363636363633</v>
          </cell>
          <cell r="U23">
            <v>65</v>
          </cell>
          <cell r="V23">
            <v>0.18181818181818188</v>
          </cell>
          <cell r="W23">
            <v>0</v>
          </cell>
          <cell r="Y23">
            <v>67</v>
          </cell>
          <cell r="Z23">
            <v>0.21818181818181825</v>
          </cell>
          <cell r="AA23">
            <v>0</v>
          </cell>
          <cell r="AC23">
            <v>66.5</v>
          </cell>
          <cell r="AD23">
            <v>0.20909090909090899</v>
          </cell>
          <cell r="AE23">
            <v>67</v>
          </cell>
          <cell r="AF23">
            <v>0.21818181818181825</v>
          </cell>
          <cell r="AG23">
            <v>67.5</v>
          </cell>
          <cell r="AH23">
            <v>0.22727272727272729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  <cell r="AQ23">
            <v>68</v>
          </cell>
          <cell r="AR23">
            <v>0.23636363636363633</v>
          </cell>
          <cell r="AS23">
            <v>0</v>
          </cell>
          <cell r="AU23">
            <v>0</v>
          </cell>
          <cell r="AY23">
            <v>60</v>
          </cell>
          <cell r="AZ23">
            <v>53</v>
          </cell>
          <cell r="BA23">
            <v>-0.1166666666666667</v>
          </cell>
          <cell r="BC23">
            <v>53</v>
          </cell>
          <cell r="BD23">
            <v>9.0909090909090828E-2</v>
          </cell>
          <cell r="BE23">
            <v>0.13207547169811318</v>
          </cell>
          <cell r="BF23">
            <v>70</v>
          </cell>
          <cell r="BG23">
            <v>66.5</v>
          </cell>
          <cell r="BH23">
            <v>-0.11278195488721809</v>
          </cell>
          <cell r="BI23">
            <v>-0.17293233082706772</v>
          </cell>
          <cell r="BJ23">
            <v>0.2068965517241379</v>
          </cell>
          <cell r="BK23">
            <v>-0.27142857142857146</v>
          </cell>
          <cell r="BL23">
            <v>-0.17142857142857137</v>
          </cell>
          <cell r="BM23" t="str">
            <v>140 tấm/ca</v>
          </cell>
          <cell r="BN23" t="str">
            <v>95-0-5</v>
          </cell>
        </row>
        <row r="24">
          <cell r="B24" t="str">
            <v>C3311J30</v>
          </cell>
          <cell r="C24">
            <v>73</v>
          </cell>
          <cell r="D24">
            <v>64</v>
          </cell>
          <cell r="E24">
            <v>70</v>
          </cell>
          <cell r="F24">
            <v>73</v>
          </cell>
          <cell r="J24">
            <v>73</v>
          </cell>
          <cell r="K24">
            <v>67</v>
          </cell>
          <cell r="O24">
            <v>0</v>
          </cell>
          <cell r="Q24">
            <v>72.65625</v>
          </cell>
          <cell r="R24">
            <v>-3.6559139784946182E-2</v>
          </cell>
          <cell r="S24">
            <v>83</v>
          </cell>
          <cell r="T24">
            <v>0.18571428571428572</v>
          </cell>
          <cell r="U24">
            <v>80.5</v>
          </cell>
          <cell r="V24">
            <v>0.14999999999999991</v>
          </cell>
          <cell r="W24">
            <v>0</v>
          </cell>
          <cell r="Y24">
            <v>83.5</v>
          </cell>
          <cell r="Z24">
            <v>0.19285714285714284</v>
          </cell>
          <cell r="AA24">
            <v>0</v>
          </cell>
          <cell r="AB24">
            <v>0.15062365591397842</v>
          </cell>
          <cell r="AC24">
            <v>83.6</v>
          </cell>
          <cell r="AD24">
            <v>0.19428571428571417</v>
          </cell>
          <cell r="AE24">
            <v>83</v>
          </cell>
          <cell r="AF24">
            <v>0.18571428571428572</v>
          </cell>
          <cell r="AG24">
            <v>83.5</v>
          </cell>
          <cell r="AH24">
            <v>0.19285714285714284</v>
          </cell>
          <cell r="AI24">
            <v>0</v>
          </cell>
          <cell r="AK24">
            <v>0</v>
          </cell>
          <cell r="AM24">
            <v>0</v>
          </cell>
          <cell r="AO24">
            <v>0</v>
          </cell>
          <cell r="AQ24">
            <v>83.5</v>
          </cell>
          <cell r="AR24">
            <v>0.19285714285714284</v>
          </cell>
          <cell r="AS24">
            <v>0</v>
          </cell>
          <cell r="AU24">
            <v>0</v>
          </cell>
          <cell r="AY24">
            <v>74</v>
          </cell>
          <cell r="AZ24">
            <v>67</v>
          </cell>
          <cell r="BA24">
            <v>-9.4594594594594628E-2</v>
          </cell>
          <cell r="BC24">
            <v>67</v>
          </cell>
          <cell r="BD24">
            <v>5.7142857142857162E-2</v>
          </cell>
          <cell r="BE24">
            <v>0.10447761194029859</v>
          </cell>
          <cell r="BF24">
            <v>87</v>
          </cell>
          <cell r="BG24">
            <v>82.649999999999991</v>
          </cell>
          <cell r="BH24">
            <v>-0.11675741076829993</v>
          </cell>
          <cell r="BI24">
            <v>-0.15305505142165754</v>
          </cell>
          <cell r="BJ24">
            <v>0.19178082191780832</v>
          </cell>
          <cell r="BK24">
            <v>-0.26436781609195403</v>
          </cell>
          <cell r="BL24">
            <v>-0.16091954022988508</v>
          </cell>
          <cell r="BM24" t="str">
            <v>140 tấm/ca</v>
          </cell>
          <cell r="BN24" t="str">
            <v>95-0-5</v>
          </cell>
        </row>
        <row r="25">
          <cell r="B25" t="str">
            <v>C4111J20</v>
          </cell>
          <cell r="C25">
            <v>76</v>
          </cell>
          <cell r="D25">
            <v>67</v>
          </cell>
          <cell r="E25">
            <v>73</v>
          </cell>
          <cell r="F25">
            <v>78</v>
          </cell>
          <cell r="H25">
            <v>78</v>
          </cell>
          <cell r="K25">
            <v>70</v>
          </cell>
          <cell r="O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86</v>
          </cell>
          <cell r="AF25">
            <v>0.17808219178082196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Y25">
            <v>70</v>
          </cell>
          <cell r="AZ25">
            <v>70</v>
          </cell>
          <cell r="BA25">
            <v>0</v>
          </cell>
          <cell r="BB25">
            <v>70</v>
          </cell>
          <cell r="BD25">
            <v>-4.1095890410958957E-2</v>
          </cell>
          <cell r="BE25">
            <v>0</v>
          </cell>
          <cell r="BF25">
            <v>76</v>
          </cell>
          <cell r="BG25">
            <v>72.2</v>
          </cell>
          <cell r="BH25">
            <v>8.0332409972299068E-2</v>
          </cell>
          <cell r="BI25">
            <v>1.1080332409972193E-2</v>
          </cell>
          <cell r="BJ25">
            <v>0</v>
          </cell>
          <cell r="BK25">
            <v>-0.11842105263157898</v>
          </cell>
          <cell r="BL25">
            <v>0</v>
          </cell>
          <cell r="BM25" t="str">
            <v>70 tấm/ca</v>
          </cell>
          <cell r="BN25" t="str">
            <v>95-0-5</v>
          </cell>
          <cell r="BO25" t="str">
            <v>màu mới tính theo giá T15</v>
          </cell>
          <cell r="BP25" t="str">
            <v>Màu mới</v>
          </cell>
        </row>
        <row r="26">
          <cell r="B26" t="str">
            <v>C4111J30</v>
          </cell>
          <cell r="C26">
            <v>92</v>
          </cell>
          <cell r="D26">
            <v>81</v>
          </cell>
          <cell r="E26">
            <v>89</v>
          </cell>
          <cell r="F26">
            <v>94</v>
          </cell>
          <cell r="H26">
            <v>94</v>
          </cell>
          <cell r="K26">
            <v>85</v>
          </cell>
          <cell r="O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100</v>
          </cell>
          <cell r="AF26">
            <v>0.12359550561797761</v>
          </cell>
          <cell r="AG26">
            <v>0</v>
          </cell>
          <cell r="AI26">
            <v>0</v>
          </cell>
          <cell r="AK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Y26">
            <v>85</v>
          </cell>
          <cell r="AZ26">
            <v>85</v>
          </cell>
          <cell r="BA26">
            <v>0</v>
          </cell>
          <cell r="BB26">
            <v>85</v>
          </cell>
          <cell r="BD26">
            <v>-4.49438202247191E-2</v>
          </cell>
          <cell r="BE26">
            <v>0</v>
          </cell>
          <cell r="BF26">
            <v>92</v>
          </cell>
          <cell r="BG26">
            <v>87.399999999999991</v>
          </cell>
          <cell r="BH26">
            <v>7.551487414187652E-2</v>
          </cell>
          <cell r="BI26">
            <v>1.830663615560657E-2</v>
          </cell>
          <cell r="BJ26">
            <v>0</v>
          </cell>
          <cell r="BK26">
            <v>-0.11956521739130432</v>
          </cell>
          <cell r="BL26">
            <v>0</v>
          </cell>
          <cell r="BM26" t="str">
            <v>70 tấm/ca</v>
          </cell>
          <cell r="BN26" t="str">
            <v>95-0-5</v>
          </cell>
        </row>
        <row r="27">
          <cell r="B27" t="str">
            <v>C4143J20</v>
          </cell>
          <cell r="C27">
            <v>59</v>
          </cell>
          <cell r="D27">
            <v>52</v>
          </cell>
          <cell r="E27">
            <v>57</v>
          </cell>
          <cell r="F27">
            <v>57</v>
          </cell>
          <cell r="G27">
            <v>57</v>
          </cell>
          <cell r="K27">
            <v>57</v>
          </cell>
          <cell r="O27">
            <v>0</v>
          </cell>
          <cell r="Q27">
            <v>55.639097744360896</v>
          </cell>
          <cell r="R27">
            <v>2.4459459459459598E-2</v>
          </cell>
          <cell r="S27">
            <v>0</v>
          </cell>
          <cell r="U27">
            <v>0</v>
          </cell>
          <cell r="W27">
            <v>67</v>
          </cell>
          <cell r="X27">
            <v>0.17543859649122817</v>
          </cell>
          <cell r="Y27">
            <v>67</v>
          </cell>
          <cell r="Z27">
            <v>0.17543859649122817</v>
          </cell>
          <cell r="AA27">
            <v>66.5</v>
          </cell>
          <cell r="AB27">
            <v>0.16666666666666674</v>
          </cell>
          <cell r="AC27">
            <v>0</v>
          </cell>
          <cell r="AE27">
            <v>67</v>
          </cell>
          <cell r="AF27">
            <v>0.17543859649122817</v>
          </cell>
          <cell r="AG27">
            <v>67.5</v>
          </cell>
          <cell r="AH27">
            <v>0.18421052631578938</v>
          </cell>
          <cell r="AI27">
            <v>67</v>
          </cell>
          <cell r="AJ27">
            <v>0.17543859649122817</v>
          </cell>
          <cell r="AK27">
            <v>0</v>
          </cell>
          <cell r="AM27">
            <v>0</v>
          </cell>
          <cell r="AO27">
            <v>0</v>
          </cell>
          <cell r="AQ27">
            <v>69</v>
          </cell>
          <cell r="AR27">
            <v>0.21052631578947367</v>
          </cell>
          <cell r="AS27">
            <v>67</v>
          </cell>
          <cell r="AT27">
            <v>0.17543859649122817</v>
          </cell>
          <cell r="AU27">
            <v>0</v>
          </cell>
          <cell r="AW27">
            <v>58</v>
          </cell>
          <cell r="AX27">
            <v>1.7543859649122862E-2</v>
          </cell>
          <cell r="AY27">
            <v>60</v>
          </cell>
          <cell r="AZ27">
            <v>53</v>
          </cell>
          <cell r="BA27">
            <v>-0.1166666666666667</v>
          </cell>
          <cell r="BC27">
            <v>53</v>
          </cell>
          <cell r="BD27">
            <v>5.2631578947368363E-2</v>
          </cell>
          <cell r="BE27">
            <v>5.2631578947368363E-2</v>
          </cell>
          <cell r="BF27">
            <v>70</v>
          </cell>
          <cell r="BG27">
            <v>66.5</v>
          </cell>
          <cell r="BH27">
            <v>-0.1428571428571429</v>
          </cell>
          <cell r="BI27">
            <v>-0.1428571428571429</v>
          </cell>
          <cell r="BJ27">
            <v>0.18644067796610164</v>
          </cell>
          <cell r="BK27">
            <v>-0.25714285714285712</v>
          </cell>
          <cell r="BL27">
            <v>-0.15714285714285714</v>
          </cell>
          <cell r="BM27" t="str">
            <v>150 tấm/ca</v>
          </cell>
          <cell r="BN27" t="str">
            <v>95-0-5</v>
          </cell>
        </row>
        <row r="28">
          <cell r="B28" t="str">
            <v>C4143J30</v>
          </cell>
          <cell r="C28">
            <v>75</v>
          </cell>
          <cell r="D28">
            <v>66</v>
          </cell>
          <cell r="E28">
            <v>72</v>
          </cell>
          <cell r="F28">
            <v>72</v>
          </cell>
          <cell r="G28">
            <v>72</v>
          </cell>
          <cell r="K28">
            <v>69</v>
          </cell>
          <cell r="L28">
            <v>71.58</v>
          </cell>
          <cell r="O28">
            <v>0</v>
          </cell>
          <cell r="Q28">
            <v>76.859504132231407</v>
          </cell>
          <cell r="R28">
            <v>-6.3225806451612909E-2</v>
          </cell>
          <cell r="S28">
            <v>0</v>
          </cell>
          <cell r="U28">
            <v>0</v>
          </cell>
          <cell r="W28">
            <v>86</v>
          </cell>
          <cell r="X28">
            <v>0.19444444444444442</v>
          </cell>
          <cell r="Y28">
            <v>86.5</v>
          </cell>
          <cell r="Z28">
            <v>0.20138888888888884</v>
          </cell>
          <cell r="AA28">
            <v>85.5</v>
          </cell>
          <cell r="AB28">
            <v>0.1875</v>
          </cell>
          <cell r="AC28">
            <v>0</v>
          </cell>
          <cell r="AE28">
            <v>86</v>
          </cell>
          <cell r="AF28">
            <v>0.19444444444444442</v>
          </cell>
          <cell r="AG28">
            <v>86.5</v>
          </cell>
          <cell r="AH28">
            <v>0.20138888888888884</v>
          </cell>
          <cell r="AI28">
            <v>86</v>
          </cell>
          <cell r="AJ28">
            <v>0.19444444444444442</v>
          </cell>
          <cell r="AK28">
            <v>0</v>
          </cell>
          <cell r="AM28">
            <v>86</v>
          </cell>
          <cell r="AN28">
            <v>0.19444444444444442</v>
          </cell>
          <cell r="AO28">
            <v>0</v>
          </cell>
          <cell r="AQ28">
            <v>86.5</v>
          </cell>
          <cell r="AR28">
            <v>0.20138888888888884</v>
          </cell>
          <cell r="AS28">
            <v>86</v>
          </cell>
          <cell r="AT28">
            <v>0.19444444444444442</v>
          </cell>
          <cell r="AU28">
            <v>0</v>
          </cell>
          <cell r="AW28">
            <v>72.5</v>
          </cell>
          <cell r="AX28">
            <v>6.9444444444444198E-3</v>
          </cell>
          <cell r="AY28">
            <v>77</v>
          </cell>
          <cell r="AZ28">
            <v>67</v>
          </cell>
          <cell r="BA28">
            <v>-0.12987012987012991</v>
          </cell>
          <cell r="BC28">
            <v>67</v>
          </cell>
          <cell r="BD28">
            <v>6.944444444444442E-2</v>
          </cell>
          <cell r="BE28">
            <v>0.11594202898550732</v>
          </cell>
          <cell r="BF28">
            <v>90</v>
          </cell>
          <cell r="BG28">
            <v>85.5</v>
          </cell>
          <cell r="BH28">
            <v>-0.15789473684210531</v>
          </cell>
          <cell r="BI28">
            <v>-0.15789473684210531</v>
          </cell>
          <cell r="BJ28">
            <v>0.19999999999999996</v>
          </cell>
          <cell r="BK28">
            <v>-0.26666666666666672</v>
          </cell>
          <cell r="BL28">
            <v>-0.16666666666666663</v>
          </cell>
          <cell r="BM28" t="str">
            <v>150 tấm/ca</v>
          </cell>
          <cell r="BN28" t="str">
            <v>95-0-5</v>
          </cell>
        </row>
        <row r="29">
          <cell r="B29" t="str">
            <v>C4145J20</v>
          </cell>
          <cell r="C29">
            <v>63</v>
          </cell>
          <cell r="D29">
            <v>55</v>
          </cell>
          <cell r="E29">
            <v>60</v>
          </cell>
          <cell r="F29">
            <v>60</v>
          </cell>
          <cell r="G29">
            <v>60</v>
          </cell>
          <cell r="K29">
            <v>57</v>
          </cell>
          <cell r="O29">
            <v>0</v>
          </cell>
          <cell r="Q29">
            <v>55.639097744360896</v>
          </cell>
          <cell r="R29">
            <v>7.8378378378378466E-2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66.5</v>
          </cell>
          <cell r="AD29">
            <v>0.10833333333333339</v>
          </cell>
          <cell r="AE29">
            <v>67</v>
          </cell>
          <cell r="AF29">
            <v>0.1166666666666667</v>
          </cell>
          <cell r="AG29">
            <v>67.5</v>
          </cell>
          <cell r="AH29">
            <v>0.125</v>
          </cell>
          <cell r="AI29">
            <v>67</v>
          </cell>
          <cell r="AJ29">
            <v>0.1166666666666667</v>
          </cell>
          <cell r="AK29">
            <v>0</v>
          </cell>
          <cell r="AM29">
            <v>0</v>
          </cell>
          <cell r="AQ29">
            <v>69</v>
          </cell>
          <cell r="AR29">
            <v>0.14999999999999991</v>
          </cell>
          <cell r="AS29">
            <v>66.5</v>
          </cell>
          <cell r="AT29">
            <v>0.10833333333333339</v>
          </cell>
          <cell r="AU29">
            <v>0</v>
          </cell>
          <cell r="AY29">
            <v>64</v>
          </cell>
          <cell r="AZ29">
            <v>56</v>
          </cell>
          <cell r="BA29">
            <v>-0.125</v>
          </cell>
          <cell r="BC29">
            <v>56</v>
          </cell>
          <cell r="BD29">
            <v>6.6666666666666652E-2</v>
          </cell>
          <cell r="BE29">
            <v>0.12280701754385959</v>
          </cell>
          <cell r="BF29">
            <v>70</v>
          </cell>
          <cell r="BG29">
            <v>66.5</v>
          </cell>
          <cell r="BH29">
            <v>-9.7744360902255689E-2</v>
          </cell>
          <cell r="BI29">
            <v>-9.7744360902255689E-2</v>
          </cell>
          <cell r="BJ29">
            <v>0.11111111111111116</v>
          </cell>
          <cell r="BK29">
            <v>-0.2142857142857143</v>
          </cell>
          <cell r="BL29">
            <v>-9.9999999999999978E-2</v>
          </cell>
          <cell r="BM29" t="str">
            <v>130 tấm/ca</v>
          </cell>
          <cell r="BN29" t="str">
            <v>95-0-5</v>
          </cell>
        </row>
        <row r="30">
          <cell r="B30" t="str">
            <v>C4145J30</v>
          </cell>
          <cell r="C30">
            <v>78</v>
          </cell>
          <cell r="D30">
            <v>69</v>
          </cell>
          <cell r="E30">
            <v>75</v>
          </cell>
          <cell r="F30">
            <v>75</v>
          </cell>
          <cell r="G30">
            <v>75</v>
          </cell>
          <cell r="K30">
            <v>72</v>
          </cell>
          <cell r="O30">
            <v>0</v>
          </cell>
          <cell r="Q30">
            <v>76.229508196721312</v>
          </cell>
          <cell r="R30">
            <v>-1.6129032258064502E-2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87.399999999999991</v>
          </cell>
          <cell r="AD30">
            <v>0.16533333333333311</v>
          </cell>
          <cell r="AE30">
            <v>86</v>
          </cell>
          <cell r="AF30">
            <v>0.14666666666666672</v>
          </cell>
          <cell r="AG30">
            <v>86.5</v>
          </cell>
          <cell r="AH30">
            <v>0.15333333333333332</v>
          </cell>
          <cell r="AI30">
            <v>86</v>
          </cell>
          <cell r="AJ30">
            <v>0.14666666666666672</v>
          </cell>
          <cell r="AK30">
            <v>0</v>
          </cell>
          <cell r="AM30">
            <v>0</v>
          </cell>
          <cell r="AO30">
            <v>85.5</v>
          </cell>
          <cell r="AP30">
            <v>0.1399999999999999</v>
          </cell>
          <cell r="AQ30">
            <v>86.5</v>
          </cell>
          <cell r="AR30">
            <v>0.15333333333333332</v>
          </cell>
          <cell r="AS30">
            <v>85.5</v>
          </cell>
          <cell r="AT30">
            <v>0.1399999999999999</v>
          </cell>
          <cell r="AU30">
            <v>0</v>
          </cell>
          <cell r="AY30">
            <v>77</v>
          </cell>
          <cell r="AZ30">
            <v>70</v>
          </cell>
          <cell r="BA30">
            <v>-9.0909090909090939E-2</v>
          </cell>
          <cell r="BC30">
            <v>70</v>
          </cell>
          <cell r="BD30">
            <v>2.6666666666666616E-2</v>
          </cell>
          <cell r="BE30">
            <v>6.944444444444442E-2</v>
          </cell>
          <cell r="BF30">
            <v>90</v>
          </cell>
          <cell r="BG30">
            <v>85.5</v>
          </cell>
          <cell r="BH30">
            <v>-0.1228070175438597</v>
          </cell>
          <cell r="BI30">
            <v>-0.1228070175438597</v>
          </cell>
          <cell r="BJ30">
            <v>0.15384615384615374</v>
          </cell>
          <cell r="BK30">
            <v>-0.23333333333333328</v>
          </cell>
          <cell r="BL30">
            <v>-0.1333333333333333</v>
          </cell>
          <cell r="BM30" t="str">
            <v>130 tấm/ca</v>
          </cell>
          <cell r="BN30" t="str">
            <v>95-0-5</v>
          </cell>
        </row>
        <row r="31">
          <cell r="B31" t="str">
            <v>C4147J20</v>
          </cell>
          <cell r="C31">
            <v>75</v>
          </cell>
          <cell r="D31">
            <v>65</v>
          </cell>
          <cell r="E31">
            <v>72</v>
          </cell>
          <cell r="F31">
            <v>70</v>
          </cell>
          <cell r="I31">
            <v>70</v>
          </cell>
          <cell r="K31">
            <v>69</v>
          </cell>
          <cell r="O31">
            <v>0</v>
          </cell>
          <cell r="S31">
            <v>0</v>
          </cell>
          <cell r="U31">
            <v>0</v>
          </cell>
          <cell r="W31">
            <v>73</v>
          </cell>
          <cell r="X31">
            <v>1.388888888888884E-2</v>
          </cell>
          <cell r="Y31">
            <v>0</v>
          </cell>
          <cell r="AA31">
            <v>0</v>
          </cell>
          <cell r="AC31">
            <v>0</v>
          </cell>
          <cell r="AE31">
            <v>74</v>
          </cell>
          <cell r="AF31">
            <v>2.7777777777777679E-2</v>
          </cell>
          <cell r="AG31">
            <v>0</v>
          </cell>
          <cell r="AI31">
            <v>0</v>
          </cell>
          <cell r="AK31">
            <v>0</v>
          </cell>
          <cell r="AM31">
            <v>0</v>
          </cell>
          <cell r="AO31">
            <v>0</v>
          </cell>
          <cell r="AQ31">
            <v>0</v>
          </cell>
          <cell r="AS31">
            <v>0</v>
          </cell>
          <cell r="AU31">
            <v>0</v>
          </cell>
          <cell r="AY31">
            <v>66</v>
          </cell>
          <cell r="AZ31">
            <v>64</v>
          </cell>
          <cell r="BA31">
            <v>-3.0303030303030276E-2</v>
          </cell>
          <cell r="BB31">
            <v>64</v>
          </cell>
          <cell r="BD31">
            <v>-8.333333333333337E-2</v>
          </cell>
          <cell r="BE31">
            <v>-4.3478260869565188E-2</v>
          </cell>
          <cell r="BF31">
            <v>75</v>
          </cell>
          <cell r="BG31">
            <v>71.25</v>
          </cell>
          <cell r="BH31">
            <v>-1.7543859649122862E-2</v>
          </cell>
          <cell r="BI31">
            <v>1.0526315789473717E-2</v>
          </cell>
          <cell r="BJ31">
            <v>0</v>
          </cell>
          <cell r="BK31">
            <v>-0.1333333333333333</v>
          </cell>
          <cell r="BL31">
            <v>0</v>
          </cell>
          <cell r="BM31" t="str">
            <v>80 tấm/ca</v>
          </cell>
          <cell r="BN31" t="str">
            <v>95-0-5</v>
          </cell>
        </row>
        <row r="32">
          <cell r="B32" t="str">
            <v>C4147J30</v>
          </cell>
          <cell r="C32">
            <v>91</v>
          </cell>
          <cell r="D32">
            <v>80</v>
          </cell>
          <cell r="E32">
            <v>88</v>
          </cell>
          <cell r="F32">
            <v>87</v>
          </cell>
          <cell r="I32">
            <v>87</v>
          </cell>
          <cell r="K32">
            <v>84</v>
          </cell>
          <cell r="O32">
            <v>0</v>
          </cell>
          <cell r="S32">
            <v>0</v>
          </cell>
          <cell r="U32">
            <v>0</v>
          </cell>
          <cell r="W32">
            <v>92</v>
          </cell>
          <cell r="X32">
            <v>4.5454545454545414E-2</v>
          </cell>
          <cell r="Y32">
            <v>0</v>
          </cell>
          <cell r="AA32">
            <v>0</v>
          </cell>
          <cell r="AC32">
            <v>0</v>
          </cell>
          <cell r="AE32">
            <v>94</v>
          </cell>
          <cell r="AF32">
            <v>6.8181818181818121E-2</v>
          </cell>
          <cell r="AG32">
            <v>0</v>
          </cell>
          <cell r="AI32">
            <v>0</v>
          </cell>
          <cell r="AK32">
            <v>0</v>
          </cell>
          <cell r="AM32">
            <v>0</v>
          </cell>
          <cell r="AO32">
            <v>0</v>
          </cell>
          <cell r="AQ32">
            <v>0</v>
          </cell>
          <cell r="AS32">
            <v>0</v>
          </cell>
          <cell r="AU32">
            <v>0</v>
          </cell>
          <cell r="AY32">
            <v>85</v>
          </cell>
          <cell r="AZ32">
            <v>80</v>
          </cell>
          <cell r="BA32">
            <v>-5.8823529411764719E-2</v>
          </cell>
          <cell r="BB32">
            <v>80</v>
          </cell>
          <cell r="BD32">
            <v>-3.4090909090909061E-2</v>
          </cell>
          <cell r="BE32">
            <v>1.1904761904761862E-2</v>
          </cell>
          <cell r="BF32">
            <v>95</v>
          </cell>
          <cell r="BG32">
            <v>90.25</v>
          </cell>
          <cell r="BH32">
            <v>-3.6011080332409962E-2</v>
          </cell>
          <cell r="BI32">
            <v>-2.4930747922437657E-2</v>
          </cell>
          <cell r="BJ32">
            <v>4.3956043956044022E-2</v>
          </cell>
          <cell r="BK32">
            <v>-0.15789473684210531</v>
          </cell>
          <cell r="BL32">
            <v>-4.2105263157894757E-2</v>
          </cell>
          <cell r="BM32" t="str">
            <v>80 tấm/ca</v>
          </cell>
          <cell r="BN32" t="str">
            <v>95-0-5</v>
          </cell>
        </row>
        <row r="33">
          <cell r="B33" t="str">
            <v>C4149J20</v>
          </cell>
          <cell r="C33">
            <v>86</v>
          </cell>
          <cell r="D33">
            <v>73</v>
          </cell>
          <cell r="E33">
            <v>80</v>
          </cell>
          <cell r="F33">
            <v>85</v>
          </cell>
          <cell r="H33">
            <v>85</v>
          </cell>
          <cell r="K33">
            <v>77</v>
          </cell>
          <cell r="O33">
            <v>0</v>
          </cell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86</v>
          </cell>
          <cell r="AF33">
            <v>7.4999999999999956E-2</v>
          </cell>
          <cell r="AG33">
            <v>0</v>
          </cell>
          <cell r="AI33">
            <v>0</v>
          </cell>
          <cell r="AK33">
            <v>0</v>
          </cell>
          <cell r="AM33">
            <v>0</v>
          </cell>
          <cell r="AO33">
            <v>0</v>
          </cell>
          <cell r="AQ33">
            <v>0</v>
          </cell>
          <cell r="AS33">
            <v>0</v>
          </cell>
          <cell r="AU33">
            <v>0</v>
          </cell>
          <cell r="AY33">
            <v>79</v>
          </cell>
          <cell r="AZ33">
            <v>77</v>
          </cell>
          <cell r="BA33">
            <v>-2.5316455696202556E-2</v>
          </cell>
          <cell r="BB33">
            <v>77</v>
          </cell>
          <cell r="BD33">
            <v>-1.2499999999999956E-2</v>
          </cell>
          <cell r="BE33">
            <v>2.5974025974025983E-2</v>
          </cell>
          <cell r="BF33">
            <v>86</v>
          </cell>
          <cell r="BG33">
            <v>81.7</v>
          </cell>
          <cell r="BH33">
            <v>4.0391676866585069E-2</v>
          </cell>
          <cell r="BI33">
            <v>-2.0807833537331732E-2</v>
          </cell>
          <cell r="BJ33">
            <v>0</v>
          </cell>
          <cell r="BK33">
            <v>-0.15116279069767447</v>
          </cell>
          <cell r="BL33">
            <v>0</v>
          </cell>
          <cell r="BM33" t="str">
            <v>50 tấm/ca</v>
          </cell>
          <cell r="BN33" t="str">
            <v>95-0-5</v>
          </cell>
        </row>
        <row r="34">
          <cell r="B34" t="str">
            <v>C4149J30</v>
          </cell>
          <cell r="C34">
            <v>101</v>
          </cell>
          <cell r="D34">
            <v>87</v>
          </cell>
          <cell r="E34">
            <v>95</v>
          </cell>
          <cell r="F34">
            <v>100</v>
          </cell>
          <cell r="H34">
            <v>100</v>
          </cell>
          <cell r="K34">
            <v>91</v>
          </cell>
          <cell r="O34">
            <v>0</v>
          </cell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100</v>
          </cell>
          <cell r="AF34">
            <v>5.2631578947368363E-2</v>
          </cell>
          <cell r="AG34">
            <v>0</v>
          </cell>
          <cell r="AI34">
            <v>0</v>
          </cell>
          <cell r="AK34">
            <v>0</v>
          </cell>
          <cell r="AM34">
            <v>0</v>
          </cell>
          <cell r="AO34">
            <v>0</v>
          </cell>
          <cell r="AQ34">
            <v>0</v>
          </cell>
          <cell r="AS34">
            <v>0</v>
          </cell>
          <cell r="AU34">
            <v>0</v>
          </cell>
          <cell r="AY34">
            <v>93</v>
          </cell>
          <cell r="AZ34">
            <v>91</v>
          </cell>
          <cell r="BA34">
            <v>-2.1505376344086002E-2</v>
          </cell>
          <cell r="BB34">
            <v>91</v>
          </cell>
          <cell r="BD34">
            <v>-2.1052631578947323E-2</v>
          </cell>
          <cell r="BE34">
            <v>2.19780219780219E-2</v>
          </cell>
          <cell r="BF34">
            <v>101</v>
          </cell>
          <cell r="BG34">
            <v>95.949999999999989</v>
          </cell>
          <cell r="BH34">
            <v>4.2209484106305428E-2</v>
          </cell>
          <cell r="BI34">
            <v>-9.9009900990097988E-3</v>
          </cell>
          <cell r="BJ34">
            <v>0</v>
          </cell>
          <cell r="BK34">
            <v>-0.13861386138613863</v>
          </cell>
          <cell r="BL34">
            <v>0</v>
          </cell>
          <cell r="BM34" t="str">
            <v>50 tấm/ca</v>
          </cell>
          <cell r="BN34" t="str">
            <v>95-0-5</v>
          </cell>
        </row>
        <row r="35">
          <cell r="B35" t="str">
            <v>C4202J20</v>
          </cell>
          <cell r="C35">
            <v>67</v>
          </cell>
          <cell r="D35">
            <v>58</v>
          </cell>
          <cell r="E35">
            <v>64</v>
          </cell>
          <cell r="F35">
            <v>62</v>
          </cell>
          <cell r="J35">
            <v>62</v>
          </cell>
          <cell r="K35">
            <v>61</v>
          </cell>
          <cell r="O35">
            <v>0</v>
          </cell>
          <cell r="Q35">
            <v>65.972222222222229</v>
          </cell>
          <cell r="R35">
            <v>-2.9894736842105307E-2</v>
          </cell>
          <cell r="S35">
            <v>0</v>
          </cell>
          <cell r="U35">
            <v>71.5</v>
          </cell>
          <cell r="V35">
            <v>0.1171875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74</v>
          </cell>
          <cell r="AF35">
            <v>0.15625</v>
          </cell>
          <cell r="AG35">
            <v>74.5</v>
          </cell>
          <cell r="AH35">
            <v>0.1640625</v>
          </cell>
          <cell r="AI35">
            <v>0</v>
          </cell>
          <cell r="AK35">
            <v>0</v>
          </cell>
          <cell r="AM35">
            <v>0</v>
          </cell>
          <cell r="AQ35">
            <v>74.5</v>
          </cell>
          <cell r="AR35">
            <v>0.1640625</v>
          </cell>
          <cell r="AS35">
            <v>0</v>
          </cell>
          <cell r="AU35">
            <v>0</v>
          </cell>
          <cell r="AY35">
            <v>66</v>
          </cell>
          <cell r="AZ35">
            <v>56</v>
          </cell>
          <cell r="BA35">
            <v>-0.15151515151515149</v>
          </cell>
          <cell r="BC35">
            <v>56</v>
          </cell>
          <cell r="BD35">
            <v>3.125E-2</v>
          </cell>
          <cell r="BE35">
            <v>8.1967213114754189E-2</v>
          </cell>
          <cell r="BF35">
            <v>78</v>
          </cell>
          <cell r="BG35">
            <v>74.099999999999994</v>
          </cell>
          <cell r="BH35">
            <v>-0.16329284750337381</v>
          </cell>
          <cell r="BI35">
            <v>-0.13630229419703099</v>
          </cell>
          <cell r="BJ35">
            <v>0.16417910447761197</v>
          </cell>
          <cell r="BK35">
            <v>-0.25641025641025639</v>
          </cell>
          <cell r="BL35">
            <v>-0.14102564102564108</v>
          </cell>
          <cell r="BM35" t="str">
            <v>90 tấm/ca</v>
          </cell>
          <cell r="BN35" t="str">
            <v>95-0-5</v>
          </cell>
        </row>
        <row r="36">
          <cell r="B36" t="str">
            <v>C4202J30</v>
          </cell>
          <cell r="C36">
            <v>82</v>
          </cell>
          <cell r="D36">
            <v>72</v>
          </cell>
          <cell r="E36">
            <v>78</v>
          </cell>
          <cell r="F36">
            <v>77</v>
          </cell>
          <cell r="J36">
            <v>77</v>
          </cell>
          <cell r="K36">
            <v>75</v>
          </cell>
          <cell r="L36">
            <v>76.95</v>
          </cell>
          <cell r="O36">
            <v>0</v>
          </cell>
          <cell r="Q36">
            <v>85.9375</v>
          </cell>
          <cell r="R36">
            <v>-9.2363636363636314E-2</v>
          </cell>
          <cell r="S36">
            <v>0</v>
          </cell>
          <cell r="U36">
            <v>83.5</v>
          </cell>
          <cell r="V36">
            <v>7.0512820512820484E-2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88</v>
          </cell>
          <cell r="AF36">
            <v>0.12820512820512819</v>
          </cell>
          <cell r="AG36">
            <v>88</v>
          </cell>
          <cell r="AH36">
            <v>0.12820512820512819</v>
          </cell>
          <cell r="AI36">
            <v>0</v>
          </cell>
          <cell r="AK36">
            <v>86.5</v>
          </cell>
          <cell r="AL36">
            <v>0.10897435897435903</v>
          </cell>
          <cell r="AM36">
            <v>0</v>
          </cell>
          <cell r="AO36">
            <v>86.45</v>
          </cell>
          <cell r="AP36">
            <v>0.10833333333333339</v>
          </cell>
          <cell r="AQ36">
            <v>94</v>
          </cell>
          <cell r="AR36">
            <v>0.20512820512820507</v>
          </cell>
          <cell r="AS36">
            <v>0</v>
          </cell>
          <cell r="AU36">
            <v>0</v>
          </cell>
          <cell r="AY36">
            <v>85</v>
          </cell>
          <cell r="AZ36">
            <v>70</v>
          </cell>
          <cell r="BA36">
            <v>-0.17647058823529416</v>
          </cell>
          <cell r="BC36">
            <v>70</v>
          </cell>
          <cell r="BD36">
            <v>8.9743589743589647E-2</v>
          </cell>
          <cell r="BE36">
            <v>0.1333333333333333</v>
          </cell>
          <cell r="BF36">
            <v>90</v>
          </cell>
          <cell r="BG36">
            <v>85.5</v>
          </cell>
          <cell r="BH36">
            <v>-9.9415204678362623E-2</v>
          </cell>
          <cell r="BI36">
            <v>-8.7719298245614086E-2</v>
          </cell>
          <cell r="BJ36">
            <v>9.7560975609756184E-2</v>
          </cell>
          <cell r="BK36">
            <v>-0.19999999999999996</v>
          </cell>
          <cell r="BL36">
            <v>-8.8888888888888906E-2</v>
          </cell>
          <cell r="BM36" t="str">
            <v>90 tấm/ca</v>
          </cell>
          <cell r="BN36" t="str">
            <v>95-0-5</v>
          </cell>
        </row>
        <row r="37">
          <cell r="B37" t="str">
            <v>C4204J20</v>
          </cell>
          <cell r="C37">
            <v>64</v>
          </cell>
          <cell r="D37">
            <v>56</v>
          </cell>
          <cell r="E37">
            <v>61</v>
          </cell>
          <cell r="F37">
            <v>62</v>
          </cell>
          <cell r="J37">
            <v>62</v>
          </cell>
          <cell r="K37">
            <v>59</v>
          </cell>
          <cell r="O37">
            <v>0</v>
          </cell>
          <cell r="Q37">
            <v>65.972222222222229</v>
          </cell>
          <cell r="R37">
            <v>-7.536842105263164E-2</v>
          </cell>
          <cell r="S37">
            <v>74.5</v>
          </cell>
          <cell r="T37">
            <v>0.22131147540983598</v>
          </cell>
          <cell r="U37">
            <v>0</v>
          </cell>
          <cell r="W37">
            <v>74</v>
          </cell>
          <cell r="X37">
            <v>0.21311475409836067</v>
          </cell>
          <cell r="Y37">
            <v>0</v>
          </cell>
          <cell r="AA37">
            <v>74.099999999999994</v>
          </cell>
          <cell r="AB37">
            <v>0.21475409836065573</v>
          </cell>
          <cell r="AC37">
            <v>74.099999999999994</v>
          </cell>
          <cell r="AD37">
            <v>0.21475409836065573</v>
          </cell>
          <cell r="AE37">
            <v>0</v>
          </cell>
          <cell r="AG37">
            <v>74.5</v>
          </cell>
          <cell r="AH37">
            <v>0.22131147540983598</v>
          </cell>
          <cell r="AI37">
            <v>0</v>
          </cell>
          <cell r="AK37">
            <v>0</v>
          </cell>
          <cell r="AM37">
            <v>0</v>
          </cell>
          <cell r="AO37">
            <v>0</v>
          </cell>
          <cell r="AQ37">
            <v>74.5</v>
          </cell>
          <cell r="AR37">
            <v>0.22131147540983598</v>
          </cell>
          <cell r="AS37">
            <v>0</v>
          </cell>
          <cell r="AU37">
            <v>0</v>
          </cell>
          <cell r="AY37">
            <v>66</v>
          </cell>
          <cell r="AZ37">
            <v>57</v>
          </cell>
          <cell r="BA37">
            <v>-0.13636363636363635</v>
          </cell>
          <cell r="BC37">
            <v>57</v>
          </cell>
          <cell r="BD37">
            <v>8.1967213114754189E-2</v>
          </cell>
          <cell r="BE37">
            <v>0.11864406779661008</v>
          </cell>
          <cell r="BF37">
            <v>78</v>
          </cell>
          <cell r="BG37">
            <v>74.099999999999994</v>
          </cell>
          <cell r="BH37">
            <v>-0.16329284750337381</v>
          </cell>
          <cell r="BI37">
            <v>-0.1767881241565451</v>
          </cell>
          <cell r="BJ37">
            <v>0.21875</v>
          </cell>
          <cell r="BK37">
            <v>-0.28205128205128205</v>
          </cell>
          <cell r="BL37">
            <v>-0.17948717948717952</v>
          </cell>
          <cell r="BM37" t="str">
            <v>100 tấm/ca</v>
          </cell>
          <cell r="BN37" t="str">
            <v>95-0-5</v>
          </cell>
        </row>
        <row r="38">
          <cell r="B38" t="str">
            <v>C4204J30</v>
          </cell>
          <cell r="C38">
            <v>79</v>
          </cell>
          <cell r="D38">
            <v>70</v>
          </cell>
          <cell r="E38">
            <v>76</v>
          </cell>
          <cell r="F38">
            <v>77</v>
          </cell>
          <cell r="J38">
            <v>77</v>
          </cell>
          <cell r="K38">
            <v>73</v>
          </cell>
          <cell r="O38">
            <v>0</v>
          </cell>
          <cell r="Q38">
            <v>83.333333333333329</v>
          </cell>
          <cell r="R38">
            <v>-8.7999999999999967E-2</v>
          </cell>
          <cell r="S38">
            <v>88</v>
          </cell>
          <cell r="T38">
            <v>0.15789473684210531</v>
          </cell>
          <cell r="U38">
            <v>0</v>
          </cell>
          <cell r="W38">
            <v>86</v>
          </cell>
          <cell r="X38">
            <v>0.13157894736842102</v>
          </cell>
          <cell r="Y38">
            <v>0</v>
          </cell>
          <cell r="AA38">
            <v>88.35</v>
          </cell>
          <cell r="AB38">
            <v>0.16249999999999987</v>
          </cell>
          <cell r="AC38">
            <v>86.45</v>
          </cell>
          <cell r="AD38">
            <v>0.13749999999999996</v>
          </cell>
          <cell r="AE38">
            <v>0</v>
          </cell>
          <cell r="AG38">
            <v>88</v>
          </cell>
          <cell r="AH38">
            <v>0.15789473684210531</v>
          </cell>
          <cell r="AI38">
            <v>0</v>
          </cell>
          <cell r="AK38">
            <v>0</v>
          </cell>
          <cell r="AM38">
            <v>0</v>
          </cell>
          <cell r="AO38">
            <v>0</v>
          </cell>
          <cell r="AQ38">
            <v>94</v>
          </cell>
          <cell r="AR38">
            <v>0.23684210526315796</v>
          </cell>
          <cell r="AS38">
            <v>0</v>
          </cell>
          <cell r="AU38">
            <v>0</v>
          </cell>
          <cell r="AY38">
            <v>85</v>
          </cell>
          <cell r="AZ38">
            <v>71</v>
          </cell>
          <cell r="BA38">
            <v>-0.16470588235294115</v>
          </cell>
          <cell r="BC38">
            <v>71</v>
          </cell>
          <cell r="BD38">
            <v>0.11842105263157898</v>
          </cell>
          <cell r="BE38">
            <v>0.16438356164383561</v>
          </cell>
          <cell r="BF38">
            <v>90</v>
          </cell>
          <cell r="BG38">
            <v>85.5</v>
          </cell>
          <cell r="BH38">
            <v>-9.9415204678362623E-2</v>
          </cell>
          <cell r="BI38">
            <v>-0.11111111111111116</v>
          </cell>
          <cell r="BJ38">
            <v>0.139240506329114</v>
          </cell>
          <cell r="BK38">
            <v>-0.22222222222222221</v>
          </cell>
          <cell r="BL38">
            <v>-0.12222222222222223</v>
          </cell>
          <cell r="BM38" t="str">
            <v>100 tấm/ca</v>
          </cell>
          <cell r="BN38" t="str">
            <v>95-0-5</v>
          </cell>
        </row>
        <row r="39">
          <cell r="B39" t="str">
            <v>C4211J20</v>
          </cell>
          <cell r="C39">
            <v>59</v>
          </cell>
          <cell r="D39">
            <v>52</v>
          </cell>
          <cell r="E39">
            <v>57</v>
          </cell>
          <cell r="F39">
            <v>59</v>
          </cell>
          <cell r="J39">
            <v>59</v>
          </cell>
          <cell r="K39">
            <v>54</v>
          </cell>
          <cell r="O39">
            <v>0</v>
          </cell>
          <cell r="Q39">
            <v>0</v>
          </cell>
          <cell r="S39">
            <v>74</v>
          </cell>
          <cell r="T39">
            <v>0.29824561403508776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74</v>
          </cell>
          <cell r="AF39">
            <v>0.29824561403508776</v>
          </cell>
          <cell r="AG39">
            <v>74.5</v>
          </cell>
          <cell r="AH39">
            <v>0.30701754385964919</v>
          </cell>
          <cell r="AI39">
            <v>75</v>
          </cell>
          <cell r="AJ39">
            <v>0.31578947368421062</v>
          </cell>
          <cell r="AK39">
            <v>0</v>
          </cell>
          <cell r="AM39">
            <v>0</v>
          </cell>
          <cell r="AO39">
            <v>0</v>
          </cell>
          <cell r="AQ39">
            <v>0</v>
          </cell>
          <cell r="AS39">
            <v>0</v>
          </cell>
          <cell r="AU39">
            <v>0</v>
          </cell>
          <cell r="AY39">
            <v>66</v>
          </cell>
          <cell r="AZ39">
            <v>53</v>
          </cell>
          <cell r="BA39">
            <v>-0.19696969696969702</v>
          </cell>
          <cell r="BC39">
            <v>53</v>
          </cell>
          <cell r="BD39">
            <v>0.15789473684210531</v>
          </cell>
          <cell r="BE39">
            <v>0.22222222222222232</v>
          </cell>
          <cell r="BF39">
            <v>78</v>
          </cell>
          <cell r="BG39">
            <v>74.099999999999994</v>
          </cell>
          <cell r="BH39">
            <v>-0.20377867746288791</v>
          </cell>
          <cell r="BI39">
            <v>-0.23076923076923073</v>
          </cell>
          <cell r="BJ39">
            <v>0.32203389830508478</v>
          </cell>
          <cell r="BK39">
            <v>-0.33333333333333337</v>
          </cell>
          <cell r="BL39">
            <v>-0.24358974358974361</v>
          </cell>
          <cell r="BM39" t="str">
            <v>130 tấm/ca</v>
          </cell>
          <cell r="BN39" t="str">
            <v>95-0-5</v>
          </cell>
        </row>
        <row r="40">
          <cell r="B40" t="str">
            <v>C4211J30</v>
          </cell>
          <cell r="C40">
            <v>74</v>
          </cell>
          <cell r="D40">
            <v>65</v>
          </cell>
          <cell r="E40">
            <v>71</v>
          </cell>
          <cell r="F40">
            <v>74</v>
          </cell>
          <cell r="J40">
            <v>74</v>
          </cell>
          <cell r="K40">
            <v>68</v>
          </cell>
          <cell r="O40">
            <v>0</v>
          </cell>
          <cell r="Q40">
            <v>77.443609022556387</v>
          </cell>
          <cell r="R40">
            <v>-8.3203883495145625E-2</v>
          </cell>
          <cell r="S40">
            <v>87</v>
          </cell>
          <cell r="T40">
            <v>0.22535211267605626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95</v>
          </cell>
          <cell r="AF40">
            <v>0.3380281690140845</v>
          </cell>
          <cell r="AG40">
            <v>88</v>
          </cell>
          <cell r="AH40">
            <v>0.23943661971830976</v>
          </cell>
          <cell r="AI40">
            <v>86</v>
          </cell>
          <cell r="AJ40">
            <v>0.21126760563380276</v>
          </cell>
          <cell r="AK40">
            <v>0</v>
          </cell>
          <cell r="AM40">
            <v>0</v>
          </cell>
          <cell r="AO40">
            <v>0</v>
          </cell>
          <cell r="AQ40">
            <v>0</v>
          </cell>
          <cell r="AS40">
            <v>0</v>
          </cell>
          <cell r="AU40">
            <v>0</v>
          </cell>
          <cell r="AY40">
            <v>85</v>
          </cell>
          <cell r="AZ40">
            <v>67</v>
          </cell>
          <cell r="BA40">
            <v>-0.21176470588235297</v>
          </cell>
          <cell r="BC40">
            <v>67</v>
          </cell>
          <cell r="BD40">
            <v>0.19718309859154926</v>
          </cell>
          <cell r="BE40">
            <v>0.25</v>
          </cell>
          <cell r="BF40">
            <v>90</v>
          </cell>
          <cell r="BG40">
            <v>85.5</v>
          </cell>
          <cell r="BH40">
            <v>-0.13450292397660824</v>
          </cell>
          <cell r="BI40">
            <v>-0.16959064327485385</v>
          </cell>
          <cell r="BJ40">
            <v>0.21621621621621623</v>
          </cell>
          <cell r="BK40">
            <v>-0.27777777777777779</v>
          </cell>
          <cell r="BL40">
            <v>-0.17777777777777781</v>
          </cell>
          <cell r="BM40" t="str">
            <v>130 tấm/ca</v>
          </cell>
          <cell r="BN40" t="str">
            <v>95-0-5</v>
          </cell>
        </row>
        <row r="41">
          <cell r="B41" t="str">
            <v>C4221J20</v>
          </cell>
          <cell r="C41">
            <v>72</v>
          </cell>
          <cell r="D41">
            <v>63</v>
          </cell>
          <cell r="E41">
            <v>69</v>
          </cell>
          <cell r="F41">
            <v>68</v>
          </cell>
          <cell r="J41">
            <v>68</v>
          </cell>
          <cell r="K41">
            <v>66</v>
          </cell>
          <cell r="O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74</v>
          </cell>
          <cell r="AF41">
            <v>7.2463768115942129E-2</v>
          </cell>
          <cell r="AG41">
            <v>74.5</v>
          </cell>
          <cell r="AH41">
            <v>7.9710144927536142E-2</v>
          </cell>
          <cell r="AI41">
            <v>0</v>
          </cell>
          <cell r="AK41">
            <v>0</v>
          </cell>
          <cell r="AM41">
            <v>0</v>
          </cell>
          <cell r="AO41">
            <v>0</v>
          </cell>
          <cell r="AQ41">
            <v>0</v>
          </cell>
          <cell r="AS41">
            <v>0</v>
          </cell>
          <cell r="AU41">
            <v>0</v>
          </cell>
          <cell r="AY41">
            <v>66</v>
          </cell>
          <cell r="AZ41">
            <v>61</v>
          </cell>
          <cell r="BA41">
            <v>-7.5757575757575801E-2</v>
          </cell>
          <cell r="BC41">
            <v>61</v>
          </cell>
          <cell r="BD41">
            <v>-4.3478260869565188E-2</v>
          </cell>
          <cell r="BE41">
            <v>0</v>
          </cell>
          <cell r="BF41">
            <v>75</v>
          </cell>
          <cell r="BG41">
            <v>71.25</v>
          </cell>
          <cell r="BH41">
            <v>-4.5614035087719329E-2</v>
          </cell>
          <cell r="BI41">
            <v>-3.157894736842104E-2</v>
          </cell>
          <cell r="BJ41">
            <v>4.1666666666666741E-2</v>
          </cell>
          <cell r="BK41">
            <v>-0.16000000000000003</v>
          </cell>
          <cell r="BL41">
            <v>-4.0000000000000036E-2</v>
          </cell>
          <cell r="BM41" t="str">
            <v>85 tấm/ca</v>
          </cell>
          <cell r="BN41" t="str">
            <v>95-0-5</v>
          </cell>
        </row>
        <row r="42">
          <cell r="B42" t="str">
            <v>C4221J30</v>
          </cell>
          <cell r="C42">
            <v>89</v>
          </cell>
          <cell r="D42">
            <v>78</v>
          </cell>
          <cell r="E42">
            <v>85</v>
          </cell>
          <cell r="F42">
            <v>84</v>
          </cell>
          <cell r="J42">
            <v>84</v>
          </cell>
          <cell r="K42">
            <v>81</v>
          </cell>
          <cell r="O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93</v>
          </cell>
          <cell r="AF42">
            <v>9.4117647058823639E-2</v>
          </cell>
          <cell r="AG42">
            <v>93.5</v>
          </cell>
          <cell r="AH42">
            <v>0.10000000000000009</v>
          </cell>
          <cell r="AI42">
            <v>0</v>
          </cell>
          <cell r="AK42">
            <v>0</v>
          </cell>
          <cell r="AM42">
            <v>0</v>
          </cell>
          <cell r="AO42">
            <v>0</v>
          </cell>
          <cell r="AQ42">
            <v>0</v>
          </cell>
          <cell r="AS42">
            <v>0</v>
          </cell>
          <cell r="AU42">
            <v>0</v>
          </cell>
          <cell r="AY42">
            <v>85</v>
          </cell>
          <cell r="AZ42">
            <v>76</v>
          </cell>
          <cell r="BA42">
            <v>-0.10588235294117643</v>
          </cell>
          <cell r="BC42">
            <v>76</v>
          </cell>
          <cell r="BD42">
            <v>0</v>
          </cell>
          <cell r="BE42">
            <v>4.9382716049382713E-2</v>
          </cell>
          <cell r="BF42">
            <v>95</v>
          </cell>
          <cell r="BG42">
            <v>90.25</v>
          </cell>
          <cell r="BH42">
            <v>-6.9252077562326875E-2</v>
          </cell>
          <cell r="BI42">
            <v>-5.817174515235457E-2</v>
          </cell>
          <cell r="BJ42">
            <v>6.7415730337078594E-2</v>
          </cell>
          <cell r="BK42">
            <v>-0.17894736842105263</v>
          </cell>
          <cell r="BL42">
            <v>-6.315789473684208E-2</v>
          </cell>
          <cell r="BM42" t="str">
            <v>85 tấm/ca</v>
          </cell>
          <cell r="BN42" t="str">
            <v>95-0-5</v>
          </cell>
        </row>
        <row r="43">
          <cell r="B43" t="str">
            <v>C4222J20</v>
          </cell>
          <cell r="C43">
            <v>69</v>
          </cell>
          <cell r="D43">
            <v>61</v>
          </cell>
          <cell r="E43">
            <v>66</v>
          </cell>
          <cell r="F43">
            <v>68</v>
          </cell>
          <cell r="J43">
            <v>68</v>
          </cell>
          <cell r="K43">
            <v>63</v>
          </cell>
          <cell r="O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74</v>
          </cell>
          <cell r="AF43">
            <v>0.1212121212121211</v>
          </cell>
          <cell r="AG43">
            <v>74.5</v>
          </cell>
          <cell r="AH43">
            <v>0.1287878787878789</v>
          </cell>
          <cell r="AI43">
            <v>0</v>
          </cell>
          <cell r="AK43">
            <v>0</v>
          </cell>
          <cell r="AM43">
            <v>0</v>
          </cell>
          <cell r="AO43">
            <v>0</v>
          </cell>
          <cell r="AQ43">
            <v>0</v>
          </cell>
          <cell r="AS43">
            <v>0</v>
          </cell>
          <cell r="AU43">
            <v>0</v>
          </cell>
          <cell r="AY43">
            <v>66</v>
          </cell>
          <cell r="AZ43">
            <v>62</v>
          </cell>
          <cell r="BA43">
            <v>-6.0606060606060552E-2</v>
          </cell>
          <cell r="BC43">
            <v>62</v>
          </cell>
          <cell r="BD43">
            <v>0</v>
          </cell>
          <cell r="BE43">
            <v>4.7619047619047672E-2</v>
          </cell>
          <cell r="BF43">
            <v>75</v>
          </cell>
          <cell r="BG43">
            <v>71.25</v>
          </cell>
          <cell r="BH43">
            <v>-4.5614035087719329E-2</v>
          </cell>
          <cell r="BI43">
            <v>-7.3684210526315796E-2</v>
          </cell>
          <cell r="BJ43">
            <v>8.6956521739130377E-2</v>
          </cell>
          <cell r="BK43">
            <v>-0.18666666666666665</v>
          </cell>
          <cell r="BL43">
            <v>-7.999999999999996E-2</v>
          </cell>
          <cell r="BM43" t="str">
            <v>100 tấm/ca</v>
          </cell>
          <cell r="BN43" t="str">
            <v>95-0-5</v>
          </cell>
        </row>
        <row r="44">
          <cell r="B44" t="str">
            <v>C4222J30</v>
          </cell>
          <cell r="C44">
            <v>86</v>
          </cell>
          <cell r="D44">
            <v>75</v>
          </cell>
          <cell r="E44">
            <v>82</v>
          </cell>
          <cell r="F44">
            <v>84</v>
          </cell>
          <cell r="J44">
            <v>84</v>
          </cell>
          <cell r="K44">
            <v>79</v>
          </cell>
          <cell r="O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93</v>
          </cell>
          <cell r="AF44">
            <v>0.13414634146341453</v>
          </cell>
          <cell r="AG44">
            <v>93.5</v>
          </cell>
          <cell r="AH44">
            <v>0.14024390243902429</v>
          </cell>
          <cell r="AI44">
            <v>0</v>
          </cell>
          <cell r="AK44">
            <v>0</v>
          </cell>
          <cell r="AM44">
            <v>0</v>
          </cell>
          <cell r="AO44">
            <v>0</v>
          </cell>
          <cell r="AQ44">
            <v>0</v>
          </cell>
          <cell r="AS44">
            <v>0</v>
          </cell>
          <cell r="AU44">
            <v>0</v>
          </cell>
          <cell r="AY44">
            <v>85</v>
          </cell>
          <cell r="AZ44">
            <v>77</v>
          </cell>
          <cell r="BA44">
            <v>-9.4117647058823528E-2</v>
          </cell>
          <cell r="BC44">
            <v>77</v>
          </cell>
          <cell r="BD44">
            <v>3.6585365853658569E-2</v>
          </cell>
          <cell r="BE44">
            <v>7.5949367088607556E-2</v>
          </cell>
          <cell r="BF44">
            <v>95</v>
          </cell>
          <cell r="BG44">
            <v>90.25</v>
          </cell>
          <cell r="BH44">
            <v>-6.9252077562326875E-2</v>
          </cell>
          <cell r="BI44">
            <v>-9.1412742382271484E-2</v>
          </cell>
          <cell r="BJ44">
            <v>0.10465116279069764</v>
          </cell>
          <cell r="BK44">
            <v>-0.21052631578947367</v>
          </cell>
          <cell r="BL44">
            <v>-9.4736842105263119E-2</v>
          </cell>
          <cell r="BM44" t="str">
            <v>100 tấm/ca</v>
          </cell>
          <cell r="BN44" t="str">
            <v>95-0-5</v>
          </cell>
        </row>
        <row r="45">
          <cell r="B45" t="str">
            <v>C4238J20</v>
          </cell>
          <cell r="C45">
            <v>76</v>
          </cell>
          <cell r="D45">
            <v>67</v>
          </cell>
          <cell r="E45">
            <v>73</v>
          </cell>
          <cell r="F45">
            <v>78</v>
          </cell>
          <cell r="H45">
            <v>78</v>
          </cell>
          <cell r="K45">
            <v>70</v>
          </cell>
          <cell r="O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86</v>
          </cell>
          <cell r="AF45">
            <v>0.17808219178082196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  <cell r="AU45">
            <v>0</v>
          </cell>
          <cell r="AY45">
            <v>70</v>
          </cell>
          <cell r="AZ45">
            <v>70</v>
          </cell>
          <cell r="BA45">
            <v>0</v>
          </cell>
          <cell r="BB45">
            <v>70</v>
          </cell>
          <cell r="BD45">
            <v>-4.1095890410958957E-2</v>
          </cell>
          <cell r="BE45">
            <v>0</v>
          </cell>
          <cell r="BF45">
            <v>76</v>
          </cell>
          <cell r="BG45">
            <v>72.2</v>
          </cell>
          <cell r="BH45">
            <v>8.0332409972299068E-2</v>
          </cell>
          <cell r="BI45">
            <v>1.1080332409972193E-2</v>
          </cell>
          <cell r="BJ45">
            <v>0</v>
          </cell>
          <cell r="BK45">
            <v>-0.11842105263157898</v>
          </cell>
          <cell r="BL45">
            <v>0</v>
          </cell>
          <cell r="BM45" t="str">
            <v>60 tấm/ca</v>
          </cell>
          <cell r="BN45" t="str">
            <v>95-0-5</v>
          </cell>
        </row>
        <row r="46">
          <cell r="B46" t="str">
            <v>C4238J30</v>
          </cell>
          <cell r="C46">
            <v>91</v>
          </cell>
          <cell r="D46">
            <v>80</v>
          </cell>
          <cell r="E46">
            <v>87</v>
          </cell>
          <cell r="F46">
            <v>93</v>
          </cell>
          <cell r="H46">
            <v>93</v>
          </cell>
          <cell r="K46">
            <v>84</v>
          </cell>
          <cell r="O46">
            <v>0</v>
          </cell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100</v>
          </cell>
          <cell r="AF46">
            <v>0.14942528735632177</v>
          </cell>
          <cell r="AG46">
            <v>0</v>
          </cell>
          <cell r="AI46">
            <v>0</v>
          </cell>
          <cell r="AK46">
            <v>0</v>
          </cell>
          <cell r="AM46">
            <v>0</v>
          </cell>
          <cell r="AO46">
            <v>0</v>
          </cell>
          <cell r="AQ46">
            <v>0</v>
          </cell>
          <cell r="AS46">
            <v>0</v>
          </cell>
          <cell r="AU46">
            <v>0</v>
          </cell>
          <cell r="AY46">
            <v>84</v>
          </cell>
          <cell r="AZ46">
            <v>84</v>
          </cell>
          <cell r="BA46">
            <v>0</v>
          </cell>
          <cell r="BB46">
            <v>84</v>
          </cell>
          <cell r="BD46">
            <v>-3.4482758620689613E-2</v>
          </cell>
          <cell r="BE46">
            <v>0</v>
          </cell>
          <cell r="BF46">
            <v>91</v>
          </cell>
          <cell r="BG46">
            <v>86.45</v>
          </cell>
          <cell r="BH46">
            <v>7.5766338924233567E-2</v>
          </cell>
          <cell r="BI46">
            <v>6.3620589936379535E-3</v>
          </cell>
          <cell r="BJ46">
            <v>0</v>
          </cell>
          <cell r="BK46">
            <v>-0.12087912087912089</v>
          </cell>
          <cell r="BL46">
            <v>0</v>
          </cell>
          <cell r="BM46" t="str">
            <v>60 tấm/ca</v>
          </cell>
          <cell r="BN46" t="str">
            <v>95-0-5</v>
          </cell>
        </row>
        <row r="47">
          <cell r="B47" t="str">
            <v>C4246J20</v>
          </cell>
          <cell r="C47">
            <v>59</v>
          </cell>
          <cell r="D47">
            <v>51</v>
          </cell>
          <cell r="E47">
            <v>56</v>
          </cell>
          <cell r="F47">
            <v>59</v>
          </cell>
          <cell r="G47">
            <v>59</v>
          </cell>
          <cell r="K47">
            <v>54</v>
          </cell>
          <cell r="M47">
            <v>77</v>
          </cell>
          <cell r="N47">
            <v>0.375</v>
          </cell>
          <cell r="O47">
            <v>69.3</v>
          </cell>
          <cell r="P47">
            <v>0.23750000000000004</v>
          </cell>
          <cell r="Q47">
            <v>57.89473684210526</v>
          </cell>
          <cell r="R47">
            <v>-3.2727272727272716E-2</v>
          </cell>
          <cell r="S47">
            <v>67</v>
          </cell>
          <cell r="T47">
            <v>0.1964285714285714</v>
          </cell>
          <cell r="U47">
            <v>0</v>
          </cell>
          <cell r="W47">
            <v>67</v>
          </cell>
          <cell r="X47">
            <v>0.1964285714285714</v>
          </cell>
          <cell r="Y47">
            <v>69</v>
          </cell>
          <cell r="Z47">
            <v>0.23214285714285721</v>
          </cell>
          <cell r="AA47">
            <v>67.45</v>
          </cell>
          <cell r="AB47">
            <v>0.20446428571428577</v>
          </cell>
          <cell r="AC47">
            <v>0</v>
          </cell>
          <cell r="AE47">
            <v>69</v>
          </cell>
          <cell r="AF47">
            <v>0.23214285714285721</v>
          </cell>
          <cell r="AG47">
            <v>69</v>
          </cell>
          <cell r="AH47">
            <v>0.23214285714285721</v>
          </cell>
          <cell r="AI47">
            <v>0</v>
          </cell>
          <cell r="AK47">
            <v>0</v>
          </cell>
          <cell r="AM47">
            <v>0</v>
          </cell>
          <cell r="AQ47">
            <v>71</v>
          </cell>
          <cell r="AR47">
            <v>0.26785714285714279</v>
          </cell>
          <cell r="AS47">
            <v>71</v>
          </cell>
          <cell r="AT47">
            <v>0.26785714285714279</v>
          </cell>
          <cell r="AU47">
            <v>0</v>
          </cell>
          <cell r="AY47">
            <v>64</v>
          </cell>
          <cell r="AZ47">
            <v>55</v>
          </cell>
          <cell r="BA47">
            <v>-0.140625</v>
          </cell>
          <cell r="BC47">
            <v>55</v>
          </cell>
          <cell r="BD47">
            <v>0.14285714285714279</v>
          </cell>
          <cell r="BE47">
            <v>0.18518518518518512</v>
          </cell>
          <cell r="BF47">
            <v>70</v>
          </cell>
          <cell r="BG47">
            <v>66.5</v>
          </cell>
          <cell r="BH47">
            <v>-0.11278195488721809</v>
          </cell>
          <cell r="BI47">
            <v>-0.15789473684210531</v>
          </cell>
          <cell r="BJ47">
            <v>0.18644067796610164</v>
          </cell>
          <cell r="BK47">
            <v>-0.27142857142857146</v>
          </cell>
          <cell r="BL47">
            <v>-0.15714285714285714</v>
          </cell>
          <cell r="BM47" t="str">
            <v>170 tấm/ca</v>
          </cell>
          <cell r="BN47" t="str">
            <v>95-0-5</v>
          </cell>
        </row>
        <row r="48">
          <cell r="B48" t="str">
            <v>C4246J30</v>
          </cell>
          <cell r="C48">
            <v>74</v>
          </cell>
          <cell r="D48">
            <v>65</v>
          </cell>
          <cell r="E48">
            <v>71</v>
          </cell>
          <cell r="F48">
            <v>74</v>
          </cell>
          <cell r="G48">
            <v>74</v>
          </cell>
          <cell r="K48">
            <v>68</v>
          </cell>
          <cell r="L48">
            <v>71.58</v>
          </cell>
          <cell r="M48">
            <v>91</v>
          </cell>
          <cell r="N48">
            <v>0.28169014084507049</v>
          </cell>
          <cell r="O48">
            <v>81.900000000000006</v>
          </cell>
          <cell r="P48">
            <v>0.1535211267605634</v>
          </cell>
          <cell r="Q48">
            <v>76.859504132231407</v>
          </cell>
          <cell r="R48">
            <v>-7.6236559139784998E-2</v>
          </cell>
          <cell r="S48">
            <v>81</v>
          </cell>
          <cell r="T48">
            <v>0.14084507042253525</v>
          </cell>
          <cell r="U48">
            <v>0</v>
          </cell>
          <cell r="W48">
            <v>81</v>
          </cell>
          <cell r="X48">
            <v>0.14084507042253525</v>
          </cell>
          <cell r="Y48">
            <v>83</v>
          </cell>
          <cell r="Z48">
            <v>0.16901408450704225</v>
          </cell>
          <cell r="AA48">
            <v>81.7</v>
          </cell>
          <cell r="AB48">
            <v>0.1507042253521127</v>
          </cell>
          <cell r="AC48">
            <v>0</v>
          </cell>
          <cell r="AE48">
            <v>84</v>
          </cell>
          <cell r="AF48">
            <v>0.18309859154929575</v>
          </cell>
          <cell r="AG48">
            <v>83</v>
          </cell>
          <cell r="AH48">
            <v>0.16901408450704225</v>
          </cell>
          <cell r="AI48">
            <v>0</v>
          </cell>
          <cell r="AK48">
            <v>0</v>
          </cell>
          <cell r="AM48">
            <v>0</v>
          </cell>
          <cell r="AO48">
            <v>81.7</v>
          </cell>
          <cell r="AP48">
            <v>0.1507042253521127</v>
          </cell>
          <cell r="AQ48">
            <v>82.5</v>
          </cell>
          <cell r="AR48">
            <v>0.1619718309859155</v>
          </cell>
          <cell r="AS48">
            <v>86</v>
          </cell>
          <cell r="AT48">
            <v>0.21126760563380276</v>
          </cell>
          <cell r="AU48">
            <v>0</v>
          </cell>
          <cell r="AY48">
            <v>77</v>
          </cell>
          <cell r="AZ48">
            <v>70</v>
          </cell>
          <cell r="BA48">
            <v>-9.0909090909090939E-2</v>
          </cell>
          <cell r="BC48">
            <v>70</v>
          </cell>
          <cell r="BD48">
            <v>8.4507042253521236E-2</v>
          </cell>
          <cell r="BE48">
            <v>0.13235294117647056</v>
          </cell>
          <cell r="BF48">
            <v>85</v>
          </cell>
          <cell r="BG48">
            <v>80.75</v>
          </cell>
          <cell r="BH48">
            <v>-8.3591331269349811E-2</v>
          </cell>
          <cell r="BI48">
            <v>-0.12074303405572751</v>
          </cell>
          <cell r="BJ48">
            <v>0.14864864864864868</v>
          </cell>
          <cell r="BK48">
            <v>-0.23529411764705888</v>
          </cell>
          <cell r="BL48">
            <v>-0.12941176470588234</v>
          </cell>
          <cell r="BM48" t="str">
            <v>170 tấm/ca</v>
          </cell>
          <cell r="BN48" t="str">
            <v>95-0-5</v>
          </cell>
        </row>
        <row r="49">
          <cell r="B49" t="str">
            <v>C4250J20</v>
          </cell>
          <cell r="C49">
            <v>72</v>
          </cell>
          <cell r="D49">
            <v>63</v>
          </cell>
          <cell r="E49">
            <v>69</v>
          </cell>
          <cell r="F49">
            <v>72</v>
          </cell>
          <cell r="I49">
            <v>72</v>
          </cell>
          <cell r="K49">
            <v>66</v>
          </cell>
          <cell r="O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74</v>
          </cell>
          <cell r="AF49">
            <v>7.2463768115942129E-2</v>
          </cell>
          <cell r="AG49">
            <v>0</v>
          </cell>
          <cell r="AI49">
            <v>0</v>
          </cell>
          <cell r="AK49">
            <v>0</v>
          </cell>
          <cell r="AM49">
            <v>0</v>
          </cell>
          <cell r="AO49">
            <v>0</v>
          </cell>
          <cell r="AQ49">
            <v>0</v>
          </cell>
          <cell r="AS49">
            <v>0</v>
          </cell>
          <cell r="AU49">
            <v>0</v>
          </cell>
          <cell r="AY49">
            <v>66</v>
          </cell>
          <cell r="AZ49">
            <v>66</v>
          </cell>
          <cell r="BA49">
            <v>0</v>
          </cell>
          <cell r="BB49">
            <v>66</v>
          </cell>
          <cell r="BD49">
            <v>-4.3478260869565188E-2</v>
          </cell>
          <cell r="BE49">
            <v>0</v>
          </cell>
          <cell r="BF49">
            <v>75</v>
          </cell>
          <cell r="BG49">
            <v>71.25</v>
          </cell>
          <cell r="BH49">
            <v>1.0526315789473717E-2</v>
          </cell>
          <cell r="BI49">
            <v>-3.157894736842104E-2</v>
          </cell>
          <cell r="BJ49">
            <v>4.1666666666666741E-2</v>
          </cell>
          <cell r="BK49">
            <v>-0.16000000000000003</v>
          </cell>
          <cell r="BL49">
            <v>-4.0000000000000036E-2</v>
          </cell>
          <cell r="BM49" t="str">
            <v>90 tấm/ca</v>
          </cell>
          <cell r="BN49" t="str">
            <v>95-0-5</v>
          </cell>
        </row>
        <row r="50">
          <cell r="B50" t="str">
            <v>C4250J30</v>
          </cell>
          <cell r="C50">
            <v>88</v>
          </cell>
          <cell r="D50">
            <v>78</v>
          </cell>
          <cell r="E50">
            <v>85</v>
          </cell>
          <cell r="F50">
            <v>88</v>
          </cell>
          <cell r="I50">
            <v>88</v>
          </cell>
          <cell r="K50">
            <v>81</v>
          </cell>
          <cell r="O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95</v>
          </cell>
          <cell r="AF50">
            <v>0.11764705882352944</v>
          </cell>
          <cell r="AG50">
            <v>0</v>
          </cell>
          <cell r="AI50">
            <v>0</v>
          </cell>
          <cell r="AK50">
            <v>0</v>
          </cell>
          <cell r="AM50">
            <v>0</v>
          </cell>
          <cell r="AO50">
            <v>0</v>
          </cell>
          <cell r="AQ50">
            <v>0</v>
          </cell>
          <cell r="AS50">
            <v>0</v>
          </cell>
          <cell r="AU50">
            <v>0</v>
          </cell>
          <cell r="AY50">
            <v>85</v>
          </cell>
          <cell r="AZ50">
            <v>81</v>
          </cell>
          <cell r="BA50">
            <v>-4.705882352941182E-2</v>
          </cell>
          <cell r="BB50">
            <v>81</v>
          </cell>
          <cell r="BD50">
            <v>0</v>
          </cell>
          <cell r="BE50">
            <v>4.9382716049382713E-2</v>
          </cell>
          <cell r="BF50">
            <v>95</v>
          </cell>
          <cell r="BG50">
            <v>90.25</v>
          </cell>
          <cell r="BH50">
            <v>-2.4930747922437657E-2</v>
          </cell>
          <cell r="BI50">
            <v>-5.817174515235457E-2</v>
          </cell>
          <cell r="BJ50">
            <v>7.9545454545454586E-2</v>
          </cell>
          <cell r="BK50">
            <v>-0.17894736842105263</v>
          </cell>
          <cell r="BL50">
            <v>-7.3684210526315796E-2</v>
          </cell>
          <cell r="BM50" t="str">
            <v>90 tấm/ca</v>
          </cell>
          <cell r="BN50" t="str">
            <v>95-0-5</v>
          </cell>
        </row>
        <row r="51">
          <cell r="B51" t="str">
            <v>C4254J20</v>
          </cell>
          <cell r="C51">
            <v>59</v>
          </cell>
          <cell r="D51">
            <v>51</v>
          </cell>
          <cell r="E51">
            <v>56</v>
          </cell>
          <cell r="F51">
            <v>59</v>
          </cell>
          <cell r="G51">
            <v>59</v>
          </cell>
          <cell r="K51">
            <v>54</v>
          </cell>
          <cell r="M51">
            <v>77</v>
          </cell>
          <cell r="N51">
            <v>0.375</v>
          </cell>
          <cell r="O51">
            <v>69.3</v>
          </cell>
          <cell r="P51">
            <v>0.23750000000000004</v>
          </cell>
          <cell r="S51">
            <v>0</v>
          </cell>
          <cell r="U51">
            <v>0</v>
          </cell>
          <cell r="W51">
            <v>0</v>
          </cell>
          <cell r="Y51">
            <v>72</v>
          </cell>
          <cell r="Z51">
            <v>0.28571428571428581</v>
          </cell>
          <cell r="AA51">
            <v>71.25</v>
          </cell>
          <cell r="AB51">
            <v>0.2723214285714286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0</v>
          </cell>
          <cell r="AU51">
            <v>72</v>
          </cell>
          <cell r="AV51">
            <v>0.28571428571428581</v>
          </cell>
          <cell r="AY51">
            <v>64</v>
          </cell>
          <cell r="AZ51">
            <v>52</v>
          </cell>
          <cell r="BA51">
            <v>-0.1875</v>
          </cell>
          <cell r="BC51">
            <v>52</v>
          </cell>
          <cell r="BD51">
            <v>0.14285714285714279</v>
          </cell>
          <cell r="BE51">
            <v>0.18518518518518512</v>
          </cell>
          <cell r="BF51">
            <v>75</v>
          </cell>
          <cell r="BG51">
            <v>71.25</v>
          </cell>
          <cell r="BH51">
            <v>-0.17192982456140349</v>
          </cell>
          <cell r="BI51">
            <v>-0.21403508771929824</v>
          </cell>
          <cell r="BJ51">
            <v>0.27118644067796605</v>
          </cell>
          <cell r="BK51">
            <v>-0.31999999999999995</v>
          </cell>
          <cell r="BL51">
            <v>-0.21333333333333337</v>
          </cell>
          <cell r="BM51" t="str">
            <v>160 tấm/ca</v>
          </cell>
          <cell r="BN51" t="str">
            <v>95-0-5</v>
          </cell>
        </row>
        <row r="52">
          <cell r="B52" t="str">
            <v>C4254J30</v>
          </cell>
          <cell r="C52">
            <v>74</v>
          </cell>
          <cell r="D52">
            <v>65</v>
          </cell>
          <cell r="E52">
            <v>71</v>
          </cell>
          <cell r="F52">
            <v>74</v>
          </cell>
          <cell r="G52">
            <v>74</v>
          </cell>
          <cell r="K52">
            <v>68</v>
          </cell>
          <cell r="M52">
            <v>91</v>
          </cell>
          <cell r="N52">
            <v>0.28169014084507049</v>
          </cell>
          <cell r="O52">
            <v>81.900000000000006</v>
          </cell>
          <cell r="P52">
            <v>0.1535211267605634</v>
          </cell>
          <cell r="S52">
            <v>0</v>
          </cell>
          <cell r="U52">
            <v>0</v>
          </cell>
          <cell r="W52">
            <v>0</v>
          </cell>
          <cell r="Y52">
            <v>87</v>
          </cell>
          <cell r="Z52">
            <v>0.22535211267605626</v>
          </cell>
          <cell r="AA52">
            <v>85.5</v>
          </cell>
          <cell r="AB52">
            <v>0.20422535211267601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  <cell r="AM52">
            <v>0</v>
          </cell>
          <cell r="AO52">
            <v>0</v>
          </cell>
          <cell r="AQ52">
            <v>0</v>
          </cell>
          <cell r="AS52">
            <v>0</v>
          </cell>
          <cell r="AU52">
            <v>86</v>
          </cell>
          <cell r="AV52">
            <v>0.21126760563380276</v>
          </cell>
          <cell r="AY52">
            <v>77</v>
          </cell>
          <cell r="AZ52">
            <v>67</v>
          </cell>
          <cell r="BA52">
            <v>-0.12987012987012991</v>
          </cell>
          <cell r="BC52">
            <v>67</v>
          </cell>
          <cell r="BD52">
            <v>8.4507042253521236E-2</v>
          </cell>
          <cell r="BE52">
            <v>0.13235294117647056</v>
          </cell>
          <cell r="BF52">
            <v>90</v>
          </cell>
          <cell r="BG52">
            <v>85.5</v>
          </cell>
          <cell r="BH52">
            <v>-0.13450292397660824</v>
          </cell>
          <cell r="BI52">
            <v>-0.16959064327485385</v>
          </cell>
          <cell r="BJ52">
            <v>0.21621621621621623</v>
          </cell>
          <cell r="BK52">
            <v>-0.27777777777777779</v>
          </cell>
          <cell r="BL52">
            <v>-0.17777777777777781</v>
          </cell>
          <cell r="BM52" t="str">
            <v>160 tấm/ca</v>
          </cell>
          <cell r="BN52" t="str">
            <v>95-0-5</v>
          </cell>
        </row>
        <row r="53">
          <cell r="B53" t="str">
            <v>C4255J20</v>
          </cell>
          <cell r="C53">
            <v>71</v>
          </cell>
          <cell r="D53">
            <v>62</v>
          </cell>
          <cell r="E53">
            <v>68</v>
          </cell>
          <cell r="F53">
            <v>66</v>
          </cell>
          <cell r="J53">
            <v>66</v>
          </cell>
          <cell r="K53">
            <v>65</v>
          </cell>
          <cell r="O53">
            <v>0</v>
          </cell>
          <cell r="Q53">
            <v>70</v>
          </cell>
          <cell r="R53">
            <v>-2.8571428571428581E-2</v>
          </cell>
          <cell r="S53">
            <v>0</v>
          </cell>
          <cell r="U53">
            <v>73</v>
          </cell>
          <cell r="V53">
            <v>7.3529411764705843E-2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0</v>
          </cell>
          <cell r="AQ53">
            <v>0</v>
          </cell>
          <cell r="AS53">
            <v>0</v>
          </cell>
          <cell r="AU53">
            <v>0</v>
          </cell>
          <cell r="AY53">
            <v>68</v>
          </cell>
          <cell r="AZ53">
            <v>60</v>
          </cell>
          <cell r="BA53">
            <v>-0.11764705882352944</v>
          </cell>
          <cell r="BC53">
            <v>60</v>
          </cell>
          <cell r="BD53">
            <v>0</v>
          </cell>
          <cell r="BE53">
            <v>4.6153846153846212E-2</v>
          </cell>
          <cell r="BF53">
            <v>78</v>
          </cell>
          <cell r="BG53">
            <v>74.099999999999994</v>
          </cell>
          <cell r="BH53">
            <v>-0.10931174089068818</v>
          </cell>
          <cell r="BI53">
            <v>-8.2321187584345368E-2</v>
          </cell>
          <cell r="BJ53">
            <v>9.8591549295774739E-2</v>
          </cell>
          <cell r="BK53">
            <v>-0.20512820512820518</v>
          </cell>
          <cell r="BL53">
            <v>-8.9743589743589758E-2</v>
          </cell>
          <cell r="BM53" t="str">
            <v>105 tấm/ca</v>
          </cell>
          <cell r="BN53" t="str">
            <v>90-0-10</v>
          </cell>
          <cell r="BP53">
            <v>70.2</v>
          </cell>
        </row>
        <row r="54">
          <cell r="B54" t="str">
            <v>C4255J30</v>
          </cell>
          <cell r="C54">
            <v>88</v>
          </cell>
          <cell r="D54">
            <v>78</v>
          </cell>
          <cell r="E54">
            <v>85</v>
          </cell>
          <cell r="F54">
            <v>82</v>
          </cell>
          <cell r="J54">
            <v>82</v>
          </cell>
          <cell r="K54">
            <v>81</v>
          </cell>
          <cell r="O54">
            <v>0</v>
          </cell>
          <cell r="Q54">
            <v>85.714285714285722</v>
          </cell>
          <cell r="R54">
            <v>-8.3333333333334147E-3</v>
          </cell>
          <cell r="S54">
            <v>0</v>
          </cell>
          <cell r="U54">
            <v>87</v>
          </cell>
          <cell r="V54">
            <v>2.3529411764705799E-2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0</v>
          </cell>
          <cell r="AM54">
            <v>0</v>
          </cell>
          <cell r="AO54">
            <v>0</v>
          </cell>
          <cell r="AQ54">
            <v>0</v>
          </cell>
          <cell r="AS54">
            <v>0</v>
          </cell>
          <cell r="AU54">
            <v>0</v>
          </cell>
          <cell r="AY54">
            <v>85</v>
          </cell>
          <cell r="AZ54">
            <v>74</v>
          </cell>
          <cell r="BA54">
            <v>-0.12941176470588234</v>
          </cell>
          <cell r="BC54">
            <v>74</v>
          </cell>
          <cell r="BD54">
            <v>0</v>
          </cell>
          <cell r="BE54">
            <v>4.9382716049382713E-2</v>
          </cell>
          <cell r="BF54">
            <v>90</v>
          </cell>
          <cell r="BG54">
            <v>85.5</v>
          </cell>
          <cell r="BH54">
            <v>-4.0935672514619936E-2</v>
          </cell>
          <cell r="BI54">
            <v>-5.8479532163743242E-3</v>
          </cell>
          <cell r="BJ54">
            <v>2.2727272727272707E-2</v>
          </cell>
          <cell r="BK54">
            <v>-0.1333333333333333</v>
          </cell>
          <cell r="BL54">
            <v>-2.2222222222222254E-2</v>
          </cell>
          <cell r="BM54" t="str">
            <v>105 tấm/ca</v>
          </cell>
          <cell r="BN54" t="str">
            <v>90-0-10</v>
          </cell>
          <cell r="BP54">
            <v>81</v>
          </cell>
        </row>
        <row r="55">
          <cell r="B55" t="str">
            <v>C4326J20</v>
          </cell>
          <cell r="C55">
            <v>65</v>
          </cell>
          <cell r="D55">
            <v>57</v>
          </cell>
          <cell r="E55">
            <v>62</v>
          </cell>
          <cell r="F55">
            <v>64</v>
          </cell>
          <cell r="G55">
            <v>64</v>
          </cell>
          <cell r="K55">
            <v>60</v>
          </cell>
          <cell r="O55">
            <v>0</v>
          </cell>
          <cell r="S55">
            <v>0</v>
          </cell>
          <cell r="U55">
            <v>0</v>
          </cell>
          <cell r="W55">
            <v>0</v>
          </cell>
          <cell r="Y55">
            <v>69</v>
          </cell>
          <cell r="Z55">
            <v>0.11290322580645151</v>
          </cell>
          <cell r="AA55">
            <v>0</v>
          </cell>
          <cell r="AC55">
            <v>0</v>
          </cell>
          <cell r="AE55">
            <v>67</v>
          </cell>
          <cell r="AF55">
            <v>8.0645161290322509E-2</v>
          </cell>
          <cell r="AG55">
            <v>69</v>
          </cell>
          <cell r="AH55">
            <v>0.11290322580645151</v>
          </cell>
          <cell r="AI55">
            <v>0</v>
          </cell>
          <cell r="AK55">
            <v>0</v>
          </cell>
          <cell r="AM55">
            <v>0</v>
          </cell>
          <cell r="AO55">
            <v>0</v>
          </cell>
          <cell r="AQ55">
            <v>0</v>
          </cell>
          <cell r="AS55">
            <v>0</v>
          </cell>
          <cell r="AU55">
            <v>0</v>
          </cell>
          <cell r="AY55">
            <v>60</v>
          </cell>
          <cell r="AZ55">
            <v>60</v>
          </cell>
          <cell r="BA55">
            <v>0</v>
          </cell>
          <cell r="BC55">
            <v>60</v>
          </cell>
          <cell r="BD55">
            <v>-3.2258064516129004E-2</v>
          </cell>
          <cell r="BE55">
            <v>0</v>
          </cell>
          <cell r="BF55">
            <v>70</v>
          </cell>
          <cell r="BG55">
            <v>66.5</v>
          </cell>
          <cell r="BH55">
            <v>-3.7593984962406068E-2</v>
          </cell>
          <cell r="BI55">
            <v>-6.7669172932330879E-2</v>
          </cell>
          <cell r="BJ55">
            <v>7.6923076923076872E-2</v>
          </cell>
          <cell r="BK55">
            <v>-0.18571428571428572</v>
          </cell>
          <cell r="BL55">
            <v>-7.1428571428571397E-2</v>
          </cell>
          <cell r="BM55" t="str">
            <v>125 tấm/ca</v>
          </cell>
          <cell r="BN55" t="str">
            <v>95-0-5</v>
          </cell>
        </row>
        <row r="56">
          <cell r="B56" t="str">
            <v>C4326J30</v>
          </cell>
          <cell r="C56">
            <v>81</v>
          </cell>
          <cell r="D56">
            <v>72</v>
          </cell>
          <cell r="E56">
            <v>78</v>
          </cell>
          <cell r="F56">
            <v>81</v>
          </cell>
          <cell r="G56">
            <v>81</v>
          </cell>
          <cell r="K56">
            <v>75</v>
          </cell>
          <cell r="O56">
            <v>0</v>
          </cell>
          <cell r="S56">
            <v>0</v>
          </cell>
          <cell r="U56">
            <v>0</v>
          </cell>
          <cell r="W56">
            <v>0</v>
          </cell>
          <cell r="Y56">
            <v>86.5</v>
          </cell>
          <cell r="Z56">
            <v>0.10897435897435903</v>
          </cell>
          <cell r="AA56">
            <v>0</v>
          </cell>
          <cell r="AC56">
            <v>0</v>
          </cell>
          <cell r="AE56">
            <v>86</v>
          </cell>
          <cell r="AF56">
            <v>0.10256410256410264</v>
          </cell>
          <cell r="AG56">
            <v>86.5</v>
          </cell>
          <cell r="AH56">
            <v>0.10897435897435903</v>
          </cell>
          <cell r="AI56">
            <v>0</v>
          </cell>
          <cell r="AK56">
            <v>0</v>
          </cell>
          <cell r="AM56">
            <v>0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Y56">
            <v>77</v>
          </cell>
          <cell r="AZ56">
            <v>75</v>
          </cell>
          <cell r="BA56">
            <v>-2.5974025974025983E-2</v>
          </cell>
          <cell r="BC56">
            <v>75</v>
          </cell>
          <cell r="BD56">
            <v>-1.2820512820512775E-2</v>
          </cell>
          <cell r="BE56">
            <v>2.6666666666666616E-2</v>
          </cell>
          <cell r="BF56">
            <v>90</v>
          </cell>
          <cell r="BG56">
            <v>85.5</v>
          </cell>
          <cell r="BH56">
            <v>-5.2631578947368474E-2</v>
          </cell>
          <cell r="BI56">
            <v>-8.7719298245614086E-2</v>
          </cell>
          <cell r="BJ56">
            <v>0.11111111111111116</v>
          </cell>
          <cell r="BK56">
            <v>-0.19999999999999996</v>
          </cell>
          <cell r="BL56">
            <v>-9.9999999999999978E-2</v>
          </cell>
          <cell r="BM56" t="str">
            <v>125 tấm/ca</v>
          </cell>
          <cell r="BN56" t="str">
            <v>95-0-5</v>
          </cell>
        </row>
        <row r="57">
          <cell r="B57" t="str">
            <v>C4342J20</v>
          </cell>
          <cell r="C57">
            <v>69</v>
          </cell>
          <cell r="D57">
            <v>60</v>
          </cell>
          <cell r="E57">
            <v>66</v>
          </cell>
          <cell r="F57">
            <v>67</v>
          </cell>
          <cell r="J57">
            <v>67</v>
          </cell>
          <cell r="K57">
            <v>63</v>
          </cell>
          <cell r="O57">
            <v>0</v>
          </cell>
          <cell r="Q57">
            <v>65.517241379310349</v>
          </cell>
          <cell r="R57">
            <v>7.3684210526314686E-3</v>
          </cell>
          <cell r="S57">
            <v>72</v>
          </cell>
          <cell r="T57">
            <v>9.0909090909090828E-2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74</v>
          </cell>
          <cell r="AF57">
            <v>0.1212121212121211</v>
          </cell>
          <cell r="AG57">
            <v>74.5</v>
          </cell>
          <cell r="AH57">
            <v>0.1287878787878789</v>
          </cell>
          <cell r="AI57">
            <v>0</v>
          </cell>
          <cell r="AK57">
            <v>0</v>
          </cell>
          <cell r="AM57">
            <v>0</v>
          </cell>
          <cell r="AO57">
            <v>0</v>
          </cell>
          <cell r="AQ57">
            <v>0</v>
          </cell>
          <cell r="AS57">
            <v>74</v>
          </cell>
          <cell r="AT57">
            <v>0.1212121212121211</v>
          </cell>
          <cell r="AU57">
            <v>0</v>
          </cell>
          <cell r="AY57">
            <v>66</v>
          </cell>
          <cell r="AZ57">
            <v>60</v>
          </cell>
          <cell r="BA57">
            <v>-9.0909090909090939E-2</v>
          </cell>
          <cell r="BC57">
            <v>60</v>
          </cell>
          <cell r="BD57">
            <v>0</v>
          </cell>
          <cell r="BE57">
            <v>4.7619047619047672E-2</v>
          </cell>
          <cell r="BF57">
            <v>75</v>
          </cell>
          <cell r="BG57">
            <v>71.25</v>
          </cell>
          <cell r="BH57">
            <v>-5.9649122807017507E-2</v>
          </cell>
          <cell r="BI57">
            <v>-7.3684210526315796E-2</v>
          </cell>
          <cell r="BJ57">
            <v>8.6956521739130377E-2</v>
          </cell>
          <cell r="BK57">
            <v>-0.19999999999999996</v>
          </cell>
          <cell r="BL57">
            <v>-7.999999999999996E-2</v>
          </cell>
          <cell r="BM57" t="str">
            <v>105 tấm/ca</v>
          </cell>
          <cell r="BN57" t="str">
            <v>95-0-5</v>
          </cell>
        </row>
        <row r="58">
          <cell r="B58" t="str">
            <v>C4342J30</v>
          </cell>
          <cell r="C58">
            <v>85</v>
          </cell>
          <cell r="D58">
            <v>75</v>
          </cell>
          <cell r="E58">
            <v>82</v>
          </cell>
          <cell r="F58">
            <v>83</v>
          </cell>
          <cell r="J58">
            <v>83</v>
          </cell>
          <cell r="K58">
            <v>78</v>
          </cell>
          <cell r="O58">
            <v>0</v>
          </cell>
          <cell r="Q58">
            <v>81.818181818181813</v>
          </cell>
          <cell r="R58">
            <v>2.2222222222223476E-3</v>
          </cell>
          <cell r="S58">
            <v>91</v>
          </cell>
          <cell r="T58">
            <v>0.10975609756097571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93</v>
          </cell>
          <cell r="AF58">
            <v>0.13414634146341453</v>
          </cell>
          <cell r="AG58">
            <v>93.5</v>
          </cell>
          <cell r="AH58">
            <v>0.14024390243902429</v>
          </cell>
          <cell r="AI58">
            <v>0</v>
          </cell>
          <cell r="AK58">
            <v>0</v>
          </cell>
          <cell r="AM58">
            <v>0</v>
          </cell>
          <cell r="AO58">
            <v>0</v>
          </cell>
          <cell r="AQ58">
            <v>0</v>
          </cell>
          <cell r="AS58">
            <v>95</v>
          </cell>
          <cell r="AT58">
            <v>0.15853658536585358</v>
          </cell>
          <cell r="AU58">
            <v>0</v>
          </cell>
          <cell r="AY58">
            <v>85</v>
          </cell>
          <cell r="AZ58">
            <v>75</v>
          </cell>
          <cell r="BA58">
            <v>-0.11764705882352944</v>
          </cell>
          <cell r="BC58">
            <v>75</v>
          </cell>
          <cell r="BD58">
            <v>3.6585365853658569E-2</v>
          </cell>
          <cell r="BE58">
            <v>8.9743589743589647E-2</v>
          </cell>
          <cell r="BF58">
            <v>95</v>
          </cell>
          <cell r="BG58">
            <v>90.25</v>
          </cell>
          <cell r="BH58">
            <v>-8.0332409972299179E-2</v>
          </cell>
          <cell r="BI58">
            <v>-9.1412742382271484E-2</v>
          </cell>
          <cell r="BJ58">
            <v>0.11764705882352944</v>
          </cell>
          <cell r="BK58">
            <v>-0.21052631578947367</v>
          </cell>
          <cell r="BL58">
            <v>-0.10526315789473684</v>
          </cell>
          <cell r="BM58" t="str">
            <v>105 tấm/ca</v>
          </cell>
          <cell r="BN58" t="str">
            <v>95-0-5</v>
          </cell>
        </row>
        <row r="59">
          <cell r="B59" t="str">
            <v>C4345J20</v>
          </cell>
          <cell r="C59">
            <v>68</v>
          </cell>
          <cell r="D59">
            <v>59</v>
          </cell>
          <cell r="E59">
            <v>65</v>
          </cell>
          <cell r="F59">
            <v>66</v>
          </cell>
          <cell r="J59">
            <v>66</v>
          </cell>
          <cell r="K59">
            <v>62</v>
          </cell>
          <cell r="O59">
            <v>0</v>
          </cell>
          <cell r="Q59">
            <v>65.972222222222229</v>
          </cell>
          <cell r="R59">
            <v>-1.473684210526327E-2</v>
          </cell>
          <cell r="S59">
            <v>0</v>
          </cell>
          <cell r="U59">
            <v>75</v>
          </cell>
          <cell r="V59">
            <v>0.15384615384615374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M59">
            <v>0</v>
          </cell>
          <cell r="AO59">
            <v>0</v>
          </cell>
          <cell r="AQ59">
            <v>0</v>
          </cell>
          <cell r="AS59">
            <v>0</v>
          </cell>
          <cell r="AU59">
            <v>0</v>
          </cell>
          <cell r="AY59">
            <v>66</v>
          </cell>
          <cell r="AZ59">
            <v>60</v>
          </cell>
          <cell r="BA59">
            <v>-9.0909090909090939E-2</v>
          </cell>
          <cell r="BC59">
            <v>60</v>
          </cell>
          <cell r="BD59">
            <v>1.538461538461533E-2</v>
          </cell>
          <cell r="BE59">
            <v>6.4516129032258007E-2</v>
          </cell>
          <cell r="BF59">
            <v>75</v>
          </cell>
          <cell r="BG59">
            <v>71.25</v>
          </cell>
          <cell r="BH59">
            <v>-7.3684210526315796E-2</v>
          </cell>
          <cell r="BI59">
            <v>-8.7719298245614086E-2</v>
          </cell>
          <cell r="BJ59">
            <v>0.10294117647058831</v>
          </cell>
          <cell r="BK59">
            <v>-0.21333333333333337</v>
          </cell>
          <cell r="BL59">
            <v>-9.3333333333333379E-2</v>
          </cell>
          <cell r="BM59" t="str">
            <v>105 tấm/ca</v>
          </cell>
          <cell r="BN59" t="str">
            <v>95-0-5</v>
          </cell>
          <cell r="BP59">
            <v>67.5</v>
          </cell>
        </row>
        <row r="60">
          <cell r="B60" t="str">
            <v>C4345J30</v>
          </cell>
          <cell r="C60">
            <v>84</v>
          </cell>
          <cell r="D60">
            <v>74</v>
          </cell>
          <cell r="E60">
            <v>81</v>
          </cell>
          <cell r="F60">
            <v>82</v>
          </cell>
          <cell r="J60">
            <v>82</v>
          </cell>
          <cell r="K60">
            <v>78</v>
          </cell>
          <cell r="O60">
            <v>0</v>
          </cell>
          <cell r="Q60">
            <v>82.706766917293223</v>
          </cell>
          <cell r="R60">
            <v>-2.0636363636363564E-2</v>
          </cell>
          <cell r="S60">
            <v>0</v>
          </cell>
          <cell r="U60">
            <v>93</v>
          </cell>
          <cell r="V60">
            <v>0.14814814814814814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  <cell r="AK60">
            <v>0</v>
          </cell>
          <cell r="AM60">
            <v>0</v>
          </cell>
          <cell r="AO60">
            <v>0</v>
          </cell>
          <cell r="AQ60">
            <v>0</v>
          </cell>
          <cell r="AS60">
            <v>0</v>
          </cell>
          <cell r="AU60">
            <v>0</v>
          </cell>
          <cell r="AY60">
            <v>85</v>
          </cell>
          <cell r="AZ60">
            <v>75</v>
          </cell>
          <cell r="BA60">
            <v>-0.11764705882352944</v>
          </cell>
          <cell r="BC60">
            <v>75</v>
          </cell>
          <cell r="BD60">
            <v>4.9382716049382713E-2</v>
          </cell>
          <cell r="BE60">
            <v>8.9743589743589647E-2</v>
          </cell>
          <cell r="BF60">
            <v>95</v>
          </cell>
          <cell r="BG60">
            <v>90.25</v>
          </cell>
          <cell r="BH60">
            <v>-9.1412742382271484E-2</v>
          </cell>
          <cell r="BI60">
            <v>-0.10249307479224379</v>
          </cell>
          <cell r="BJ60">
            <v>0.13095238095238093</v>
          </cell>
          <cell r="BK60">
            <v>-0.22105263157894739</v>
          </cell>
          <cell r="BL60">
            <v>-0.11578947368421055</v>
          </cell>
          <cell r="BM60" t="str">
            <v>105 tấm/ca</v>
          </cell>
          <cell r="BN60" t="str">
            <v>95-0-5</v>
          </cell>
          <cell r="BP60">
            <v>85.5</v>
          </cell>
        </row>
        <row r="61">
          <cell r="B61" t="str">
            <v>C4346J20</v>
          </cell>
          <cell r="C61">
            <v>71</v>
          </cell>
          <cell r="D61">
            <v>62</v>
          </cell>
          <cell r="E61">
            <v>68</v>
          </cell>
          <cell r="F61">
            <v>71</v>
          </cell>
          <cell r="H61">
            <v>71</v>
          </cell>
          <cell r="K61">
            <v>65</v>
          </cell>
          <cell r="O61">
            <v>0</v>
          </cell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74.5</v>
          </cell>
          <cell r="AH61">
            <v>9.5588235294117752E-2</v>
          </cell>
          <cell r="AI61">
            <v>0</v>
          </cell>
          <cell r="AK61">
            <v>0</v>
          </cell>
          <cell r="AM61">
            <v>0</v>
          </cell>
          <cell r="AO61">
            <v>0</v>
          </cell>
          <cell r="AQ61">
            <v>0</v>
          </cell>
          <cell r="AS61">
            <v>0</v>
          </cell>
          <cell r="AU61">
            <v>0</v>
          </cell>
          <cell r="AY61">
            <v>66</v>
          </cell>
          <cell r="AZ61">
            <v>65</v>
          </cell>
          <cell r="BA61">
            <v>-1.5151515151515138E-2</v>
          </cell>
          <cell r="BB61">
            <v>65</v>
          </cell>
          <cell r="BD61">
            <v>-2.9411764705882359E-2</v>
          </cell>
          <cell r="BE61">
            <v>1.538461538461533E-2</v>
          </cell>
          <cell r="BF61">
            <v>75</v>
          </cell>
          <cell r="BG61">
            <v>71.25</v>
          </cell>
          <cell r="BH61">
            <v>-3.5087719298245723E-3</v>
          </cell>
          <cell r="BI61">
            <v>-4.5614035087719329E-2</v>
          </cell>
          <cell r="BJ61">
            <v>5.6338028169014009E-2</v>
          </cell>
          <cell r="BK61">
            <v>-0.17333333333333334</v>
          </cell>
          <cell r="BL61">
            <v>-5.3333333333333344E-2</v>
          </cell>
          <cell r="BM61" t="str">
            <v>90 tấm/ca</v>
          </cell>
          <cell r="BN61" t="str">
            <v>95-0-5</v>
          </cell>
        </row>
        <row r="62">
          <cell r="B62" t="str">
            <v>C4346J30</v>
          </cell>
          <cell r="C62">
            <v>87</v>
          </cell>
          <cell r="D62">
            <v>77</v>
          </cell>
          <cell r="E62">
            <v>84</v>
          </cell>
          <cell r="F62">
            <v>87</v>
          </cell>
          <cell r="H62">
            <v>87</v>
          </cell>
          <cell r="K62">
            <v>80</v>
          </cell>
          <cell r="O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93.5</v>
          </cell>
          <cell r="AH62">
            <v>0.11309523809523814</v>
          </cell>
          <cell r="AI62">
            <v>0</v>
          </cell>
          <cell r="AK62">
            <v>0</v>
          </cell>
          <cell r="AM62">
            <v>0</v>
          </cell>
          <cell r="AO62">
            <v>0</v>
          </cell>
          <cell r="AQ62">
            <v>0</v>
          </cell>
          <cell r="AS62">
            <v>0</v>
          </cell>
          <cell r="AU62">
            <v>0</v>
          </cell>
          <cell r="AY62">
            <v>85</v>
          </cell>
          <cell r="AZ62">
            <v>80</v>
          </cell>
          <cell r="BA62">
            <v>-5.8823529411764719E-2</v>
          </cell>
          <cell r="BB62">
            <v>80</v>
          </cell>
          <cell r="BD62">
            <v>1.1904761904761862E-2</v>
          </cell>
          <cell r="BE62">
            <v>6.25E-2</v>
          </cell>
          <cell r="BF62">
            <v>95</v>
          </cell>
          <cell r="BG62">
            <v>90.25</v>
          </cell>
          <cell r="BH62">
            <v>-3.6011080332409962E-2</v>
          </cell>
          <cell r="BI62">
            <v>-6.9252077562326875E-2</v>
          </cell>
          <cell r="BJ62">
            <v>9.1954022988505857E-2</v>
          </cell>
          <cell r="BK62">
            <v>-0.18947368421052635</v>
          </cell>
          <cell r="BL62">
            <v>-8.4210526315789513E-2</v>
          </cell>
          <cell r="BM62" t="str">
            <v>90 tấm/ca</v>
          </cell>
          <cell r="BN62" t="str">
            <v>95-0-5</v>
          </cell>
        </row>
        <row r="63">
          <cell r="B63" t="str">
            <v>C4348J20</v>
          </cell>
          <cell r="C63">
            <v>72</v>
          </cell>
          <cell r="D63">
            <v>63</v>
          </cell>
          <cell r="E63">
            <v>70</v>
          </cell>
          <cell r="F63">
            <v>65</v>
          </cell>
          <cell r="J63">
            <v>65</v>
          </cell>
          <cell r="K63">
            <v>67</v>
          </cell>
          <cell r="O63">
            <v>0</v>
          </cell>
          <cell r="Q63">
            <v>63.333333333333336</v>
          </cell>
          <cell r="R63">
            <v>0.10526315789473673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68.399999999999991</v>
          </cell>
          <cell r="AD63">
            <v>-2.285714285714302E-2</v>
          </cell>
          <cell r="AE63">
            <v>0</v>
          </cell>
          <cell r="AG63">
            <v>68.5</v>
          </cell>
          <cell r="AH63">
            <v>-2.1428571428571463E-2</v>
          </cell>
          <cell r="AI63">
            <v>0</v>
          </cell>
          <cell r="AK63">
            <v>0</v>
          </cell>
          <cell r="AM63">
            <v>0</v>
          </cell>
          <cell r="AO63">
            <v>0</v>
          </cell>
          <cell r="AQ63">
            <v>72</v>
          </cell>
          <cell r="AR63">
            <v>2.857142857142847E-2</v>
          </cell>
          <cell r="AS63">
            <v>0</v>
          </cell>
          <cell r="AU63">
            <v>0</v>
          </cell>
          <cell r="AY63">
            <v>61</v>
          </cell>
          <cell r="AZ63">
            <v>59</v>
          </cell>
          <cell r="BA63">
            <v>-3.2786885245901676E-2</v>
          </cell>
          <cell r="BC63">
            <v>59</v>
          </cell>
          <cell r="BD63">
            <v>-0.12857142857142856</v>
          </cell>
          <cell r="BE63">
            <v>-8.9552238805970186E-2</v>
          </cell>
          <cell r="BF63">
            <v>72</v>
          </cell>
          <cell r="BG63">
            <v>68.399999999999991</v>
          </cell>
          <cell r="BH63">
            <v>-4.9707602339181145E-2</v>
          </cell>
          <cell r="BI63">
            <v>2.3391812865497297E-2</v>
          </cell>
          <cell r="BJ63">
            <v>0</v>
          </cell>
          <cell r="BK63">
            <v>-0.125</v>
          </cell>
          <cell r="BL63">
            <v>0</v>
          </cell>
          <cell r="BM63" t="str">
            <v>80 tấm/ca</v>
          </cell>
          <cell r="BN63" t="str">
            <v>95-0-5</v>
          </cell>
        </row>
        <row r="64">
          <cell r="B64" t="str">
            <v>C4348J30</v>
          </cell>
          <cell r="C64">
            <v>88</v>
          </cell>
          <cell r="D64">
            <v>78</v>
          </cell>
          <cell r="E64">
            <v>85</v>
          </cell>
          <cell r="F64">
            <v>81</v>
          </cell>
          <cell r="J64">
            <v>81</v>
          </cell>
          <cell r="K64">
            <v>81</v>
          </cell>
          <cell r="O64">
            <v>0</v>
          </cell>
          <cell r="Q64">
            <v>75.187969924812023</v>
          </cell>
          <cell r="R64">
            <v>0.13050000000000006</v>
          </cell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85.5</v>
          </cell>
          <cell r="AD64">
            <v>5.8823529411764497E-3</v>
          </cell>
          <cell r="AE64">
            <v>0</v>
          </cell>
          <cell r="AG64">
            <v>84.5</v>
          </cell>
          <cell r="AH64">
            <v>-5.8823529411764497E-3</v>
          </cell>
          <cell r="AI64">
            <v>0</v>
          </cell>
          <cell r="AK64">
            <v>0</v>
          </cell>
          <cell r="AM64">
            <v>0</v>
          </cell>
          <cell r="AO64">
            <v>0</v>
          </cell>
          <cell r="AQ64">
            <v>88</v>
          </cell>
          <cell r="AR64">
            <v>3.529411764705892E-2</v>
          </cell>
          <cell r="AS64">
            <v>0</v>
          </cell>
          <cell r="AU64">
            <v>0</v>
          </cell>
          <cell r="AY64">
            <v>75</v>
          </cell>
          <cell r="AZ64">
            <v>73</v>
          </cell>
          <cell r="BA64">
            <v>-2.6666666666666616E-2</v>
          </cell>
          <cell r="BC64">
            <v>73</v>
          </cell>
          <cell r="BD64">
            <v>-0.11764705882352944</v>
          </cell>
          <cell r="BE64">
            <v>-7.407407407407407E-2</v>
          </cell>
          <cell r="BF64">
            <v>88</v>
          </cell>
          <cell r="BG64">
            <v>83.6</v>
          </cell>
          <cell r="BH64">
            <v>-3.1100478468899406E-2</v>
          </cell>
          <cell r="BI64">
            <v>1.674641148325362E-2</v>
          </cell>
          <cell r="BJ64">
            <v>0</v>
          </cell>
          <cell r="BK64">
            <v>-0.11363636363636365</v>
          </cell>
          <cell r="BL64">
            <v>0</v>
          </cell>
          <cell r="BM64" t="str">
            <v>80 tấm/ca</v>
          </cell>
          <cell r="BN64" t="str">
            <v>95-0-5</v>
          </cell>
        </row>
        <row r="65">
          <cell r="B65" t="str">
            <v>C5225J20</v>
          </cell>
          <cell r="C65">
            <v>68</v>
          </cell>
          <cell r="D65">
            <v>59</v>
          </cell>
          <cell r="E65">
            <v>62</v>
          </cell>
          <cell r="F65">
            <v>81</v>
          </cell>
          <cell r="H65">
            <v>81</v>
          </cell>
          <cell r="K65">
            <v>65</v>
          </cell>
          <cell r="O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69.349999999999994</v>
          </cell>
          <cell r="AD65">
            <v>0.11854838709677407</v>
          </cell>
          <cell r="AE65">
            <v>0</v>
          </cell>
          <cell r="AG65">
            <v>0</v>
          </cell>
          <cell r="AI65">
            <v>0</v>
          </cell>
          <cell r="AK65">
            <v>0</v>
          </cell>
          <cell r="AM65">
            <v>0</v>
          </cell>
          <cell r="AO65">
            <v>0</v>
          </cell>
          <cell r="AQ65">
            <v>0</v>
          </cell>
          <cell r="AS65">
            <v>0</v>
          </cell>
          <cell r="AU65">
            <v>0</v>
          </cell>
          <cell r="AY65">
            <v>62</v>
          </cell>
          <cell r="AZ65">
            <v>73</v>
          </cell>
          <cell r="BA65">
            <v>0.17741935483870974</v>
          </cell>
          <cell r="BB65">
            <v>73</v>
          </cell>
          <cell r="BD65">
            <v>0</v>
          </cell>
          <cell r="BE65">
            <v>-4.6153846153846101E-2</v>
          </cell>
          <cell r="BF65">
            <v>68</v>
          </cell>
          <cell r="BG65">
            <v>64.599999999999994</v>
          </cell>
          <cell r="BH65">
            <v>0.25386996904024772</v>
          </cell>
          <cell r="BI65">
            <v>-4.0247678018575761E-2</v>
          </cell>
          <cell r="BJ65">
            <v>0</v>
          </cell>
          <cell r="BK65">
            <v>-0.13235294117647056</v>
          </cell>
          <cell r="BL65">
            <v>0</v>
          </cell>
          <cell r="BM65" t="str">
            <v>80 tấm/ca</v>
          </cell>
          <cell r="BN65" t="str">
            <v>95-0-5</v>
          </cell>
        </row>
        <row r="66">
          <cell r="B66" t="str">
            <v>C5225J30</v>
          </cell>
          <cell r="C66">
            <v>83</v>
          </cell>
          <cell r="D66">
            <v>73</v>
          </cell>
          <cell r="E66">
            <v>76</v>
          </cell>
          <cell r="F66">
            <v>96</v>
          </cell>
          <cell r="H66">
            <v>96</v>
          </cell>
          <cell r="K66">
            <v>79</v>
          </cell>
          <cell r="O66">
            <v>0</v>
          </cell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83.6</v>
          </cell>
          <cell r="AD66">
            <v>9.9999999999999867E-2</v>
          </cell>
          <cell r="AE66">
            <v>0</v>
          </cell>
          <cell r="AG66">
            <v>0</v>
          </cell>
          <cell r="AI66">
            <v>0</v>
          </cell>
          <cell r="AK66">
            <v>0</v>
          </cell>
          <cell r="AM66">
            <v>0</v>
          </cell>
          <cell r="AO66">
            <v>0</v>
          </cell>
          <cell r="AQ66">
            <v>0</v>
          </cell>
          <cell r="AS66">
            <v>0</v>
          </cell>
          <cell r="AU66">
            <v>0</v>
          </cell>
          <cell r="AY66">
            <v>76</v>
          </cell>
          <cell r="AZ66">
            <v>87</v>
          </cell>
          <cell r="BA66">
            <v>0.14473684210526305</v>
          </cell>
          <cell r="BB66">
            <v>87</v>
          </cell>
          <cell r="BD66">
            <v>0</v>
          </cell>
          <cell r="BE66">
            <v>-3.7974683544303778E-2</v>
          </cell>
          <cell r="BF66">
            <v>83</v>
          </cell>
          <cell r="BG66">
            <v>78.849999999999994</v>
          </cell>
          <cell r="BH66">
            <v>0.2175015852885227</v>
          </cell>
          <cell r="BI66">
            <v>-3.6144578313252906E-2</v>
          </cell>
          <cell r="BJ66">
            <v>0</v>
          </cell>
          <cell r="BK66">
            <v>-0.12048192771084343</v>
          </cell>
          <cell r="BL66">
            <v>0</v>
          </cell>
          <cell r="BM66" t="str">
            <v>80 tấm/ca</v>
          </cell>
          <cell r="BN66" t="str">
            <v>95-0-5</v>
          </cell>
        </row>
        <row r="67">
          <cell r="B67" t="str">
            <v>C5240J20</v>
          </cell>
          <cell r="C67">
            <v>66</v>
          </cell>
          <cell r="D67">
            <v>57</v>
          </cell>
          <cell r="E67">
            <v>63</v>
          </cell>
          <cell r="F67">
            <v>66</v>
          </cell>
          <cell r="I67">
            <v>66</v>
          </cell>
          <cell r="K67">
            <v>60</v>
          </cell>
          <cell r="O67">
            <v>0</v>
          </cell>
          <cell r="S67">
            <v>65</v>
          </cell>
          <cell r="T67">
            <v>3.1746031746031855E-2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  <cell r="AK67">
            <v>0</v>
          </cell>
          <cell r="AM67">
            <v>0</v>
          </cell>
          <cell r="AO67">
            <v>0</v>
          </cell>
          <cell r="AQ67">
            <v>0</v>
          </cell>
          <cell r="AS67">
            <v>0</v>
          </cell>
          <cell r="AU67">
            <v>0</v>
          </cell>
          <cell r="AY67">
            <v>61</v>
          </cell>
          <cell r="AZ67">
            <v>60</v>
          </cell>
          <cell r="BA67">
            <v>-1.6393442622950838E-2</v>
          </cell>
          <cell r="BB67">
            <v>60</v>
          </cell>
          <cell r="BD67">
            <v>-3.1746031746031744E-2</v>
          </cell>
          <cell r="BE67">
            <v>1.6666666666666607E-2</v>
          </cell>
          <cell r="BF67">
            <v>67</v>
          </cell>
          <cell r="BG67">
            <v>63.65</v>
          </cell>
          <cell r="BH67">
            <v>3.6920659858601823E-2</v>
          </cell>
          <cell r="BI67">
            <v>-1.0212097407698351E-2</v>
          </cell>
          <cell r="BJ67">
            <v>1.5151515151515138E-2</v>
          </cell>
          <cell r="BK67">
            <v>-0.14925373134328357</v>
          </cell>
          <cell r="BL67">
            <v>-1.4925373134328401E-2</v>
          </cell>
          <cell r="BM67" t="str">
            <v>90 tấm/ca</v>
          </cell>
          <cell r="BN67" t="str">
            <v>95-0-5</v>
          </cell>
        </row>
        <row r="68">
          <cell r="B68" t="str">
            <v>C5240J30</v>
          </cell>
          <cell r="C68">
            <v>81</v>
          </cell>
          <cell r="D68">
            <v>71</v>
          </cell>
          <cell r="E68">
            <v>77</v>
          </cell>
          <cell r="F68">
            <v>81</v>
          </cell>
          <cell r="I68">
            <v>81</v>
          </cell>
          <cell r="K68">
            <v>74</v>
          </cell>
          <cell r="O68">
            <v>0</v>
          </cell>
          <cell r="S68">
            <v>79</v>
          </cell>
          <cell r="T68">
            <v>2.5974025974025983E-2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  <cell r="AK68">
            <v>0</v>
          </cell>
          <cell r="AM68">
            <v>0</v>
          </cell>
          <cell r="AO68">
            <v>0</v>
          </cell>
          <cell r="AQ68">
            <v>0</v>
          </cell>
          <cell r="AS68">
            <v>0</v>
          </cell>
          <cell r="AU68">
            <v>0</v>
          </cell>
          <cell r="AY68">
            <v>76</v>
          </cell>
          <cell r="AZ68">
            <v>74</v>
          </cell>
          <cell r="BA68">
            <v>-2.6315789473684181E-2</v>
          </cell>
          <cell r="BB68">
            <v>74</v>
          </cell>
          <cell r="BD68">
            <v>-1.2987012987012991E-2</v>
          </cell>
          <cell r="BE68">
            <v>2.7027027027026973E-2</v>
          </cell>
          <cell r="BF68">
            <v>82</v>
          </cell>
          <cell r="BG68">
            <v>77.899999999999991</v>
          </cell>
          <cell r="BH68">
            <v>3.9794608472400572E-2</v>
          </cell>
          <cell r="BI68">
            <v>-1.1553273427471034E-2</v>
          </cell>
          <cell r="BJ68">
            <v>1.2345679012345734E-2</v>
          </cell>
          <cell r="BK68">
            <v>-0.13414634146341464</v>
          </cell>
          <cell r="BL68">
            <v>-1.2195121951219523E-2</v>
          </cell>
          <cell r="BM68" t="str">
            <v>90 tấm/ca</v>
          </cell>
          <cell r="BN68" t="str">
            <v>95-0-5</v>
          </cell>
        </row>
        <row r="69">
          <cell r="B69" t="str">
            <v>C5340J20</v>
          </cell>
          <cell r="C69">
            <v>67</v>
          </cell>
          <cell r="D69">
            <v>58</v>
          </cell>
          <cell r="E69">
            <v>64</v>
          </cell>
          <cell r="F69">
            <v>64</v>
          </cell>
          <cell r="J69">
            <v>64</v>
          </cell>
          <cell r="K69">
            <v>61</v>
          </cell>
          <cell r="O69">
            <v>0</v>
          </cell>
          <cell r="S69">
            <v>71</v>
          </cell>
          <cell r="T69">
            <v>0.109375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74.5</v>
          </cell>
          <cell r="AH69">
            <v>0.1640625</v>
          </cell>
          <cell r="AI69">
            <v>0</v>
          </cell>
          <cell r="AK69">
            <v>0</v>
          </cell>
          <cell r="AM69">
            <v>0</v>
          </cell>
          <cell r="AO69">
            <v>0</v>
          </cell>
          <cell r="AQ69">
            <v>0</v>
          </cell>
          <cell r="AS69">
            <v>0</v>
          </cell>
          <cell r="AU69">
            <v>0</v>
          </cell>
          <cell r="AY69">
            <v>65</v>
          </cell>
          <cell r="AZ69">
            <v>58</v>
          </cell>
          <cell r="BA69">
            <v>-0.10769230769230764</v>
          </cell>
          <cell r="BC69">
            <v>58</v>
          </cell>
          <cell r="BD69">
            <v>1.5625E-2</v>
          </cell>
          <cell r="BE69">
            <v>6.5573770491803351E-2</v>
          </cell>
          <cell r="BF69">
            <v>75</v>
          </cell>
          <cell r="BG69">
            <v>71.25</v>
          </cell>
          <cell r="BH69">
            <v>-0.10175438596491226</v>
          </cell>
          <cell r="BI69">
            <v>-0.10175438596491226</v>
          </cell>
          <cell r="BJ69">
            <v>0.11940298507462677</v>
          </cell>
          <cell r="BK69">
            <v>-0.22666666666666668</v>
          </cell>
          <cell r="BL69">
            <v>-0.10666666666666669</v>
          </cell>
          <cell r="BM69" t="str">
            <v>110 tấm/ca</v>
          </cell>
          <cell r="BN69" t="str">
            <v>95-0-5</v>
          </cell>
        </row>
        <row r="70">
          <cell r="B70" t="str">
            <v>C5340J30</v>
          </cell>
          <cell r="C70">
            <v>83</v>
          </cell>
          <cell r="D70">
            <v>73</v>
          </cell>
          <cell r="E70">
            <v>79</v>
          </cell>
          <cell r="F70">
            <v>80</v>
          </cell>
          <cell r="J70">
            <v>80</v>
          </cell>
          <cell r="K70">
            <v>76</v>
          </cell>
          <cell r="O70">
            <v>0</v>
          </cell>
          <cell r="S70">
            <v>86</v>
          </cell>
          <cell r="T70">
            <v>8.8607594936708889E-2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86.5</v>
          </cell>
          <cell r="AH70">
            <v>9.4936708860759556E-2</v>
          </cell>
          <cell r="AI70">
            <v>0</v>
          </cell>
          <cell r="AK70">
            <v>0</v>
          </cell>
          <cell r="AM70">
            <v>0</v>
          </cell>
          <cell r="AO70">
            <v>0</v>
          </cell>
          <cell r="AQ70">
            <v>0</v>
          </cell>
          <cell r="AS70">
            <v>0</v>
          </cell>
          <cell r="AU70">
            <v>0</v>
          </cell>
          <cell r="AY70">
            <v>77</v>
          </cell>
          <cell r="AZ70">
            <v>73</v>
          </cell>
          <cell r="BA70">
            <v>-5.1948051948051965E-2</v>
          </cell>
          <cell r="BC70">
            <v>73</v>
          </cell>
          <cell r="BD70">
            <v>-2.5316455696202556E-2</v>
          </cell>
          <cell r="BE70">
            <v>1.3157894736842035E-2</v>
          </cell>
          <cell r="BF70">
            <v>90</v>
          </cell>
          <cell r="BG70">
            <v>85.5</v>
          </cell>
          <cell r="BH70">
            <v>-6.4327485380117011E-2</v>
          </cell>
          <cell r="BI70">
            <v>-7.6023391812865548E-2</v>
          </cell>
          <cell r="BJ70">
            <v>8.43373493975903E-2</v>
          </cell>
          <cell r="BK70">
            <v>-0.18888888888888888</v>
          </cell>
          <cell r="BL70">
            <v>-7.7777777777777724E-2</v>
          </cell>
          <cell r="BM70" t="str">
            <v>110 tấm/ca</v>
          </cell>
          <cell r="BN70" t="str">
            <v>95-0-5</v>
          </cell>
        </row>
        <row r="71">
          <cell r="B71" t="str">
            <v>C5366J20</v>
          </cell>
          <cell r="C71">
            <v>71</v>
          </cell>
          <cell r="D71">
            <v>62</v>
          </cell>
          <cell r="E71">
            <v>68</v>
          </cell>
          <cell r="F71">
            <v>66</v>
          </cell>
          <cell r="J71">
            <v>66</v>
          </cell>
          <cell r="K71">
            <v>65</v>
          </cell>
          <cell r="O71">
            <v>0</v>
          </cell>
          <cell r="S71">
            <v>0</v>
          </cell>
          <cell r="U71">
            <v>0</v>
          </cell>
          <cell r="W71">
            <v>0</v>
          </cell>
          <cell r="Y71">
            <v>71.5</v>
          </cell>
          <cell r="Z71">
            <v>5.1470588235294157E-2</v>
          </cell>
          <cell r="AA71">
            <v>0</v>
          </cell>
          <cell r="AC71">
            <v>71.25</v>
          </cell>
          <cell r="AD71">
            <v>4.7794117647058876E-2</v>
          </cell>
          <cell r="AE71">
            <v>0</v>
          </cell>
          <cell r="AG71">
            <v>0</v>
          </cell>
          <cell r="AI71">
            <v>0</v>
          </cell>
          <cell r="AK71">
            <v>0</v>
          </cell>
          <cell r="AM71">
            <v>0</v>
          </cell>
          <cell r="AO71">
            <v>0</v>
          </cell>
          <cell r="AQ71">
            <v>0</v>
          </cell>
          <cell r="AS71">
            <v>0</v>
          </cell>
          <cell r="AU71">
            <v>0</v>
          </cell>
          <cell r="AY71">
            <v>65</v>
          </cell>
          <cell r="AZ71">
            <v>59</v>
          </cell>
          <cell r="BA71">
            <v>-9.2307692307692313E-2</v>
          </cell>
          <cell r="BC71">
            <v>59</v>
          </cell>
          <cell r="BD71">
            <v>-4.4117647058823484E-2</v>
          </cell>
          <cell r="BE71">
            <v>0</v>
          </cell>
          <cell r="BF71">
            <v>75</v>
          </cell>
          <cell r="BG71">
            <v>71.25</v>
          </cell>
          <cell r="BH71">
            <v>-7.3684210526315796E-2</v>
          </cell>
          <cell r="BI71">
            <v>-4.5614035087719329E-2</v>
          </cell>
          <cell r="BJ71">
            <v>5.6338028169014009E-2</v>
          </cell>
          <cell r="BK71">
            <v>-0.17333333333333334</v>
          </cell>
          <cell r="BL71">
            <v>-5.3333333333333344E-2</v>
          </cell>
          <cell r="BM71" t="str">
            <v>85 tấm/ca</v>
          </cell>
          <cell r="BN71" t="str">
            <v>95-0-5</v>
          </cell>
        </row>
        <row r="72">
          <cell r="B72" t="str">
            <v>C5366J30</v>
          </cell>
          <cell r="C72">
            <v>86</v>
          </cell>
          <cell r="D72">
            <v>76</v>
          </cell>
          <cell r="E72">
            <v>83</v>
          </cell>
          <cell r="F72">
            <v>81</v>
          </cell>
          <cell r="J72">
            <v>81</v>
          </cell>
          <cell r="K72">
            <v>79</v>
          </cell>
          <cell r="O72">
            <v>0</v>
          </cell>
          <cell r="S72">
            <v>0</v>
          </cell>
          <cell r="U72">
            <v>0</v>
          </cell>
          <cell r="W72">
            <v>0</v>
          </cell>
          <cell r="Y72">
            <v>86.5</v>
          </cell>
          <cell r="Z72">
            <v>4.2168674698795261E-2</v>
          </cell>
          <cell r="AA72">
            <v>0</v>
          </cell>
          <cell r="AC72">
            <v>88.35</v>
          </cell>
          <cell r="AD72">
            <v>6.4457831325301029E-2</v>
          </cell>
          <cell r="AE72">
            <v>0</v>
          </cell>
          <cell r="AG72">
            <v>0</v>
          </cell>
          <cell r="AI72">
            <v>0</v>
          </cell>
          <cell r="AK72">
            <v>0</v>
          </cell>
          <cell r="AM72">
            <v>0</v>
          </cell>
          <cell r="AO72">
            <v>0</v>
          </cell>
          <cell r="AQ72">
            <v>0</v>
          </cell>
          <cell r="AS72">
            <v>0</v>
          </cell>
          <cell r="AU72">
            <v>0</v>
          </cell>
          <cell r="AY72">
            <v>77</v>
          </cell>
          <cell r="AZ72">
            <v>74</v>
          </cell>
          <cell r="BA72">
            <v>-3.8961038961038974E-2</v>
          </cell>
          <cell r="BC72">
            <v>74</v>
          </cell>
          <cell r="BD72">
            <v>-7.2289156626506035E-2</v>
          </cell>
          <cell r="BE72">
            <v>-2.5316455696202556E-2</v>
          </cell>
          <cell r="BF72">
            <v>90</v>
          </cell>
          <cell r="BG72">
            <v>85.5</v>
          </cell>
          <cell r="BH72">
            <v>-5.2631578947368474E-2</v>
          </cell>
          <cell r="BI72">
            <v>-2.9239766081871399E-2</v>
          </cell>
          <cell r="BJ72">
            <v>4.6511627906976827E-2</v>
          </cell>
          <cell r="BK72">
            <v>-0.15555555555555556</v>
          </cell>
          <cell r="BL72">
            <v>-4.4444444444444398E-2</v>
          </cell>
          <cell r="BM72" t="str">
            <v>85 tấm/ca</v>
          </cell>
          <cell r="BN72" t="str">
            <v>95-0-5</v>
          </cell>
        </row>
        <row r="73">
          <cell r="B73" t="str">
            <v>C5445J20</v>
          </cell>
          <cell r="C73">
            <v>67</v>
          </cell>
          <cell r="D73">
            <v>58</v>
          </cell>
          <cell r="E73">
            <v>64</v>
          </cell>
          <cell r="F73">
            <v>63</v>
          </cell>
          <cell r="J73">
            <v>63</v>
          </cell>
          <cell r="K73">
            <v>61</v>
          </cell>
          <cell r="O73">
            <v>0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71.25</v>
          </cell>
          <cell r="AD73">
            <v>0.11328125</v>
          </cell>
          <cell r="AE73">
            <v>0</v>
          </cell>
          <cell r="AG73">
            <v>74.5</v>
          </cell>
          <cell r="AH73">
            <v>0.1640625</v>
          </cell>
          <cell r="AI73">
            <v>0</v>
          </cell>
          <cell r="AK73">
            <v>0</v>
          </cell>
          <cell r="AM73">
            <v>0</v>
          </cell>
          <cell r="AO73">
            <v>0</v>
          </cell>
          <cell r="AQ73">
            <v>74.5</v>
          </cell>
          <cell r="AR73">
            <v>0.1640625</v>
          </cell>
          <cell r="AS73">
            <v>0</v>
          </cell>
          <cell r="AU73">
            <v>0</v>
          </cell>
          <cell r="AY73">
            <v>65</v>
          </cell>
          <cell r="AZ73">
            <v>57</v>
          </cell>
          <cell r="BA73">
            <v>-0.12307692307692308</v>
          </cell>
          <cell r="BC73">
            <v>57</v>
          </cell>
          <cell r="BD73">
            <v>1.5625E-2</v>
          </cell>
          <cell r="BE73">
            <v>6.5573770491803351E-2</v>
          </cell>
          <cell r="BF73">
            <v>75</v>
          </cell>
          <cell r="BG73">
            <v>71.25</v>
          </cell>
          <cell r="BH73">
            <v>-0.11578947368421055</v>
          </cell>
          <cell r="BI73">
            <v>-0.10175438596491226</v>
          </cell>
          <cell r="BJ73">
            <v>0.11940298507462677</v>
          </cell>
          <cell r="BK73">
            <v>-0.22666666666666668</v>
          </cell>
          <cell r="BL73">
            <v>-0.10666666666666669</v>
          </cell>
          <cell r="BM73" t="str">
            <v>110 tấm/ca</v>
          </cell>
          <cell r="BN73" t="str">
            <v>95-0-5</v>
          </cell>
        </row>
        <row r="74">
          <cell r="B74" t="str">
            <v>C5445J30</v>
          </cell>
          <cell r="C74">
            <v>83</v>
          </cell>
          <cell r="D74">
            <v>73</v>
          </cell>
          <cell r="E74">
            <v>79</v>
          </cell>
          <cell r="F74">
            <v>79</v>
          </cell>
          <cell r="J74">
            <v>79</v>
          </cell>
          <cell r="K74">
            <v>76</v>
          </cell>
          <cell r="O74">
            <v>0</v>
          </cell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88.35</v>
          </cell>
          <cell r="AD74">
            <v>0.1183544303797468</v>
          </cell>
          <cell r="AE74">
            <v>0</v>
          </cell>
          <cell r="AG74">
            <v>89</v>
          </cell>
          <cell r="AH74">
            <v>0.12658227848101267</v>
          </cell>
          <cell r="AI74">
            <v>0</v>
          </cell>
          <cell r="AK74">
            <v>0</v>
          </cell>
          <cell r="AM74">
            <v>0</v>
          </cell>
          <cell r="AO74">
            <v>0</v>
          </cell>
          <cell r="AQ74">
            <v>94</v>
          </cell>
          <cell r="AR74">
            <v>0.18987341772151889</v>
          </cell>
          <cell r="AS74">
            <v>0</v>
          </cell>
          <cell r="AU74">
            <v>0</v>
          </cell>
          <cell r="AY74">
            <v>77</v>
          </cell>
          <cell r="AZ74">
            <v>72</v>
          </cell>
          <cell r="BA74">
            <v>-6.4935064935064957E-2</v>
          </cell>
          <cell r="BC74">
            <v>72</v>
          </cell>
          <cell r="BD74">
            <v>-2.5316455696202556E-2</v>
          </cell>
          <cell r="BE74">
            <v>1.3157894736842035E-2</v>
          </cell>
          <cell r="BF74">
            <v>90</v>
          </cell>
          <cell r="BG74">
            <v>85.5</v>
          </cell>
          <cell r="BH74">
            <v>-7.6023391812865548E-2</v>
          </cell>
          <cell r="BI74">
            <v>-7.6023391812865548E-2</v>
          </cell>
          <cell r="BJ74">
            <v>8.43373493975903E-2</v>
          </cell>
          <cell r="BK74">
            <v>-0.18888888888888888</v>
          </cell>
          <cell r="BL74">
            <v>-7.7777777777777724E-2</v>
          </cell>
          <cell r="BM74" t="str">
            <v>110 tấm/ca</v>
          </cell>
          <cell r="BN74" t="str">
            <v>95-0-5</v>
          </cell>
        </row>
        <row r="75">
          <cell r="B75" t="str">
            <v>F4238J20</v>
          </cell>
          <cell r="C75">
            <v>83</v>
          </cell>
          <cell r="E75">
            <v>80</v>
          </cell>
          <cell r="F75">
            <v>86</v>
          </cell>
          <cell r="H75">
            <v>86</v>
          </cell>
          <cell r="K75">
            <v>76</v>
          </cell>
          <cell r="O75">
            <v>0</v>
          </cell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86</v>
          </cell>
          <cell r="AF75">
            <v>7.4999999999999956E-2</v>
          </cell>
          <cell r="AG75">
            <v>0</v>
          </cell>
          <cell r="AI75">
            <v>0</v>
          </cell>
          <cell r="AK75">
            <v>0</v>
          </cell>
          <cell r="AM75">
            <v>0</v>
          </cell>
          <cell r="AO75">
            <v>0</v>
          </cell>
          <cell r="AQ75">
            <v>0</v>
          </cell>
          <cell r="AS75">
            <v>0</v>
          </cell>
          <cell r="AU75">
            <v>0</v>
          </cell>
          <cell r="AY75">
            <v>76</v>
          </cell>
          <cell r="AZ75">
            <v>76</v>
          </cell>
          <cell r="BA75">
            <v>0</v>
          </cell>
          <cell r="BB75">
            <v>76</v>
          </cell>
          <cell r="BD75">
            <v>-5.0000000000000044E-2</v>
          </cell>
          <cell r="BE75">
            <v>0</v>
          </cell>
          <cell r="BF75">
            <v>83</v>
          </cell>
          <cell r="BG75">
            <v>78.849999999999994</v>
          </cell>
          <cell r="BH75">
            <v>9.0678503487634732E-2</v>
          </cell>
          <cell r="BI75">
            <v>1.4584654407102216E-2</v>
          </cell>
          <cell r="BJ75">
            <v>0</v>
          </cell>
          <cell r="BK75">
            <v>-1</v>
          </cell>
          <cell r="BL75">
            <v>0</v>
          </cell>
          <cell r="BM75" t="str">
            <v>70 tấm/ca</v>
          </cell>
          <cell r="BN75" t="str">
            <v>95-0-5</v>
          </cell>
        </row>
        <row r="76">
          <cell r="B76" t="str">
            <v>F4238J30</v>
          </cell>
          <cell r="C76">
            <v>101</v>
          </cell>
          <cell r="E76">
            <v>97</v>
          </cell>
          <cell r="F76">
            <v>104</v>
          </cell>
          <cell r="H76">
            <v>104</v>
          </cell>
          <cell r="K76">
            <v>93</v>
          </cell>
          <cell r="O76">
            <v>0</v>
          </cell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100</v>
          </cell>
          <cell r="AF76">
            <v>3.0927835051546282E-2</v>
          </cell>
          <cell r="AG76">
            <v>0</v>
          </cell>
          <cell r="AI76">
            <v>0</v>
          </cell>
          <cell r="AK76">
            <v>0</v>
          </cell>
          <cell r="AM76">
            <v>0</v>
          </cell>
          <cell r="AO76">
            <v>0</v>
          </cell>
          <cell r="AQ76">
            <v>0</v>
          </cell>
          <cell r="AS76">
            <v>0</v>
          </cell>
          <cell r="AU76">
            <v>0</v>
          </cell>
          <cell r="AY76">
            <v>93</v>
          </cell>
          <cell r="AZ76">
            <v>93</v>
          </cell>
          <cell r="BA76">
            <v>0</v>
          </cell>
          <cell r="BB76">
            <v>93</v>
          </cell>
          <cell r="BD76">
            <v>-4.123711340206182E-2</v>
          </cell>
          <cell r="BE76">
            <v>0</v>
          </cell>
          <cell r="BF76">
            <v>101</v>
          </cell>
          <cell r="BG76">
            <v>95.949999999999989</v>
          </cell>
          <cell r="BH76">
            <v>8.389786347055761E-2</v>
          </cell>
          <cell r="BI76">
            <v>1.0943199583116403E-2</v>
          </cell>
          <cell r="BJ76">
            <v>0</v>
          </cell>
          <cell r="BK76">
            <v>-1</v>
          </cell>
          <cell r="BL76">
            <v>0</v>
          </cell>
          <cell r="BM76" t="str">
            <v>70 tấm/ca</v>
          </cell>
          <cell r="BN76" t="str">
            <v>95-0-5</v>
          </cell>
        </row>
        <row r="77">
          <cell r="B77" t="str">
            <v>F4270J20</v>
          </cell>
          <cell r="C77">
            <v>86</v>
          </cell>
          <cell r="E77">
            <v>79</v>
          </cell>
          <cell r="F77">
            <v>85</v>
          </cell>
          <cell r="H77">
            <v>85</v>
          </cell>
          <cell r="K77">
            <v>76</v>
          </cell>
          <cell r="O77">
            <v>0</v>
          </cell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83</v>
          </cell>
          <cell r="AJ77">
            <v>5.0632911392405111E-2</v>
          </cell>
          <cell r="AK77">
            <v>0</v>
          </cell>
          <cell r="AM77">
            <v>0</v>
          </cell>
          <cell r="AO77">
            <v>0</v>
          </cell>
          <cell r="AQ77">
            <v>0</v>
          </cell>
          <cell r="AS77">
            <v>0</v>
          </cell>
          <cell r="AU77">
            <v>0</v>
          </cell>
          <cell r="AY77">
            <v>76</v>
          </cell>
          <cell r="AZ77">
            <v>76</v>
          </cell>
          <cell r="BA77">
            <v>0</v>
          </cell>
          <cell r="BB77">
            <v>76</v>
          </cell>
          <cell r="BD77">
            <v>-3.7974683544303778E-2</v>
          </cell>
          <cell r="BE77">
            <v>0</v>
          </cell>
          <cell r="BF77">
            <v>86</v>
          </cell>
          <cell r="BG77">
            <v>81.7</v>
          </cell>
          <cell r="BH77">
            <v>4.0391676866585069E-2</v>
          </cell>
          <cell r="BI77">
            <v>-3.3047735618115137E-2</v>
          </cell>
          <cell r="BJ77">
            <v>0</v>
          </cell>
          <cell r="BK77">
            <v>-1</v>
          </cell>
          <cell r="BL77">
            <v>0</v>
          </cell>
          <cell r="BM77" t="str">
            <v>60 tấm/ca</v>
          </cell>
          <cell r="BN77" t="str">
            <v>95-0-5</v>
          </cell>
        </row>
        <row r="78">
          <cell r="B78" t="str">
            <v>F4270J30</v>
          </cell>
          <cell r="C78">
            <v>104</v>
          </cell>
          <cell r="E78">
            <v>97</v>
          </cell>
          <cell r="F78">
            <v>104</v>
          </cell>
          <cell r="H78">
            <v>104</v>
          </cell>
          <cell r="K78">
            <v>93</v>
          </cell>
          <cell r="O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100</v>
          </cell>
          <cell r="AJ78">
            <v>3.0927835051546282E-2</v>
          </cell>
          <cell r="AK78">
            <v>0</v>
          </cell>
          <cell r="AM78">
            <v>0</v>
          </cell>
          <cell r="AO78">
            <v>0</v>
          </cell>
          <cell r="AQ78">
            <v>0</v>
          </cell>
          <cell r="AS78">
            <v>0</v>
          </cell>
          <cell r="AU78">
            <v>0</v>
          </cell>
          <cell r="AY78">
            <v>93</v>
          </cell>
          <cell r="AZ78">
            <v>93</v>
          </cell>
          <cell r="BA78">
            <v>0</v>
          </cell>
          <cell r="BB78">
            <v>93</v>
          </cell>
          <cell r="BD78">
            <v>-4.123711340206182E-2</v>
          </cell>
          <cell r="BE78">
            <v>0</v>
          </cell>
          <cell r="BF78">
            <v>104</v>
          </cell>
          <cell r="BG78">
            <v>98.8</v>
          </cell>
          <cell r="BH78">
            <v>5.2631578947368363E-2</v>
          </cell>
          <cell r="BI78">
            <v>-1.8218623481781382E-2</v>
          </cell>
          <cell r="BJ78">
            <v>0</v>
          </cell>
          <cell r="BK78">
            <v>-1</v>
          </cell>
          <cell r="BL78">
            <v>0</v>
          </cell>
          <cell r="BM78" t="str">
            <v>60 tấm/ca</v>
          </cell>
          <cell r="BN78" t="str">
            <v>95-0-5</v>
          </cell>
        </row>
        <row r="79">
          <cell r="B79" t="str">
            <v>F5233J20</v>
          </cell>
          <cell r="C79">
            <v>85</v>
          </cell>
          <cell r="E79">
            <v>78</v>
          </cell>
          <cell r="F79">
            <v>84</v>
          </cell>
          <cell r="H79">
            <v>84</v>
          </cell>
          <cell r="K79">
            <v>74</v>
          </cell>
          <cell r="M79">
            <v>104</v>
          </cell>
          <cell r="N79">
            <v>0.33333333333333326</v>
          </cell>
          <cell r="O79">
            <v>93.600000000000009</v>
          </cell>
          <cell r="P79">
            <v>0.20000000000000018</v>
          </cell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  <cell r="AM79">
            <v>0</v>
          </cell>
          <cell r="AO79">
            <v>0</v>
          </cell>
          <cell r="AQ79">
            <v>0</v>
          </cell>
          <cell r="AS79">
            <v>0</v>
          </cell>
          <cell r="AU79">
            <v>0</v>
          </cell>
          <cell r="AY79">
            <v>74</v>
          </cell>
          <cell r="AZ79">
            <v>78</v>
          </cell>
          <cell r="BA79">
            <v>5.4054054054053946E-2</v>
          </cell>
          <cell r="BB79">
            <v>78</v>
          </cell>
          <cell r="BD79">
            <v>-5.1282051282051322E-2</v>
          </cell>
          <cell r="BE79">
            <v>0</v>
          </cell>
          <cell r="BF79">
            <v>85</v>
          </cell>
          <cell r="BG79">
            <v>80.75</v>
          </cell>
          <cell r="BH79">
            <v>4.0247678018575872E-2</v>
          </cell>
          <cell r="BI79">
            <v>-3.4055727554179516E-2</v>
          </cell>
          <cell r="BJ79">
            <v>0</v>
          </cell>
          <cell r="BK79">
            <v>-1</v>
          </cell>
          <cell r="BL79">
            <v>0</v>
          </cell>
          <cell r="BM79" t="str">
            <v>60 tấm/ca</v>
          </cell>
          <cell r="BN79" t="str">
            <v>95-0-5</v>
          </cell>
        </row>
        <row r="80">
          <cell r="B80" t="str">
            <v>F5233J30</v>
          </cell>
          <cell r="C80">
            <v>102</v>
          </cell>
          <cell r="E80">
            <v>95</v>
          </cell>
          <cell r="F80">
            <v>102</v>
          </cell>
          <cell r="H80">
            <v>102</v>
          </cell>
          <cell r="K80">
            <v>91</v>
          </cell>
          <cell r="M80">
            <v>130</v>
          </cell>
          <cell r="N80">
            <v>0.36842105263157898</v>
          </cell>
          <cell r="O80">
            <v>117</v>
          </cell>
          <cell r="P80">
            <v>0.23157894736842111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  <cell r="AK80">
            <v>100</v>
          </cell>
          <cell r="AL80">
            <v>5.2631578947368363E-2</v>
          </cell>
          <cell r="AM80">
            <v>0</v>
          </cell>
          <cell r="AO80">
            <v>0</v>
          </cell>
          <cell r="AQ80">
            <v>0</v>
          </cell>
          <cell r="AS80">
            <v>0</v>
          </cell>
          <cell r="AU80">
            <v>0</v>
          </cell>
          <cell r="AY80">
            <v>91</v>
          </cell>
          <cell r="AZ80">
            <v>95</v>
          </cell>
          <cell r="BA80">
            <v>4.3956043956044022E-2</v>
          </cell>
          <cell r="BB80">
            <v>95</v>
          </cell>
          <cell r="BD80">
            <v>-4.2105263157894757E-2</v>
          </cell>
          <cell r="BE80">
            <v>0</v>
          </cell>
          <cell r="BF80">
            <v>102</v>
          </cell>
          <cell r="BG80">
            <v>96.899999999999991</v>
          </cell>
          <cell r="BH80">
            <v>5.2631578947368585E-2</v>
          </cell>
          <cell r="BI80">
            <v>-1.9607843137254832E-2</v>
          </cell>
          <cell r="BJ80">
            <v>0</v>
          </cell>
          <cell r="BK80">
            <v>-1</v>
          </cell>
          <cell r="BL80">
            <v>0</v>
          </cell>
          <cell r="BM80" t="str">
            <v>60 tấm/ca</v>
          </cell>
          <cell r="BN80" t="str">
            <v>95-0-5</v>
          </cell>
        </row>
        <row r="81">
          <cell r="B81" t="str">
            <v>F1005J20</v>
          </cell>
          <cell r="AZ81">
            <v>61</v>
          </cell>
          <cell r="BC81">
            <v>61</v>
          </cell>
          <cell r="BM81" t="str">
            <v>130 tấm/ca</v>
          </cell>
          <cell r="BN81" t="str">
            <v>95-0-5</v>
          </cell>
          <cell r="BO81" t="str">
            <v>Chạy thử 1 cont đầu</v>
          </cell>
        </row>
        <row r="82">
          <cell r="B82" t="str">
            <v>F1005J30</v>
          </cell>
          <cell r="AZ82">
            <v>78</v>
          </cell>
          <cell r="BC82">
            <v>78</v>
          </cell>
          <cell r="BM82" t="str">
            <v>130 tấm/ca</v>
          </cell>
          <cell r="BN82" t="str">
            <v>95-0-5</v>
          </cell>
        </row>
        <row r="83">
          <cell r="B83" t="str">
            <v>F2104J20</v>
          </cell>
          <cell r="AZ83">
            <v>62</v>
          </cell>
          <cell r="BC83">
            <v>62</v>
          </cell>
          <cell r="BM83" t="str">
            <v>120 tấm/Ca</v>
          </cell>
          <cell r="BN83" t="str">
            <v>95-0-5</v>
          </cell>
          <cell r="BO83" t="str">
            <v>Chạy thử 1 cont đầu</v>
          </cell>
        </row>
        <row r="84">
          <cell r="B84" t="str">
            <v>F2104J30</v>
          </cell>
          <cell r="AZ84">
            <v>78</v>
          </cell>
          <cell r="BC84">
            <v>78</v>
          </cell>
          <cell r="BM84" t="str">
            <v>120 tấm/Ca</v>
          </cell>
          <cell r="BN84" t="str">
            <v>95-0-5</v>
          </cell>
        </row>
        <row r="85">
          <cell r="B85" t="str">
            <v>F5445J20</v>
          </cell>
          <cell r="AZ85">
            <v>65</v>
          </cell>
          <cell r="BC85">
            <v>65</v>
          </cell>
          <cell r="BM85" t="str">
            <v>110 tấm/ca</v>
          </cell>
          <cell r="BN85" t="str">
            <v>95-0-5</v>
          </cell>
          <cell r="BO85" t="str">
            <v>Chạy thử 1 cont đầu</v>
          </cell>
        </row>
        <row r="86">
          <cell r="B86" t="str">
            <v>F5445J30</v>
          </cell>
          <cell r="AZ86">
            <v>82</v>
          </cell>
          <cell r="BC86">
            <v>82</v>
          </cell>
          <cell r="BM86" t="str">
            <v>110 tấm/ca</v>
          </cell>
          <cell r="BN86" t="str">
            <v>95-0-5</v>
          </cell>
        </row>
        <row r="87">
          <cell r="B87" t="str">
            <v>C5233J20</v>
          </cell>
          <cell r="AZ87">
            <v>77</v>
          </cell>
          <cell r="BB87">
            <v>77</v>
          </cell>
          <cell r="BN87" t="str">
            <v>95-0-5</v>
          </cell>
          <cell r="BO87" t="str">
            <v>NS 50 tấm/ca</v>
          </cell>
        </row>
        <row r="88">
          <cell r="B88" t="str">
            <v>C5233J30</v>
          </cell>
          <cell r="AZ88">
            <v>91</v>
          </cell>
          <cell r="BB88">
            <v>91</v>
          </cell>
          <cell r="BN88" t="str">
            <v>95-0-5</v>
          </cell>
        </row>
        <row r="89">
          <cell r="B89" t="str">
            <v>C5341J20</v>
          </cell>
          <cell r="AZ89">
            <v>57</v>
          </cell>
          <cell r="BC89">
            <v>57</v>
          </cell>
          <cell r="BN89" t="str">
            <v>95-0-5</v>
          </cell>
          <cell r="BO89" t="str">
            <v>NS 130 tam/ca, glass + quartz</v>
          </cell>
        </row>
        <row r="90">
          <cell r="B90" t="str">
            <v>C5341J30</v>
          </cell>
          <cell r="AZ90">
            <v>72</v>
          </cell>
          <cell r="BC90">
            <v>72</v>
          </cell>
          <cell r="BN90" t="str">
            <v>95-0-5</v>
          </cell>
        </row>
        <row r="91">
          <cell r="B91" t="str">
            <v>C3300J20</v>
          </cell>
          <cell r="AZ91">
            <v>63</v>
          </cell>
          <cell r="BB91">
            <v>63</v>
          </cell>
          <cell r="BN91" t="str">
            <v>95-0-5</v>
          </cell>
          <cell r="BO91" t="str">
            <v>NS 90 tấm/ca</v>
          </cell>
        </row>
        <row r="92">
          <cell r="B92" t="str">
            <v>C3300J30</v>
          </cell>
          <cell r="AZ92">
            <v>78</v>
          </cell>
          <cell r="BB92">
            <v>78</v>
          </cell>
          <cell r="BN92" t="str">
            <v>95-0-5</v>
          </cell>
        </row>
        <row r="93">
          <cell r="B93" t="str">
            <v>C4302J20</v>
          </cell>
          <cell r="AZ93">
            <v>64</v>
          </cell>
          <cell r="BB93">
            <v>64</v>
          </cell>
          <cell r="BN93" t="str">
            <v>95-0-5</v>
          </cell>
          <cell r="BO93" t="str">
            <v>NS 85 tấm/ca</v>
          </cell>
        </row>
        <row r="94">
          <cell r="B94" t="str">
            <v>C4302J30</v>
          </cell>
          <cell r="AZ94">
            <v>78</v>
          </cell>
          <cell r="BB94">
            <v>78</v>
          </cell>
          <cell r="BN94" t="str">
            <v>95-0-5</v>
          </cell>
        </row>
        <row r="95">
          <cell r="B95" t="str">
            <v>F4246J20</v>
          </cell>
          <cell r="AZ95">
            <v>63</v>
          </cell>
          <cell r="BC95">
            <v>63</v>
          </cell>
          <cell r="BO95" t="str">
            <v>Lấy theo năng suất quartz 132 tấm/ca, CL 93% A</v>
          </cell>
        </row>
        <row r="96">
          <cell r="B96" t="str">
            <v>F4246J30</v>
          </cell>
          <cell r="AZ96">
            <v>79</v>
          </cell>
          <cell r="BC96">
            <v>79</v>
          </cell>
        </row>
        <row r="97">
          <cell r="B97" t="str">
            <v>F4254J20</v>
          </cell>
          <cell r="AZ97">
            <v>63</v>
          </cell>
          <cell r="BC97">
            <v>63</v>
          </cell>
          <cell r="BN97" t="str">
            <v>95-0-5</v>
          </cell>
          <cell r="BO97" t="str">
            <v>Lấy giá bằng F4246</v>
          </cell>
        </row>
        <row r="98">
          <cell r="B98" t="str">
            <v>F4254J30</v>
          </cell>
          <cell r="T98">
            <v>70</v>
          </cell>
          <cell r="U98">
            <v>71</v>
          </cell>
          <cell r="V98">
            <v>-1.4084507042253502E-2</v>
          </cell>
          <cell r="AZ98">
            <v>79</v>
          </cell>
          <cell r="BC98">
            <v>79</v>
          </cell>
          <cell r="BN98" t="str">
            <v>95-0-5</v>
          </cell>
        </row>
        <row r="99">
          <cell r="B99" t="str">
            <v>F1102J20</v>
          </cell>
          <cell r="AZ99">
            <v>66</v>
          </cell>
          <cell r="BC99">
            <v>66</v>
          </cell>
          <cell r="BN99" t="str">
            <v>95-0-5</v>
          </cell>
          <cell r="BO99" t="str">
            <v>Lấy theo năng suất quartz 128 tấm/ca, CL 93% A</v>
          </cell>
        </row>
        <row r="100">
          <cell r="B100" t="str">
            <v>F1102J30</v>
          </cell>
          <cell r="AZ100">
            <v>84</v>
          </cell>
          <cell r="BC100">
            <v>84</v>
          </cell>
          <cell r="BN100" t="str">
            <v>95-0-5</v>
          </cell>
        </row>
        <row r="101">
          <cell r="B101" t="str">
            <v>F2262J20</v>
          </cell>
          <cell r="AZ101">
            <v>70</v>
          </cell>
          <cell r="BB101">
            <v>70</v>
          </cell>
          <cell r="BO101" t="str">
            <v>Năng suất 90 tấm/ca, CL 93% A</v>
          </cell>
        </row>
        <row r="102">
          <cell r="B102" t="str">
            <v>F2262J30</v>
          </cell>
          <cell r="AZ102">
            <v>86</v>
          </cell>
          <cell r="BB102">
            <v>86</v>
          </cell>
        </row>
        <row r="103">
          <cell r="B103" t="str">
            <v>C5331</v>
          </cell>
          <cell r="AZ103">
            <v>65</v>
          </cell>
          <cell r="BB103">
            <v>65</v>
          </cell>
          <cell r="BO103" t="str">
            <v>NS 80 tấm/ca</v>
          </cell>
        </row>
        <row r="104">
          <cell r="B104" t="str">
            <v>C5331</v>
          </cell>
          <cell r="AZ104">
            <v>80</v>
          </cell>
          <cell r="BB104">
            <v>80</v>
          </cell>
        </row>
        <row r="106">
          <cell r="B106">
            <v>1</v>
          </cell>
          <cell r="C106">
            <v>2</v>
          </cell>
          <cell r="D106">
            <v>3</v>
          </cell>
          <cell r="E106">
            <v>4</v>
          </cell>
          <cell r="F106">
            <v>5</v>
          </cell>
          <cell r="G106">
            <v>6</v>
          </cell>
          <cell r="H106">
            <v>7</v>
          </cell>
          <cell r="I106">
            <v>8</v>
          </cell>
          <cell r="J106">
            <v>9</v>
          </cell>
          <cell r="K106">
            <v>10</v>
          </cell>
          <cell r="L106">
            <v>11</v>
          </cell>
          <cell r="M106">
            <v>12</v>
          </cell>
          <cell r="N106">
            <v>13</v>
          </cell>
          <cell r="O106">
            <v>14</v>
          </cell>
          <cell r="P106">
            <v>15</v>
          </cell>
          <cell r="Q106">
            <v>16</v>
          </cell>
          <cell r="R106">
            <v>17</v>
          </cell>
          <cell r="S106">
            <v>18</v>
          </cell>
          <cell r="T106">
            <v>19</v>
          </cell>
          <cell r="U106">
            <v>20</v>
          </cell>
          <cell r="V106">
            <v>21</v>
          </cell>
          <cell r="W106">
            <v>22</v>
          </cell>
          <cell r="X106">
            <v>23</v>
          </cell>
          <cell r="Y106">
            <v>24</v>
          </cell>
          <cell r="Z106">
            <v>25</v>
          </cell>
          <cell r="AA106">
            <v>26</v>
          </cell>
          <cell r="AB106">
            <v>27</v>
          </cell>
          <cell r="AC106">
            <v>28</v>
          </cell>
          <cell r="AD106">
            <v>29</v>
          </cell>
          <cell r="AE106">
            <v>30</v>
          </cell>
          <cell r="AF106">
            <v>31</v>
          </cell>
          <cell r="AG106">
            <v>32</v>
          </cell>
          <cell r="AH106">
            <v>33</v>
          </cell>
          <cell r="AI106">
            <v>34</v>
          </cell>
          <cell r="AJ106">
            <v>35</v>
          </cell>
          <cell r="AK106">
            <v>36</v>
          </cell>
          <cell r="AL106">
            <v>37</v>
          </cell>
          <cell r="AM106">
            <v>38</v>
          </cell>
          <cell r="AN106">
            <v>39</v>
          </cell>
          <cell r="AO106">
            <v>40</v>
          </cell>
          <cell r="AP106">
            <v>41</v>
          </cell>
          <cell r="AQ106">
            <v>42</v>
          </cell>
          <cell r="AR106">
            <v>43</v>
          </cell>
          <cell r="AS106">
            <v>44</v>
          </cell>
          <cell r="AT106">
            <v>45</v>
          </cell>
          <cell r="AU106">
            <v>46</v>
          </cell>
          <cell r="AV106">
            <v>47</v>
          </cell>
          <cell r="AW106">
            <v>48</v>
          </cell>
          <cell r="AX106">
            <v>49</v>
          </cell>
          <cell r="AY106">
            <v>50</v>
          </cell>
          <cell r="AZ106">
            <v>51</v>
          </cell>
        </row>
      </sheetData>
      <sheetData sheetId="10" refreshError="1"/>
      <sheetData sheetId="11" refreshError="1"/>
      <sheetData sheetId="12" refreshError="1">
        <row r="5">
          <cell r="B5" t="str">
            <v>C1005J20</v>
          </cell>
          <cell r="C5">
            <v>59</v>
          </cell>
          <cell r="D5">
            <v>51</v>
          </cell>
          <cell r="E5">
            <v>56</v>
          </cell>
          <cell r="F5">
            <v>61</v>
          </cell>
          <cell r="G5">
            <v>61</v>
          </cell>
          <cell r="K5">
            <v>53</v>
          </cell>
          <cell r="L5">
            <v>56</v>
          </cell>
          <cell r="M5">
            <v>61</v>
          </cell>
          <cell r="N5">
            <v>8.9285714285714191E-2</v>
          </cell>
          <cell r="O5">
            <v>54.9</v>
          </cell>
          <cell r="P5">
            <v>2.0036429872495543E-2</v>
          </cell>
          <cell r="Q5">
            <v>55.357142857142854</v>
          </cell>
          <cell r="R5">
            <v>1.1612903225806548E-2</v>
          </cell>
          <cell r="U5">
            <v>56</v>
          </cell>
          <cell r="V5">
            <v>0</v>
          </cell>
          <cell r="W5">
            <v>58</v>
          </cell>
          <cell r="X5">
            <v>3.5714285714285809E-2</v>
          </cell>
          <cell r="Y5">
            <v>0</v>
          </cell>
          <cell r="AA5">
            <v>57.95</v>
          </cell>
          <cell r="AB5">
            <v>3.4821428571428559E-2</v>
          </cell>
          <cell r="AC5">
            <v>0</v>
          </cell>
          <cell r="AE5">
            <v>58</v>
          </cell>
          <cell r="AF5">
            <v>3.5714285714285809E-2</v>
          </cell>
          <cell r="AG5">
            <v>58.5</v>
          </cell>
          <cell r="AH5">
            <v>4.4642857142857206E-2</v>
          </cell>
          <cell r="AI5">
            <v>0</v>
          </cell>
          <cell r="AK5">
            <v>0</v>
          </cell>
          <cell r="AM5">
            <v>0</v>
          </cell>
          <cell r="AQ5">
            <v>0</v>
          </cell>
          <cell r="AS5">
            <v>0</v>
          </cell>
          <cell r="AU5">
            <v>59</v>
          </cell>
          <cell r="AV5">
            <v>5.3571428571428603E-2</v>
          </cell>
          <cell r="AY5">
            <v>52</v>
          </cell>
          <cell r="AZ5">
            <v>55</v>
          </cell>
        </row>
        <row r="6">
          <cell r="B6" t="str">
            <v>C1005J30</v>
          </cell>
          <cell r="C6">
            <v>75</v>
          </cell>
          <cell r="D6">
            <v>66</v>
          </cell>
          <cell r="E6">
            <v>72</v>
          </cell>
          <cell r="F6">
            <v>77</v>
          </cell>
          <cell r="G6">
            <v>77</v>
          </cell>
          <cell r="K6">
            <v>69</v>
          </cell>
          <cell r="L6">
            <v>67</v>
          </cell>
          <cell r="M6">
            <v>72</v>
          </cell>
          <cell r="N6">
            <v>0</v>
          </cell>
          <cell r="O6">
            <v>64.8</v>
          </cell>
          <cell r="P6">
            <v>-0.10000000000000009</v>
          </cell>
          <cell r="Q6">
            <v>75.247524752475243</v>
          </cell>
          <cell r="R6">
            <v>-4.3157894736842062E-2</v>
          </cell>
          <cell r="U6">
            <v>70</v>
          </cell>
          <cell r="V6">
            <v>-2.777777777777779E-2</v>
          </cell>
          <cell r="W6">
            <v>72</v>
          </cell>
          <cell r="X6">
            <v>0</v>
          </cell>
          <cell r="Y6">
            <v>0</v>
          </cell>
          <cell r="AA6">
            <v>72.2</v>
          </cell>
          <cell r="AB6">
            <v>2.7777777777777679E-3</v>
          </cell>
          <cell r="AC6">
            <v>0</v>
          </cell>
          <cell r="AE6">
            <v>72</v>
          </cell>
          <cell r="AF6">
            <v>0</v>
          </cell>
          <cell r="AG6">
            <v>73</v>
          </cell>
          <cell r="AH6">
            <v>1.388888888888884E-2</v>
          </cell>
          <cell r="AI6">
            <v>0</v>
          </cell>
          <cell r="AK6">
            <v>0</v>
          </cell>
          <cell r="AM6">
            <v>0</v>
          </cell>
          <cell r="AO6">
            <v>72.2</v>
          </cell>
          <cell r="AP6">
            <v>2.7777777777777679E-3</v>
          </cell>
          <cell r="AQ6">
            <v>0</v>
          </cell>
          <cell r="AS6">
            <v>0</v>
          </cell>
          <cell r="AU6">
            <v>73</v>
          </cell>
          <cell r="AV6">
            <v>1.388888888888884E-2</v>
          </cell>
          <cell r="AY6">
            <v>65</v>
          </cell>
          <cell r="AZ6">
            <v>70</v>
          </cell>
        </row>
        <row r="7">
          <cell r="B7" t="str">
            <v>C1102J20</v>
          </cell>
          <cell r="C7">
            <v>68</v>
          </cell>
          <cell r="D7">
            <v>59</v>
          </cell>
          <cell r="E7">
            <v>65</v>
          </cell>
          <cell r="F7">
            <v>71</v>
          </cell>
          <cell r="G7">
            <v>71</v>
          </cell>
          <cell r="K7">
            <v>62</v>
          </cell>
          <cell r="M7">
            <v>77</v>
          </cell>
          <cell r="N7">
            <v>0.18461538461538463</v>
          </cell>
          <cell r="O7">
            <v>69.3</v>
          </cell>
          <cell r="P7">
            <v>6.6153846153846008E-2</v>
          </cell>
          <cell r="Q7">
            <v>59.83606557377049</v>
          </cell>
          <cell r="R7">
            <v>8.6301369863013733E-2</v>
          </cell>
          <cell r="S7">
            <v>67</v>
          </cell>
          <cell r="T7">
            <v>3.076923076923066E-2</v>
          </cell>
          <cell r="U7">
            <v>65</v>
          </cell>
          <cell r="V7">
            <v>0</v>
          </cell>
          <cell r="W7">
            <v>67</v>
          </cell>
          <cell r="X7">
            <v>3.076923076923066E-2</v>
          </cell>
          <cell r="Y7">
            <v>68</v>
          </cell>
          <cell r="Z7">
            <v>4.6153846153846212E-2</v>
          </cell>
          <cell r="AA7">
            <v>67.45</v>
          </cell>
          <cell r="AB7">
            <v>3.7692307692307692E-2</v>
          </cell>
          <cell r="AC7">
            <v>0</v>
          </cell>
          <cell r="AE7">
            <v>69</v>
          </cell>
          <cell r="AF7">
            <v>6.1538461538461542E-2</v>
          </cell>
          <cell r="AG7">
            <v>68</v>
          </cell>
          <cell r="AH7">
            <v>4.6153846153846212E-2</v>
          </cell>
          <cell r="AI7">
            <v>68</v>
          </cell>
          <cell r="AJ7">
            <v>4.6153846153846212E-2</v>
          </cell>
          <cell r="AK7">
            <v>0</v>
          </cell>
          <cell r="AQ7">
            <v>69</v>
          </cell>
          <cell r="AR7">
            <v>6.1538461538461542E-2</v>
          </cell>
          <cell r="AS7">
            <v>0</v>
          </cell>
          <cell r="AU7">
            <v>0</v>
          </cell>
          <cell r="AW7">
            <v>58</v>
          </cell>
          <cell r="AX7">
            <v>-0.10769230769230764</v>
          </cell>
          <cell r="AY7">
            <v>62</v>
          </cell>
          <cell r="AZ7">
            <v>64</v>
          </cell>
        </row>
        <row r="8">
          <cell r="B8" t="str">
            <v>C1102J30</v>
          </cell>
          <cell r="C8">
            <v>87</v>
          </cell>
          <cell r="D8">
            <v>76</v>
          </cell>
          <cell r="E8">
            <v>83</v>
          </cell>
          <cell r="F8">
            <v>90</v>
          </cell>
          <cell r="G8">
            <v>90</v>
          </cell>
          <cell r="K8">
            <v>80</v>
          </cell>
          <cell r="M8">
            <v>91</v>
          </cell>
          <cell r="N8">
            <v>9.6385542168674787E-2</v>
          </cell>
          <cell r="O8">
            <v>81.900000000000006</v>
          </cell>
          <cell r="P8">
            <v>-1.3253012048192736E-2</v>
          </cell>
          <cell r="Q8">
            <v>81.081081081081081</v>
          </cell>
          <cell r="R8">
            <v>2.3666666666666725E-2</v>
          </cell>
          <cell r="S8">
            <v>81</v>
          </cell>
          <cell r="T8">
            <v>-2.4096385542168641E-2</v>
          </cell>
          <cell r="U8">
            <v>78.5</v>
          </cell>
          <cell r="V8">
            <v>-5.4216867469879526E-2</v>
          </cell>
          <cell r="W8">
            <v>81</v>
          </cell>
          <cell r="X8">
            <v>-2.4096385542168641E-2</v>
          </cell>
          <cell r="Y8">
            <v>83</v>
          </cell>
          <cell r="Z8">
            <v>0</v>
          </cell>
          <cell r="AA8">
            <v>81.7</v>
          </cell>
          <cell r="AB8">
            <v>-1.5662650602409567E-2</v>
          </cell>
          <cell r="AC8">
            <v>0</v>
          </cell>
          <cell r="AE8">
            <v>84</v>
          </cell>
          <cell r="AF8">
            <v>1.2048192771084265E-2</v>
          </cell>
          <cell r="AG8">
            <v>83</v>
          </cell>
          <cell r="AH8">
            <v>0</v>
          </cell>
          <cell r="AI8">
            <v>82</v>
          </cell>
          <cell r="AJ8">
            <v>-1.2048192771084376E-2</v>
          </cell>
          <cell r="AK8">
            <v>0</v>
          </cell>
          <cell r="AM8">
            <v>83</v>
          </cell>
          <cell r="AN8">
            <v>0</v>
          </cell>
          <cell r="AO8">
            <v>81.7</v>
          </cell>
          <cell r="AP8">
            <v>-1.5662650602409567E-2</v>
          </cell>
          <cell r="AQ8">
            <v>85.5</v>
          </cell>
          <cell r="AR8">
            <v>3.0120481927710774E-2</v>
          </cell>
          <cell r="AS8">
            <v>0</v>
          </cell>
          <cell r="AU8">
            <v>0</v>
          </cell>
          <cell r="AW8">
            <v>76</v>
          </cell>
          <cell r="AX8">
            <v>-8.4337349397590411E-2</v>
          </cell>
          <cell r="AY8">
            <v>77</v>
          </cell>
          <cell r="AZ8">
            <v>82</v>
          </cell>
        </row>
        <row r="9">
          <cell r="B9" t="str">
            <v>C1205J20</v>
          </cell>
          <cell r="C9">
            <v>63</v>
          </cell>
          <cell r="D9">
            <v>55</v>
          </cell>
          <cell r="E9">
            <v>61</v>
          </cell>
          <cell r="F9">
            <v>58</v>
          </cell>
          <cell r="G9">
            <v>58</v>
          </cell>
          <cell r="K9">
            <v>59</v>
          </cell>
          <cell r="O9">
            <v>0</v>
          </cell>
          <cell r="Q9">
            <v>57.89473684210526</v>
          </cell>
          <cell r="R9">
            <v>5.3636363636363704E-2</v>
          </cell>
          <cell r="S9">
            <v>73</v>
          </cell>
          <cell r="T9">
            <v>0.19672131147540983</v>
          </cell>
          <cell r="U9">
            <v>0</v>
          </cell>
          <cell r="W9">
            <v>0</v>
          </cell>
          <cell r="Y9">
            <v>0</v>
          </cell>
          <cell r="AA9">
            <v>73.149999999999991</v>
          </cell>
          <cell r="AB9">
            <v>0.19918032786885242</v>
          </cell>
          <cell r="AE9">
            <v>0</v>
          </cell>
          <cell r="AG9">
            <v>0</v>
          </cell>
          <cell r="AK9">
            <v>0</v>
          </cell>
          <cell r="AM9">
            <v>0</v>
          </cell>
          <cell r="AQ9">
            <v>73.5</v>
          </cell>
          <cell r="AR9">
            <v>0.20491803278688514</v>
          </cell>
          <cell r="AS9">
            <v>0</v>
          </cell>
          <cell r="AU9">
            <v>74</v>
          </cell>
          <cell r="AV9">
            <v>0.21311475409836067</v>
          </cell>
          <cell r="AY9">
            <v>65</v>
          </cell>
          <cell r="AZ9">
            <v>52</v>
          </cell>
        </row>
        <row r="10">
          <cell r="B10" t="str">
            <v>C1205J30</v>
          </cell>
          <cell r="C10">
            <v>79</v>
          </cell>
          <cell r="D10">
            <v>69</v>
          </cell>
          <cell r="E10">
            <v>77</v>
          </cell>
          <cell r="F10">
            <v>73</v>
          </cell>
          <cell r="G10">
            <v>73</v>
          </cell>
          <cell r="K10">
            <v>74</v>
          </cell>
          <cell r="O10">
            <v>0</v>
          </cell>
          <cell r="Q10">
            <v>78.991596638655466</v>
          </cell>
          <cell r="R10">
            <v>-2.5212765957446814E-2</v>
          </cell>
          <cell r="S10">
            <v>86</v>
          </cell>
          <cell r="T10">
            <v>0.11688311688311681</v>
          </cell>
          <cell r="U10">
            <v>0</v>
          </cell>
          <cell r="W10">
            <v>0</v>
          </cell>
          <cell r="Y10">
            <v>0</v>
          </cell>
          <cell r="AA10">
            <v>85.5</v>
          </cell>
          <cell r="AB10">
            <v>0.11038961038961048</v>
          </cell>
          <cell r="AC10">
            <v>86.45</v>
          </cell>
          <cell r="AD10">
            <v>0.1227272727272728</v>
          </cell>
          <cell r="AE10">
            <v>0</v>
          </cell>
          <cell r="AG10">
            <v>0</v>
          </cell>
          <cell r="AI10">
            <v>86</v>
          </cell>
          <cell r="AJ10">
            <v>0.11688311688311681</v>
          </cell>
          <cell r="AK10">
            <v>0</v>
          </cell>
          <cell r="AM10">
            <v>0</v>
          </cell>
          <cell r="AO10">
            <v>85.5</v>
          </cell>
          <cell r="AP10">
            <v>0.11038961038961048</v>
          </cell>
          <cell r="AQ10">
            <v>85.5</v>
          </cell>
          <cell r="AR10">
            <v>0.11038961038961048</v>
          </cell>
          <cell r="AS10">
            <v>0</v>
          </cell>
          <cell r="AU10">
            <v>87</v>
          </cell>
          <cell r="AV10">
            <v>0.12987012987012991</v>
          </cell>
          <cell r="AY10">
            <v>77</v>
          </cell>
          <cell r="AZ10">
            <v>66</v>
          </cell>
        </row>
        <row r="11">
          <cell r="B11" t="str">
            <v>C2104J20</v>
          </cell>
          <cell r="C11">
            <v>62</v>
          </cell>
          <cell r="D11">
            <v>54</v>
          </cell>
          <cell r="E11">
            <v>59</v>
          </cell>
          <cell r="F11">
            <v>58</v>
          </cell>
          <cell r="G11">
            <v>58</v>
          </cell>
          <cell r="K11">
            <v>57</v>
          </cell>
          <cell r="L11">
            <v>57</v>
          </cell>
          <cell r="M11">
            <v>61</v>
          </cell>
          <cell r="N11">
            <v>3.3898305084745672E-2</v>
          </cell>
          <cell r="O11">
            <v>54.9</v>
          </cell>
          <cell r="P11">
            <v>-6.9491525423728828E-2</v>
          </cell>
          <cell r="Q11">
            <v>52.066115702479337</v>
          </cell>
          <cell r="R11">
            <v>0.13317460317460328</v>
          </cell>
          <cell r="S11">
            <v>60</v>
          </cell>
          <cell r="T11">
            <v>1.6949152542372836E-2</v>
          </cell>
          <cell r="U11">
            <v>0</v>
          </cell>
          <cell r="W11">
            <v>0</v>
          </cell>
          <cell r="Y11">
            <v>60</v>
          </cell>
          <cell r="Z11">
            <v>1.6949152542372836E-2</v>
          </cell>
          <cell r="AA11">
            <v>0</v>
          </cell>
          <cell r="AC11">
            <v>59.849999999999994</v>
          </cell>
          <cell r="AD11">
            <v>1.4406779661016778E-2</v>
          </cell>
          <cell r="AE11">
            <v>0</v>
          </cell>
          <cell r="AG11">
            <v>60.5</v>
          </cell>
          <cell r="AH11">
            <v>2.5423728813559254E-2</v>
          </cell>
          <cell r="AI11">
            <v>60</v>
          </cell>
          <cell r="AJ11">
            <v>1.6949152542372836E-2</v>
          </cell>
          <cell r="AK11">
            <v>0</v>
          </cell>
          <cell r="AM11">
            <v>0</v>
          </cell>
          <cell r="AQ11">
            <v>60.5</v>
          </cell>
          <cell r="AR11">
            <v>2.5423728813559254E-2</v>
          </cell>
          <cell r="AS11">
            <v>0</v>
          </cell>
          <cell r="AU11">
            <v>61</v>
          </cell>
          <cell r="AV11">
            <v>3.3898305084745672E-2</v>
          </cell>
          <cell r="AW11">
            <v>56.5</v>
          </cell>
          <cell r="AX11">
            <v>-4.2372881355932202E-2</v>
          </cell>
          <cell r="AY11">
            <v>54</v>
          </cell>
          <cell r="AZ11">
            <v>53</v>
          </cell>
        </row>
        <row r="12">
          <cell r="B12" t="str">
            <v>C2104J30</v>
          </cell>
          <cell r="C12">
            <v>77</v>
          </cell>
          <cell r="D12">
            <v>68</v>
          </cell>
          <cell r="E12">
            <v>74</v>
          </cell>
          <cell r="F12">
            <v>73</v>
          </cell>
          <cell r="G12">
            <v>73</v>
          </cell>
          <cell r="K12">
            <v>71</v>
          </cell>
          <cell r="L12">
            <v>67</v>
          </cell>
          <cell r="M12">
            <v>79</v>
          </cell>
          <cell r="N12">
            <v>6.7567567567567544E-2</v>
          </cell>
          <cell r="O12">
            <v>71.100000000000009</v>
          </cell>
          <cell r="P12">
            <v>-3.9189189189189122E-2</v>
          </cell>
          <cell r="Q12">
            <v>70.09345794392523</v>
          </cell>
          <cell r="R12">
            <v>5.5733333333333412E-2</v>
          </cell>
          <cell r="S12">
            <v>71</v>
          </cell>
          <cell r="T12">
            <v>-4.0540540540540571E-2</v>
          </cell>
          <cell r="U12">
            <v>0</v>
          </cell>
          <cell r="W12">
            <v>0</v>
          </cell>
          <cell r="Y12">
            <v>71.5</v>
          </cell>
          <cell r="Z12">
            <v>-3.3783783783783772E-2</v>
          </cell>
          <cell r="AA12">
            <v>0</v>
          </cell>
          <cell r="AC12">
            <v>73.149999999999991</v>
          </cell>
          <cell r="AD12">
            <v>-1.1486486486486647E-2</v>
          </cell>
          <cell r="AE12">
            <v>0</v>
          </cell>
          <cell r="AG12">
            <v>71.5</v>
          </cell>
          <cell r="AH12">
            <v>-3.3783783783783772E-2</v>
          </cell>
          <cell r="AI12">
            <v>72</v>
          </cell>
          <cell r="AJ12">
            <v>-2.7027027027026973E-2</v>
          </cell>
          <cell r="AK12">
            <v>0</v>
          </cell>
          <cell r="AM12">
            <v>72</v>
          </cell>
          <cell r="AN12">
            <v>-2.7027027027026973E-2</v>
          </cell>
          <cell r="AO12">
            <v>71.25</v>
          </cell>
          <cell r="AP12">
            <v>-3.7162162162162171E-2</v>
          </cell>
          <cell r="AQ12">
            <v>71.5</v>
          </cell>
          <cell r="AR12">
            <v>-3.3783783783783772E-2</v>
          </cell>
          <cell r="AS12">
            <v>0</v>
          </cell>
          <cell r="AU12">
            <v>72</v>
          </cell>
          <cell r="AV12">
            <v>-2.7027027027026973E-2</v>
          </cell>
          <cell r="AW12">
            <v>70</v>
          </cell>
          <cell r="AX12">
            <v>-5.4054054054054057E-2</v>
          </cell>
          <cell r="AY12">
            <v>64</v>
          </cell>
          <cell r="AZ12">
            <v>67</v>
          </cell>
        </row>
        <row r="13">
          <cell r="B13" t="str">
            <v>C2262J20</v>
          </cell>
          <cell r="C13">
            <v>64</v>
          </cell>
          <cell r="D13">
            <v>56</v>
          </cell>
          <cell r="E13">
            <v>62</v>
          </cell>
          <cell r="F13">
            <v>63</v>
          </cell>
          <cell r="H13">
            <v>63</v>
          </cell>
          <cell r="K13">
            <v>59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76</v>
          </cell>
          <cell r="AB13">
            <v>0.22580645161290325</v>
          </cell>
          <cell r="AC13">
            <v>76</v>
          </cell>
          <cell r="AD13">
            <v>0.22580645161290325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Y13">
            <v>62</v>
          </cell>
          <cell r="AZ13">
            <v>56</v>
          </cell>
        </row>
        <row r="14">
          <cell r="B14" t="str">
            <v>C2262J30</v>
          </cell>
          <cell r="C14">
            <v>77</v>
          </cell>
          <cell r="D14">
            <v>68</v>
          </cell>
          <cell r="E14">
            <v>74</v>
          </cell>
          <cell r="F14">
            <v>75</v>
          </cell>
          <cell r="H14">
            <v>75</v>
          </cell>
          <cell r="K14">
            <v>71</v>
          </cell>
          <cell r="O14">
            <v>0</v>
          </cell>
          <cell r="Q14">
            <v>89.247311827956992</v>
          </cell>
          <cell r="R14">
            <v>-0.17084337349397594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90.25</v>
          </cell>
          <cell r="AB14">
            <v>0.21959459459459452</v>
          </cell>
          <cell r="AC14">
            <v>92.149999999999991</v>
          </cell>
          <cell r="AD14">
            <v>0.24527027027027026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0</v>
          </cell>
          <cell r="AY14">
            <v>74</v>
          </cell>
          <cell r="AZ14">
            <v>68</v>
          </cell>
        </row>
        <row r="15">
          <cell r="B15" t="str">
            <v>C3105J20</v>
          </cell>
          <cell r="C15">
            <v>59</v>
          </cell>
          <cell r="D15">
            <v>51</v>
          </cell>
          <cell r="E15">
            <v>56</v>
          </cell>
          <cell r="F15">
            <v>62</v>
          </cell>
          <cell r="G15">
            <v>62</v>
          </cell>
          <cell r="K15">
            <v>54</v>
          </cell>
          <cell r="O15">
            <v>0</v>
          </cell>
          <cell r="Q15">
            <v>0</v>
          </cell>
          <cell r="S15">
            <v>0</v>
          </cell>
          <cell r="U15">
            <v>62</v>
          </cell>
          <cell r="V15">
            <v>0.10714285714285721</v>
          </cell>
          <cell r="W15">
            <v>0</v>
          </cell>
          <cell r="Y15">
            <v>0</v>
          </cell>
          <cell r="AA15">
            <v>0</v>
          </cell>
          <cell r="AC15">
            <v>63.65</v>
          </cell>
          <cell r="AD15">
            <v>0.13660714285714293</v>
          </cell>
          <cell r="AE15">
            <v>64</v>
          </cell>
          <cell r="AF15">
            <v>0.14285714285714279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  <cell r="AQ15">
            <v>0</v>
          </cell>
          <cell r="AS15">
            <v>0</v>
          </cell>
          <cell r="AU15">
            <v>0</v>
          </cell>
          <cell r="AY15">
            <v>59</v>
          </cell>
          <cell r="AZ15">
            <v>56</v>
          </cell>
        </row>
        <row r="16">
          <cell r="B16" t="str">
            <v>C3105J30</v>
          </cell>
          <cell r="C16">
            <v>74</v>
          </cell>
          <cell r="D16">
            <v>65</v>
          </cell>
          <cell r="E16">
            <v>71</v>
          </cell>
          <cell r="F16">
            <v>77</v>
          </cell>
          <cell r="G16">
            <v>77</v>
          </cell>
          <cell r="K16">
            <v>68</v>
          </cell>
          <cell r="O16">
            <v>0</v>
          </cell>
          <cell r="Q16">
            <v>70.33898305084746</v>
          </cell>
          <cell r="R16">
            <v>9.3975903614458289E-3</v>
          </cell>
          <cell r="S16">
            <v>0</v>
          </cell>
          <cell r="U16">
            <v>75</v>
          </cell>
          <cell r="V16">
            <v>5.6338028169014009E-2</v>
          </cell>
          <cell r="W16">
            <v>0</v>
          </cell>
          <cell r="Y16">
            <v>0</v>
          </cell>
          <cell r="AA16">
            <v>0</v>
          </cell>
          <cell r="AC16">
            <v>77.899999999999991</v>
          </cell>
          <cell r="AD16">
            <v>9.7183098591549166E-2</v>
          </cell>
          <cell r="AE16">
            <v>77</v>
          </cell>
          <cell r="AF16">
            <v>8.4507042253521236E-2</v>
          </cell>
          <cell r="AG16">
            <v>0</v>
          </cell>
          <cell r="AI16">
            <v>0</v>
          </cell>
          <cell r="AK16">
            <v>77</v>
          </cell>
          <cell r="AL16">
            <v>8.4507042253521236E-2</v>
          </cell>
          <cell r="AM16">
            <v>77</v>
          </cell>
          <cell r="AN16">
            <v>8.4507042253521236E-2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Y16">
            <v>72</v>
          </cell>
          <cell r="AZ16">
            <v>70</v>
          </cell>
        </row>
        <row r="17">
          <cell r="B17" t="str">
            <v>C3146J20</v>
          </cell>
          <cell r="C17">
            <v>58</v>
          </cell>
          <cell r="D17">
            <v>50</v>
          </cell>
          <cell r="E17">
            <v>55</v>
          </cell>
          <cell r="F17">
            <v>56</v>
          </cell>
          <cell r="G17">
            <v>56</v>
          </cell>
          <cell r="K17">
            <v>53</v>
          </cell>
          <cell r="O17">
            <v>0</v>
          </cell>
          <cell r="Q17">
            <v>53.174603174603178</v>
          </cell>
          <cell r="R17">
            <v>3.4328358208955079E-2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63.65</v>
          </cell>
          <cell r="AD17">
            <v>0.15727272727272723</v>
          </cell>
          <cell r="AE17">
            <v>64</v>
          </cell>
          <cell r="AF17">
            <v>0.16363636363636358</v>
          </cell>
          <cell r="AG17">
            <v>63</v>
          </cell>
          <cell r="AH17">
            <v>0.1454545454545455</v>
          </cell>
          <cell r="AI17">
            <v>0</v>
          </cell>
          <cell r="AK17">
            <v>0</v>
          </cell>
          <cell r="AM17">
            <v>0</v>
          </cell>
          <cell r="AO17">
            <v>0</v>
          </cell>
          <cell r="AQ17">
            <v>64</v>
          </cell>
          <cell r="AR17">
            <v>0.16363636363636358</v>
          </cell>
          <cell r="AS17">
            <v>64</v>
          </cell>
          <cell r="AT17">
            <v>0.16363636363636358</v>
          </cell>
          <cell r="AU17">
            <v>0</v>
          </cell>
          <cell r="AY17">
            <v>59</v>
          </cell>
          <cell r="AZ17">
            <v>50</v>
          </cell>
        </row>
        <row r="18">
          <cell r="B18" t="str">
            <v>C3146J30</v>
          </cell>
          <cell r="C18">
            <v>72</v>
          </cell>
          <cell r="D18">
            <v>64</v>
          </cell>
          <cell r="E18">
            <v>69</v>
          </cell>
          <cell r="F18">
            <v>70</v>
          </cell>
          <cell r="G18">
            <v>70</v>
          </cell>
          <cell r="K18">
            <v>67</v>
          </cell>
          <cell r="O18">
            <v>0</v>
          </cell>
          <cell r="Q18">
            <v>70.689655172413794</v>
          </cell>
          <cell r="R18">
            <v>-2.3902439024390265E-2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77.899999999999991</v>
          </cell>
          <cell r="AD18">
            <v>0.12898550724637659</v>
          </cell>
          <cell r="AE18">
            <v>77</v>
          </cell>
          <cell r="AF18">
            <v>0.11594202898550732</v>
          </cell>
          <cell r="AG18">
            <v>75</v>
          </cell>
          <cell r="AH18">
            <v>8.6956521739130377E-2</v>
          </cell>
          <cell r="AI18">
            <v>0</v>
          </cell>
          <cell r="AK18">
            <v>77</v>
          </cell>
          <cell r="AL18">
            <v>0.11594202898550732</v>
          </cell>
          <cell r="AM18">
            <v>0</v>
          </cell>
          <cell r="AO18">
            <v>0</v>
          </cell>
          <cell r="AQ18">
            <v>77</v>
          </cell>
          <cell r="AR18">
            <v>0.11594202898550732</v>
          </cell>
          <cell r="AS18">
            <v>77</v>
          </cell>
          <cell r="AT18">
            <v>0.11594202898550732</v>
          </cell>
          <cell r="AU18">
            <v>0</v>
          </cell>
          <cell r="AY18">
            <v>72</v>
          </cell>
          <cell r="AZ18">
            <v>64</v>
          </cell>
        </row>
        <row r="19">
          <cell r="B19" t="str">
            <v>C3269J20</v>
          </cell>
          <cell r="C19">
            <v>48</v>
          </cell>
          <cell r="D19">
            <v>42</v>
          </cell>
          <cell r="E19">
            <v>46</v>
          </cell>
          <cell r="F19">
            <v>46</v>
          </cell>
          <cell r="G19">
            <v>46</v>
          </cell>
          <cell r="K19">
            <v>44</v>
          </cell>
          <cell r="O19">
            <v>0</v>
          </cell>
          <cell r="Q19">
            <v>68.674698795180731</v>
          </cell>
          <cell r="R19">
            <v>-0.33017543859649134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E19">
            <v>66</v>
          </cell>
          <cell r="AF19">
            <v>0.43478260869565211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  <cell r="AQ19">
            <v>0</v>
          </cell>
          <cell r="AS19">
            <v>0</v>
          </cell>
          <cell r="AU19">
            <v>0</v>
          </cell>
          <cell r="AY19">
            <v>52</v>
          </cell>
          <cell r="AZ19">
            <v>42</v>
          </cell>
        </row>
        <row r="20">
          <cell r="B20" t="str">
            <v>C3269J30</v>
          </cell>
          <cell r="C20">
            <v>61</v>
          </cell>
          <cell r="D20">
            <v>54</v>
          </cell>
          <cell r="E20">
            <v>58</v>
          </cell>
          <cell r="F20">
            <v>58</v>
          </cell>
          <cell r="G20">
            <v>58</v>
          </cell>
          <cell r="K20">
            <v>56</v>
          </cell>
          <cell r="O20">
            <v>0</v>
          </cell>
          <cell r="Q20">
            <v>95.890410958904113</v>
          </cell>
          <cell r="R20">
            <v>-0.39514285714285713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E20">
            <v>91</v>
          </cell>
          <cell r="AF20">
            <v>0.56896551724137923</v>
          </cell>
          <cell r="AG20">
            <v>0</v>
          </cell>
          <cell r="AI20">
            <v>0</v>
          </cell>
          <cell r="AK20">
            <v>0</v>
          </cell>
          <cell r="AM20">
            <v>0</v>
          </cell>
          <cell r="AO20">
            <v>0</v>
          </cell>
          <cell r="AQ20">
            <v>0</v>
          </cell>
          <cell r="AS20">
            <v>0</v>
          </cell>
          <cell r="AU20">
            <v>0</v>
          </cell>
          <cell r="AY20">
            <v>64</v>
          </cell>
          <cell r="AZ20">
            <v>53</v>
          </cell>
        </row>
        <row r="21">
          <cell r="B21" t="str">
            <v>C3346J20</v>
          </cell>
          <cell r="C21">
            <v>69</v>
          </cell>
          <cell r="D21">
            <v>60</v>
          </cell>
          <cell r="E21">
            <v>66</v>
          </cell>
          <cell r="F21">
            <v>65</v>
          </cell>
          <cell r="J21">
            <v>65</v>
          </cell>
          <cell r="K21">
            <v>63</v>
          </cell>
          <cell r="O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59.849999999999994</v>
          </cell>
          <cell r="AD21">
            <v>-9.3181818181818254E-2</v>
          </cell>
          <cell r="AE21">
            <v>60</v>
          </cell>
          <cell r="AF21">
            <v>-9.0909090909090939E-2</v>
          </cell>
          <cell r="AG21">
            <v>63</v>
          </cell>
          <cell r="AH21">
            <v>-4.5454545454545414E-2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Y21">
            <v>60</v>
          </cell>
          <cell r="AZ21">
            <v>58</v>
          </cell>
        </row>
        <row r="22">
          <cell r="B22" t="str">
            <v>C3346J30</v>
          </cell>
          <cell r="C22">
            <v>84</v>
          </cell>
          <cell r="D22">
            <v>74</v>
          </cell>
          <cell r="E22">
            <v>81</v>
          </cell>
          <cell r="F22">
            <v>80</v>
          </cell>
          <cell r="J22">
            <v>80</v>
          </cell>
          <cell r="K22">
            <v>77</v>
          </cell>
          <cell r="O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77.899999999999991</v>
          </cell>
          <cell r="AD22">
            <v>-3.8271604938271753E-2</v>
          </cell>
          <cell r="AE22">
            <v>76</v>
          </cell>
          <cell r="AF22">
            <v>-6.1728395061728447E-2</v>
          </cell>
          <cell r="AG22">
            <v>78.5</v>
          </cell>
          <cell r="AH22">
            <v>-3.0864197530864224E-2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Y22">
            <v>75</v>
          </cell>
          <cell r="AZ22">
            <v>72</v>
          </cell>
        </row>
        <row r="23">
          <cell r="B23" t="str">
            <v>C3311J20</v>
          </cell>
          <cell r="C23">
            <v>58</v>
          </cell>
          <cell r="D23">
            <v>51</v>
          </cell>
          <cell r="E23">
            <v>55</v>
          </cell>
          <cell r="F23">
            <v>59</v>
          </cell>
          <cell r="J23">
            <v>59</v>
          </cell>
          <cell r="K23">
            <v>53</v>
          </cell>
          <cell r="O23">
            <v>0</v>
          </cell>
          <cell r="Q23">
            <v>56.20437956204379</v>
          </cell>
          <cell r="R23">
            <v>-2.1428571428571352E-2</v>
          </cell>
          <cell r="S23">
            <v>68</v>
          </cell>
          <cell r="T23">
            <v>0.23636363636363633</v>
          </cell>
          <cell r="U23">
            <v>65</v>
          </cell>
          <cell r="V23">
            <v>0.18181818181818188</v>
          </cell>
          <cell r="W23">
            <v>0</v>
          </cell>
          <cell r="Y23">
            <v>67</v>
          </cell>
          <cell r="Z23">
            <v>0.21818181818181825</v>
          </cell>
          <cell r="AA23">
            <v>0</v>
          </cell>
          <cell r="AC23">
            <v>66.5</v>
          </cell>
          <cell r="AD23">
            <v>0.20909090909090899</v>
          </cell>
          <cell r="AE23">
            <v>67</v>
          </cell>
          <cell r="AF23">
            <v>0.21818181818181825</v>
          </cell>
          <cell r="AG23">
            <v>67.5</v>
          </cell>
          <cell r="AH23">
            <v>0.22727272727272729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  <cell r="AQ23">
            <v>68</v>
          </cell>
          <cell r="AR23">
            <v>0.23636363636363633</v>
          </cell>
          <cell r="AS23">
            <v>0</v>
          </cell>
          <cell r="AU23">
            <v>0</v>
          </cell>
          <cell r="AY23">
            <v>60</v>
          </cell>
          <cell r="AZ23">
            <v>53</v>
          </cell>
        </row>
        <row r="24">
          <cell r="B24" t="str">
            <v>C3311J30</v>
          </cell>
          <cell r="C24">
            <v>73</v>
          </cell>
          <cell r="D24">
            <v>64</v>
          </cell>
          <cell r="E24">
            <v>70</v>
          </cell>
          <cell r="F24">
            <v>73</v>
          </cell>
          <cell r="J24">
            <v>73</v>
          </cell>
          <cell r="K24">
            <v>67</v>
          </cell>
          <cell r="O24">
            <v>0</v>
          </cell>
          <cell r="Q24">
            <v>72.65625</v>
          </cell>
          <cell r="R24">
            <v>-3.6559139784946182E-2</v>
          </cell>
          <cell r="S24">
            <v>83</v>
          </cell>
          <cell r="T24">
            <v>0.18571428571428572</v>
          </cell>
          <cell r="U24">
            <v>80.5</v>
          </cell>
          <cell r="V24">
            <v>0.14999999999999991</v>
          </cell>
          <cell r="W24">
            <v>0</v>
          </cell>
          <cell r="Y24">
            <v>83.5</v>
          </cell>
          <cell r="Z24">
            <v>0.19285714285714284</v>
          </cell>
          <cell r="AA24">
            <v>0</v>
          </cell>
          <cell r="AB24">
            <v>0.15062365591397842</v>
          </cell>
          <cell r="AC24">
            <v>83.6</v>
          </cell>
          <cell r="AD24">
            <v>0.19428571428571417</v>
          </cell>
          <cell r="AE24">
            <v>83</v>
          </cell>
          <cell r="AF24">
            <v>0.18571428571428572</v>
          </cell>
          <cell r="AG24">
            <v>83.5</v>
          </cell>
          <cell r="AH24">
            <v>0.19285714285714284</v>
          </cell>
          <cell r="AI24">
            <v>0</v>
          </cell>
          <cell r="AK24">
            <v>0</v>
          </cell>
          <cell r="AM24">
            <v>0</v>
          </cell>
          <cell r="AO24">
            <v>0</v>
          </cell>
          <cell r="AQ24">
            <v>83.5</v>
          </cell>
          <cell r="AR24">
            <v>0.19285714285714284</v>
          </cell>
          <cell r="AS24">
            <v>0</v>
          </cell>
          <cell r="AU24">
            <v>0</v>
          </cell>
          <cell r="AY24">
            <v>74</v>
          </cell>
          <cell r="AZ24">
            <v>66</v>
          </cell>
        </row>
        <row r="25">
          <cell r="B25" t="str">
            <v>C4111J20</v>
          </cell>
          <cell r="C25">
            <v>76</v>
          </cell>
          <cell r="D25">
            <v>67</v>
          </cell>
          <cell r="E25">
            <v>73</v>
          </cell>
          <cell r="F25">
            <v>78</v>
          </cell>
          <cell r="H25">
            <v>78</v>
          </cell>
          <cell r="K25">
            <v>70</v>
          </cell>
          <cell r="O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86</v>
          </cell>
          <cell r="AF25">
            <v>0.17808219178082196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Y25">
            <v>70</v>
          </cell>
          <cell r="AZ25">
            <v>70</v>
          </cell>
        </row>
        <row r="26">
          <cell r="B26" t="str">
            <v>C4111J30</v>
          </cell>
          <cell r="C26">
            <v>92</v>
          </cell>
          <cell r="D26">
            <v>81</v>
          </cell>
          <cell r="E26">
            <v>89</v>
          </cell>
          <cell r="F26">
            <v>94</v>
          </cell>
          <cell r="H26">
            <v>94</v>
          </cell>
          <cell r="K26">
            <v>85</v>
          </cell>
          <cell r="O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100</v>
          </cell>
          <cell r="AF26">
            <v>0.12359550561797761</v>
          </cell>
          <cell r="AG26">
            <v>0</v>
          </cell>
          <cell r="AI26">
            <v>0</v>
          </cell>
          <cell r="AK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Y26">
            <v>85</v>
          </cell>
          <cell r="AZ26">
            <v>85</v>
          </cell>
        </row>
        <row r="27">
          <cell r="B27" t="str">
            <v>C4143J20</v>
          </cell>
          <cell r="C27">
            <v>59</v>
          </cell>
          <cell r="D27">
            <v>52</v>
          </cell>
          <cell r="E27">
            <v>57</v>
          </cell>
          <cell r="F27">
            <v>57</v>
          </cell>
          <cell r="G27">
            <v>57</v>
          </cell>
          <cell r="K27">
            <v>57</v>
          </cell>
          <cell r="O27">
            <v>0</v>
          </cell>
          <cell r="Q27">
            <v>55.639097744360896</v>
          </cell>
          <cell r="R27">
            <v>2.4459459459459598E-2</v>
          </cell>
          <cell r="S27">
            <v>0</v>
          </cell>
          <cell r="U27">
            <v>0</v>
          </cell>
          <cell r="W27">
            <v>67</v>
          </cell>
          <cell r="X27">
            <v>0.17543859649122817</v>
          </cell>
          <cell r="Y27">
            <v>67</v>
          </cell>
          <cell r="Z27">
            <v>0.17543859649122817</v>
          </cell>
          <cell r="AA27">
            <v>66.5</v>
          </cell>
          <cell r="AB27">
            <v>0.16666666666666674</v>
          </cell>
          <cell r="AC27">
            <v>0</v>
          </cell>
          <cell r="AE27">
            <v>67</v>
          </cell>
          <cell r="AF27">
            <v>0.17543859649122817</v>
          </cell>
          <cell r="AG27">
            <v>67.5</v>
          </cell>
          <cell r="AH27">
            <v>0.18421052631578938</v>
          </cell>
          <cell r="AI27">
            <v>67</v>
          </cell>
          <cell r="AJ27">
            <v>0.17543859649122817</v>
          </cell>
          <cell r="AK27">
            <v>0</v>
          </cell>
          <cell r="AM27">
            <v>0</v>
          </cell>
          <cell r="AO27">
            <v>0</v>
          </cell>
          <cell r="AQ27">
            <v>69</v>
          </cell>
          <cell r="AR27">
            <v>0.21052631578947367</v>
          </cell>
          <cell r="AS27">
            <v>67</v>
          </cell>
          <cell r="AT27">
            <v>0.17543859649122817</v>
          </cell>
          <cell r="AU27">
            <v>0</v>
          </cell>
          <cell r="AW27">
            <v>58</v>
          </cell>
          <cell r="AX27">
            <v>1.7543859649122862E-2</v>
          </cell>
          <cell r="AY27">
            <v>60</v>
          </cell>
          <cell r="AZ27">
            <v>51</v>
          </cell>
        </row>
        <row r="28">
          <cell r="B28" t="str">
            <v>C4143J30</v>
          </cell>
          <cell r="C28">
            <v>75</v>
          </cell>
          <cell r="D28">
            <v>66</v>
          </cell>
          <cell r="E28">
            <v>72</v>
          </cell>
          <cell r="F28">
            <v>72</v>
          </cell>
          <cell r="G28">
            <v>72</v>
          </cell>
          <cell r="K28">
            <v>69</v>
          </cell>
          <cell r="L28">
            <v>71.58</v>
          </cell>
          <cell r="O28">
            <v>0</v>
          </cell>
          <cell r="Q28">
            <v>76.859504132231407</v>
          </cell>
          <cell r="R28">
            <v>-6.3225806451612909E-2</v>
          </cell>
          <cell r="S28">
            <v>0</v>
          </cell>
          <cell r="U28">
            <v>0</v>
          </cell>
          <cell r="W28">
            <v>86</v>
          </cell>
          <cell r="X28">
            <v>0.19444444444444442</v>
          </cell>
          <cell r="Y28">
            <v>86.5</v>
          </cell>
          <cell r="Z28">
            <v>0.20138888888888884</v>
          </cell>
          <cell r="AA28">
            <v>85.5</v>
          </cell>
          <cell r="AB28">
            <v>0.1875</v>
          </cell>
          <cell r="AC28">
            <v>0</v>
          </cell>
          <cell r="AE28">
            <v>86</v>
          </cell>
          <cell r="AF28">
            <v>0.19444444444444442</v>
          </cell>
          <cell r="AG28">
            <v>86.5</v>
          </cell>
          <cell r="AH28">
            <v>0.20138888888888884</v>
          </cell>
          <cell r="AI28">
            <v>86</v>
          </cell>
          <cell r="AJ28">
            <v>0.19444444444444442</v>
          </cell>
          <cell r="AK28">
            <v>0</v>
          </cell>
          <cell r="AM28">
            <v>86</v>
          </cell>
          <cell r="AN28">
            <v>0.19444444444444442</v>
          </cell>
          <cell r="AO28">
            <v>0</v>
          </cell>
          <cell r="AQ28">
            <v>86.5</v>
          </cell>
          <cell r="AR28">
            <v>0.20138888888888884</v>
          </cell>
          <cell r="AS28">
            <v>86</v>
          </cell>
          <cell r="AT28">
            <v>0.19444444444444442</v>
          </cell>
          <cell r="AU28">
            <v>0</v>
          </cell>
          <cell r="AW28">
            <v>72.5</v>
          </cell>
          <cell r="AX28">
            <v>6.9444444444444198E-3</v>
          </cell>
          <cell r="AY28">
            <v>77</v>
          </cell>
          <cell r="AZ28">
            <v>65</v>
          </cell>
        </row>
        <row r="29">
          <cell r="B29" t="str">
            <v>C4145J20</v>
          </cell>
          <cell r="C29">
            <v>63</v>
          </cell>
          <cell r="D29">
            <v>55</v>
          </cell>
          <cell r="E29">
            <v>60</v>
          </cell>
          <cell r="F29">
            <v>60</v>
          </cell>
          <cell r="G29">
            <v>60</v>
          </cell>
          <cell r="K29">
            <v>57</v>
          </cell>
          <cell r="O29">
            <v>0</v>
          </cell>
          <cell r="Q29">
            <v>55.639097744360896</v>
          </cell>
          <cell r="R29">
            <v>7.8378378378378466E-2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66.5</v>
          </cell>
          <cell r="AD29">
            <v>0.10833333333333339</v>
          </cell>
          <cell r="AE29">
            <v>67</v>
          </cell>
          <cell r="AF29">
            <v>0.1166666666666667</v>
          </cell>
          <cell r="AG29">
            <v>67.5</v>
          </cell>
          <cell r="AH29">
            <v>0.125</v>
          </cell>
          <cell r="AI29">
            <v>67</v>
          </cell>
          <cell r="AJ29">
            <v>0.1166666666666667</v>
          </cell>
          <cell r="AK29">
            <v>0</v>
          </cell>
          <cell r="AM29">
            <v>0</v>
          </cell>
          <cell r="AQ29">
            <v>69</v>
          </cell>
          <cell r="AR29">
            <v>0.14999999999999991</v>
          </cell>
          <cell r="AS29">
            <v>66.5</v>
          </cell>
          <cell r="AT29">
            <v>0.10833333333333339</v>
          </cell>
          <cell r="AU29">
            <v>0</v>
          </cell>
          <cell r="AY29">
            <v>64</v>
          </cell>
          <cell r="AZ29">
            <v>54</v>
          </cell>
        </row>
        <row r="30">
          <cell r="B30" t="str">
            <v>C4145J30</v>
          </cell>
          <cell r="C30">
            <v>78</v>
          </cell>
          <cell r="D30">
            <v>69</v>
          </cell>
          <cell r="E30">
            <v>75</v>
          </cell>
          <cell r="F30">
            <v>75</v>
          </cell>
          <cell r="G30">
            <v>75</v>
          </cell>
          <cell r="K30">
            <v>72</v>
          </cell>
          <cell r="O30">
            <v>0</v>
          </cell>
          <cell r="Q30">
            <v>76.229508196721312</v>
          </cell>
          <cell r="R30">
            <v>-1.6129032258064502E-2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87.399999999999991</v>
          </cell>
          <cell r="AD30">
            <v>0.16533333333333311</v>
          </cell>
          <cell r="AE30">
            <v>86</v>
          </cell>
          <cell r="AF30">
            <v>0.14666666666666672</v>
          </cell>
          <cell r="AG30">
            <v>86.5</v>
          </cell>
          <cell r="AH30">
            <v>0.15333333333333332</v>
          </cell>
          <cell r="AI30">
            <v>86</v>
          </cell>
          <cell r="AJ30">
            <v>0.14666666666666672</v>
          </cell>
          <cell r="AK30">
            <v>0</v>
          </cell>
          <cell r="AM30">
            <v>0</v>
          </cell>
          <cell r="AO30">
            <v>85.5</v>
          </cell>
          <cell r="AP30">
            <v>0.1399999999999999</v>
          </cell>
          <cell r="AQ30">
            <v>86.5</v>
          </cell>
          <cell r="AR30">
            <v>0.15333333333333332</v>
          </cell>
          <cell r="AS30">
            <v>85.5</v>
          </cell>
          <cell r="AT30">
            <v>0.1399999999999999</v>
          </cell>
          <cell r="AU30">
            <v>0</v>
          </cell>
          <cell r="AY30">
            <v>77</v>
          </cell>
          <cell r="AZ30">
            <v>68</v>
          </cell>
        </row>
        <row r="31">
          <cell r="B31" t="str">
            <v>C4147J20</v>
          </cell>
          <cell r="C31">
            <v>75</v>
          </cell>
          <cell r="D31">
            <v>65</v>
          </cell>
          <cell r="E31">
            <v>72</v>
          </cell>
          <cell r="F31">
            <v>70</v>
          </cell>
          <cell r="I31">
            <v>70</v>
          </cell>
          <cell r="K31">
            <v>69</v>
          </cell>
          <cell r="O31">
            <v>0</v>
          </cell>
          <cell r="S31">
            <v>0</v>
          </cell>
          <cell r="U31">
            <v>0</v>
          </cell>
          <cell r="W31">
            <v>73</v>
          </cell>
          <cell r="X31">
            <v>1.388888888888884E-2</v>
          </cell>
          <cell r="Y31">
            <v>0</v>
          </cell>
          <cell r="AA31">
            <v>0</v>
          </cell>
          <cell r="AC31">
            <v>0</v>
          </cell>
          <cell r="AE31">
            <v>74</v>
          </cell>
          <cell r="AF31">
            <v>2.7777777777777679E-2</v>
          </cell>
          <cell r="AG31">
            <v>0</v>
          </cell>
          <cell r="AI31">
            <v>0</v>
          </cell>
          <cell r="AK31">
            <v>0</v>
          </cell>
          <cell r="AM31">
            <v>0</v>
          </cell>
          <cell r="AO31">
            <v>0</v>
          </cell>
          <cell r="AQ31">
            <v>0</v>
          </cell>
          <cell r="AS31">
            <v>0</v>
          </cell>
          <cell r="AU31">
            <v>0</v>
          </cell>
          <cell r="AY31">
            <v>66</v>
          </cell>
          <cell r="AZ31">
            <v>63</v>
          </cell>
        </row>
        <row r="32">
          <cell r="B32" t="str">
            <v>C4147J30</v>
          </cell>
          <cell r="C32">
            <v>91</v>
          </cell>
          <cell r="D32">
            <v>80</v>
          </cell>
          <cell r="E32">
            <v>88</v>
          </cell>
          <cell r="F32">
            <v>87</v>
          </cell>
          <cell r="I32">
            <v>87</v>
          </cell>
          <cell r="K32">
            <v>84</v>
          </cell>
          <cell r="O32">
            <v>0</v>
          </cell>
          <cell r="S32">
            <v>0</v>
          </cell>
          <cell r="U32">
            <v>0</v>
          </cell>
          <cell r="W32">
            <v>92</v>
          </cell>
          <cell r="X32">
            <v>4.5454545454545414E-2</v>
          </cell>
          <cell r="Y32">
            <v>0</v>
          </cell>
          <cell r="AA32">
            <v>0</v>
          </cell>
          <cell r="AC32">
            <v>0</v>
          </cell>
          <cell r="AE32">
            <v>94</v>
          </cell>
          <cell r="AF32">
            <v>6.8181818181818121E-2</v>
          </cell>
          <cell r="AG32">
            <v>0</v>
          </cell>
          <cell r="AI32">
            <v>0</v>
          </cell>
          <cell r="AK32">
            <v>0</v>
          </cell>
          <cell r="AM32">
            <v>0</v>
          </cell>
          <cell r="AO32">
            <v>0</v>
          </cell>
          <cell r="AQ32">
            <v>0</v>
          </cell>
          <cell r="AS32">
            <v>0</v>
          </cell>
          <cell r="AU32">
            <v>0</v>
          </cell>
          <cell r="AY32">
            <v>85</v>
          </cell>
          <cell r="AZ32">
            <v>78</v>
          </cell>
        </row>
        <row r="33">
          <cell r="B33" t="str">
            <v>C4149J20</v>
          </cell>
          <cell r="C33">
            <v>86</v>
          </cell>
          <cell r="D33">
            <v>73</v>
          </cell>
          <cell r="E33">
            <v>80</v>
          </cell>
          <cell r="F33">
            <v>85</v>
          </cell>
          <cell r="H33">
            <v>85</v>
          </cell>
          <cell r="K33">
            <v>77</v>
          </cell>
          <cell r="O33">
            <v>0</v>
          </cell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86</v>
          </cell>
          <cell r="AF33">
            <v>7.4999999999999956E-2</v>
          </cell>
          <cell r="AG33">
            <v>0</v>
          </cell>
          <cell r="AI33">
            <v>0</v>
          </cell>
          <cell r="AK33">
            <v>0</v>
          </cell>
          <cell r="AM33">
            <v>0</v>
          </cell>
          <cell r="AO33">
            <v>0</v>
          </cell>
          <cell r="AQ33">
            <v>0</v>
          </cell>
          <cell r="AS33">
            <v>0</v>
          </cell>
          <cell r="AU33">
            <v>0</v>
          </cell>
          <cell r="AY33">
            <v>79</v>
          </cell>
          <cell r="AZ33">
            <v>77</v>
          </cell>
        </row>
        <row r="34">
          <cell r="B34" t="str">
            <v>C4149J30</v>
          </cell>
          <cell r="C34">
            <v>101</v>
          </cell>
          <cell r="D34">
            <v>87</v>
          </cell>
          <cell r="E34">
            <v>95</v>
          </cell>
          <cell r="F34">
            <v>100</v>
          </cell>
          <cell r="H34">
            <v>100</v>
          </cell>
          <cell r="K34">
            <v>91</v>
          </cell>
          <cell r="O34">
            <v>0</v>
          </cell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100</v>
          </cell>
          <cell r="AF34">
            <v>5.2631578947368363E-2</v>
          </cell>
          <cell r="AG34">
            <v>0</v>
          </cell>
          <cell r="AI34">
            <v>0</v>
          </cell>
          <cell r="AK34">
            <v>0</v>
          </cell>
          <cell r="AM34">
            <v>0</v>
          </cell>
          <cell r="AO34">
            <v>0</v>
          </cell>
          <cell r="AQ34">
            <v>0</v>
          </cell>
          <cell r="AS34">
            <v>0</v>
          </cell>
          <cell r="AU34">
            <v>0</v>
          </cell>
          <cell r="AY34">
            <v>93</v>
          </cell>
          <cell r="AZ34">
            <v>91</v>
          </cell>
        </row>
        <row r="35">
          <cell r="B35" t="str">
            <v>C4202J20</v>
          </cell>
          <cell r="C35">
            <v>67</v>
          </cell>
          <cell r="D35">
            <v>58</v>
          </cell>
          <cell r="E35">
            <v>64</v>
          </cell>
          <cell r="F35">
            <v>62</v>
          </cell>
          <cell r="J35">
            <v>62</v>
          </cell>
          <cell r="K35">
            <v>61</v>
          </cell>
          <cell r="O35">
            <v>0</v>
          </cell>
          <cell r="Q35">
            <v>65.972222222222229</v>
          </cell>
          <cell r="R35">
            <v>-2.9894736842105307E-2</v>
          </cell>
          <cell r="S35">
            <v>0</v>
          </cell>
          <cell r="U35">
            <v>71.5</v>
          </cell>
          <cell r="V35">
            <v>0.1171875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74</v>
          </cell>
          <cell r="AF35">
            <v>0.15625</v>
          </cell>
          <cell r="AG35">
            <v>74.5</v>
          </cell>
          <cell r="AH35">
            <v>0.1640625</v>
          </cell>
          <cell r="AI35">
            <v>0</v>
          </cell>
          <cell r="AK35">
            <v>0</v>
          </cell>
          <cell r="AM35">
            <v>0</v>
          </cell>
          <cell r="AQ35">
            <v>74.5</v>
          </cell>
          <cell r="AR35">
            <v>0.1640625</v>
          </cell>
          <cell r="AS35">
            <v>0</v>
          </cell>
          <cell r="AU35">
            <v>0</v>
          </cell>
          <cell r="AY35">
            <v>66</v>
          </cell>
          <cell r="AZ35">
            <v>55</v>
          </cell>
        </row>
        <row r="36">
          <cell r="B36" t="str">
            <v>C4202J30</v>
          </cell>
          <cell r="C36">
            <v>82</v>
          </cell>
          <cell r="D36">
            <v>72</v>
          </cell>
          <cell r="E36">
            <v>78</v>
          </cell>
          <cell r="F36">
            <v>77</v>
          </cell>
          <cell r="J36">
            <v>77</v>
          </cell>
          <cell r="K36">
            <v>75</v>
          </cell>
          <cell r="L36">
            <v>76.95</v>
          </cell>
          <cell r="O36">
            <v>0</v>
          </cell>
          <cell r="Q36">
            <v>85.9375</v>
          </cell>
          <cell r="R36">
            <v>-9.2363636363636314E-2</v>
          </cell>
          <cell r="S36">
            <v>0</v>
          </cell>
          <cell r="U36">
            <v>83.5</v>
          </cell>
          <cell r="V36">
            <v>7.0512820512820484E-2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88</v>
          </cell>
          <cell r="AF36">
            <v>0.12820512820512819</v>
          </cell>
          <cell r="AG36">
            <v>88</v>
          </cell>
          <cell r="AH36">
            <v>0.12820512820512819</v>
          </cell>
          <cell r="AI36">
            <v>0</v>
          </cell>
          <cell r="AK36">
            <v>86.5</v>
          </cell>
          <cell r="AL36">
            <v>0.10897435897435903</v>
          </cell>
          <cell r="AM36">
            <v>0</v>
          </cell>
          <cell r="AO36">
            <v>86.45</v>
          </cell>
          <cell r="AP36">
            <v>0.10833333333333339</v>
          </cell>
          <cell r="AQ36">
            <v>94</v>
          </cell>
          <cell r="AR36">
            <v>0.20512820512820507</v>
          </cell>
          <cell r="AS36">
            <v>0</v>
          </cell>
          <cell r="AU36">
            <v>0</v>
          </cell>
          <cell r="AY36">
            <v>85</v>
          </cell>
          <cell r="AZ36">
            <v>69</v>
          </cell>
        </row>
        <row r="37">
          <cell r="B37" t="str">
            <v>C4204J20</v>
          </cell>
          <cell r="C37">
            <v>64</v>
          </cell>
          <cell r="D37">
            <v>56</v>
          </cell>
          <cell r="E37">
            <v>61</v>
          </cell>
          <cell r="F37">
            <v>62</v>
          </cell>
          <cell r="J37">
            <v>62</v>
          </cell>
          <cell r="K37">
            <v>59</v>
          </cell>
          <cell r="O37">
            <v>0</v>
          </cell>
          <cell r="Q37">
            <v>65.972222222222229</v>
          </cell>
          <cell r="R37">
            <v>-7.536842105263164E-2</v>
          </cell>
          <cell r="S37">
            <v>74.5</v>
          </cell>
          <cell r="T37">
            <v>0.22131147540983598</v>
          </cell>
          <cell r="U37">
            <v>0</v>
          </cell>
          <cell r="W37">
            <v>74</v>
          </cell>
          <cell r="X37">
            <v>0.21311475409836067</v>
          </cell>
          <cell r="Y37">
            <v>0</v>
          </cell>
          <cell r="AA37">
            <v>74.099999999999994</v>
          </cell>
          <cell r="AB37">
            <v>0.21475409836065573</v>
          </cell>
          <cell r="AC37">
            <v>74.099999999999994</v>
          </cell>
          <cell r="AD37">
            <v>0.21475409836065573</v>
          </cell>
          <cell r="AE37">
            <v>0</v>
          </cell>
          <cell r="AG37">
            <v>74.5</v>
          </cell>
          <cell r="AH37">
            <v>0.22131147540983598</v>
          </cell>
          <cell r="AI37">
            <v>0</v>
          </cell>
          <cell r="AK37">
            <v>0</v>
          </cell>
          <cell r="AM37">
            <v>0</v>
          </cell>
          <cell r="AO37">
            <v>0</v>
          </cell>
          <cell r="AQ37">
            <v>74.5</v>
          </cell>
          <cell r="AR37">
            <v>0.22131147540983598</v>
          </cell>
          <cell r="AS37">
            <v>0</v>
          </cell>
          <cell r="AU37">
            <v>0</v>
          </cell>
          <cell r="AY37">
            <v>66</v>
          </cell>
          <cell r="AZ37">
            <v>57</v>
          </cell>
        </row>
        <row r="38">
          <cell r="B38" t="str">
            <v>C4204J30</v>
          </cell>
          <cell r="C38">
            <v>79</v>
          </cell>
          <cell r="D38">
            <v>70</v>
          </cell>
          <cell r="E38">
            <v>76</v>
          </cell>
          <cell r="F38">
            <v>77</v>
          </cell>
          <cell r="J38">
            <v>77</v>
          </cell>
          <cell r="K38">
            <v>73</v>
          </cell>
          <cell r="O38">
            <v>0</v>
          </cell>
          <cell r="Q38">
            <v>83.333333333333329</v>
          </cell>
          <cell r="R38">
            <v>-8.7999999999999967E-2</v>
          </cell>
          <cell r="S38">
            <v>88</v>
          </cell>
          <cell r="T38">
            <v>0.15789473684210531</v>
          </cell>
          <cell r="U38">
            <v>0</v>
          </cell>
          <cell r="W38">
            <v>86</v>
          </cell>
          <cell r="X38">
            <v>0.13157894736842102</v>
          </cell>
          <cell r="Y38">
            <v>0</v>
          </cell>
          <cell r="AA38">
            <v>88.35</v>
          </cell>
          <cell r="AB38">
            <v>0.16249999999999987</v>
          </cell>
          <cell r="AC38">
            <v>86.45</v>
          </cell>
          <cell r="AD38">
            <v>0.13749999999999996</v>
          </cell>
          <cell r="AE38">
            <v>0</v>
          </cell>
          <cell r="AG38">
            <v>88</v>
          </cell>
          <cell r="AH38">
            <v>0.15789473684210531</v>
          </cell>
          <cell r="AI38">
            <v>0</v>
          </cell>
          <cell r="AK38">
            <v>0</v>
          </cell>
          <cell r="AM38">
            <v>0</v>
          </cell>
          <cell r="AO38">
            <v>0</v>
          </cell>
          <cell r="AQ38">
            <v>94</v>
          </cell>
          <cell r="AR38">
            <v>0.23684210526315796</v>
          </cell>
          <cell r="AS38">
            <v>0</v>
          </cell>
          <cell r="AU38">
            <v>0</v>
          </cell>
          <cell r="AY38">
            <v>85</v>
          </cell>
          <cell r="AZ38">
            <v>70</v>
          </cell>
        </row>
        <row r="39">
          <cell r="B39" t="str">
            <v>C4211J20</v>
          </cell>
          <cell r="C39">
            <v>59</v>
          </cell>
          <cell r="D39">
            <v>52</v>
          </cell>
          <cell r="E39">
            <v>57</v>
          </cell>
          <cell r="F39">
            <v>59</v>
          </cell>
          <cell r="J39">
            <v>59</v>
          </cell>
          <cell r="K39">
            <v>54</v>
          </cell>
          <cell r="O39">
            <v>0</v>
          </cell>
          <cell r="Q39">
            <v>0</v>
          </cell>
          <cell r="S39">
            <v>74</v>
          </cell>
          <cell r="T39">
            <v>0.29824561403508776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74</v>
          </cell>
          <cell r="AF39">
            <v>0.29824561403508776</v>
          </cell>
          <cell r="AG39">
            <v>74.5</v>
          </cell>
          <cell r="AH39">
            <v>0.30701754385964919</v>
          </cell>
          <cell r="AI39">
            <v>75</v>
          </cell>
          <cell r="AJ39">
            <v>0.31578947368421062</v>
          </cell>
          <cell r="AK39">
            <v>0</v>
          </cell>
          <cell r="AM39">
            <v>0</v>
          </cell>
          <cell r="AO39">
            <v>0</v>
          </cell>
          <cell r="AQ39">
            <v>0</v>
          </cell>
          <cell r="AS39">
            <v>0</v>
          </cell>
          <cell r="AU39">
            <v>0</v>
          </cell>
          <cell r="AY39">
            <v>66</v>
          </cell>
          <cell r="AZ39">
            <v>53</v>
          </cell>
        </row>
        <row r="40">
          <cell r="B40" t="str">
            <v>C4211J30</v>
          </cell>
          <cell r="C40">
            <v>74</v>
          </cell>
          <cell r="D40">
            <v>65</v>
          </cell>
          <cell r="E40">
            <v>71</v>
          </cell>
          <cell r="F40">
            <v>74</v>
          </cell>
          <cell r="J40">
            <v>74</v>
          </cell>
          <cell r="K40">
            <v>68</v>
          </cell>
          <cell r="O40">
            <v>0</v>
          </cell>
          <cell r="Q40">
            <v>77.443609022556387</v>
          </cell>
          <cell r="R40">
            <v>-8.3203883495145625E-2</v>
          </cell>
          <cell r="S40">
            <v>87</v>
          </cell>
          <cell r="T40">
            <v>0.22535211267605626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95</v>
          </cell>
          <cell r="AF40">
            <v>0.3380281690140845</v>
          </cell>
          <cell r="AG40">
            <v>88</v>
          </cell>
          <cell r="AH40">
            <v>0.23943661971830976</v>
          </cell>
          <cell r="AI40">
            <v>86</v>
          </cell>
          <cell r="AJ40">
            <v>0.21126760563380276</v>
          </cell>
          <cell r="AK40">
            <v>0</v>
          </cell>
          <cell r="AM40">
            <v>0</v>
          </cell>
          <cell r="AO40">
            <v>0</v>
          </cell>
          <cell r="AQ40">
            <v>0</v>
          </cell>
          <cell r="AS40">
            <v>0</v>
          </cell>
          <cell r="AU40">
            <v>0</v>
          </cell>
          <cell r="AY40">
            <v>85</v>
          </cell>
          <cell r="AZ40">
            <v>66</v>
          </cell>
        </row>
        <row r="41">
          <cell r="B41" t="str">
            <v>C4221J20</v>
          </cell>
          <cell r="C41">
            <v>72</v>
          </cell>
          <cell r="D41">
            <v>63</v>
          </cell>
          <cell r="E41">
            <v>69</v>
          </cell>
          <cell r="F41">
            <v>68</v>
          </cell>
          <cell r="J41">
            <v>68</v>
          </cell>
          <cell r="K41">
            <v>66</v>
          </cell>
          <cell r="O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74</v>
          </cell>
          <cell r="AF41">
            <v>7.2463768115942129E-2</v>
          </cell>
          <cell r="AG41">
            <v>74.5</v>
          </cell>
          <cell r="AH41">
            <v>7.9710144927536142E-2</v>
          </cell>
          <cell r="AI41">
            <v>0</v>
          </cell>
          <cell r="AK41">
            <v>0</v>
          </cell>
          <cell r="AM41">
            <v>0</v>
          </cell>
          <cell r="AO41">
            <v>0</v>
          </cell>
          <cell r="AQ41">
            <v>0</v>
          </cell>
          <cell r="AS41">
            <v>0</v>
          </cell>
          <cell r="AU41">
            <v>0</v>
          </cell>
          <cell r="AY41">
            <v>66</v>
          </cell>
          <cell r="AZ41">
            <v>62</v>
          </cell>
        </row>
        <row r="42">
          <cell r="B42" t="str">
            <v>C4221J30</v>
          </cell>
          <cell r="C42">
            <v>89</v>
          </cell>
          <cell r="D42">
            <v>78</v>
          </cell>
          <cell r="E42">
            <v>85</v>
          </cell>
          <cell r="F42">
            <v>84</v>
          </cell>
          <cell r="J42">
            <v>84</v>
          </cell>
          <cell r="K42">
            <v>81</v>
          </cell>
          <cell r="O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93</v>
          </cell>
          <cell r="AF42">
            <v>9.4117647058823639E-2</v>
          </cell>
          <cell r="AG42">
            <v>93.5</v>
          </cell>
          <cell r="AH42">
            <v>0.10000000000000009</v>
          </cell>
          <cell r="AI42">
            <v>0</v>
          </cell>
          <cell r="AK42">
            <v>0</v>
          </cell>
          <cell r="AM42">
            <v>0</v>
          </cell>
          <cell r="AO42">
            <v>0</v>
          </cell>
          <cell r="AQ42">
            <v>0</v>
          </cell>
          <cell r="AS42">
            <v>0</v>
          </cell>
          <cell r="AU42">
            <v>0</v>
          </cell>
          <cell r="AY42">
            <v>85</v>
          </cell>
          <cell r="AZ42">
            <v>77</v>
          </cell>
        </row>
        <row r="43">
          <cell r="B43" t="str">
            <v>C4222J20</v>
          </cell>
          <cell r="C43">
            <v>69</v>
          </cell>
          <cell r="D43">
            <v>61</v>
          </cell>
          <cell r="E43">
            <v>66</v>
          </cell>
          <cell r="F43">
            <v>68</v>
          </cell>
          <cell r="J43">
            <v>68</v>
          </cell>
          <cell r="K43">
            <v>63</v>
          </cell>
          <cell r="O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74</v>
          </cell>
          <cell r="AF43">
            <v>0.1212121212121211</v>
          </cell>
          <cell r="AG43">
            <v>74.5</v>
          </cell>
          <cell r="AH43">
            <v>0.1287878787878789</v>
          </cell>
          <cell r="AI43">
            <v>0</v>
          </cell>
          <cell r="AK43">
            <v>0</v>
          </cell>
          <cell r="AM43">
            <v>0</v>
          </cell>
          <cell r="AO43">
            <v>0</v>
          </cell>
          <cell r="AQ43">
            <v>0</v>
          </cell>
          <cell r="AS43">
            <v>0</v>
          </cell>
          <cell r="AU43">
            <v>0</v>
          </cell>
          <cell r="AY43">
            <v>66</v>
          </cell>
          <cell r="AZ43">
            <v>62</v>
          </cell>
        </row>
        <row r="44">
          <cell r="B44" t="str">
            <v>C4222J30</v>
          </cell>
          <cell r="C44">
            <v>86</v>
          </cell>
          <cell r="D44">
            <v>75</v>
          </cell>
          <cell r="E44">
            <v>82</v>
          </cell>
          <cell r="F44">
            <v>84</v>
          </cell>
          <cell r="J44">
            <v>84</v>
          </cell>
          <cell r="K44">
            <v>79</v>
          </cell>
          <cell r="O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93</v>
          </cell>
          <cell r="AF44">
            <v>0.13414634146341453</v>
          </cell>
          <cell r="AG44">
            <v>93.5</v>
          </cell>
          <cell r="AH44">
            <v>0.14024390243902429</v>
          </cell>
          <cell r="AI44">
            <v>0</v>
          </cell>
          <cell r="AK44">
            <v>0</v>
          </cell>
          <cell r="AM44">
            <v>0</v>
          </cell>
          <cell r="AO44">
            <v>0</v>
          </cell>
          <cell r="AQ44">
            <v>0</v>
          </cell>
          <cell r="AS44">
            <v>0</v>
          </cell>
          <cell r="AU44">
            <v>0</v>
          </cell>
          <cell r="AY44">
            <v>85</v>
          </cell>
          <cell r="AZ44">
            <v>77</v>
          </cell>
        </row>
        <row r="45">
          <cell r="B45" t="str">
            <v>C4238J20</v>
          </cell>
          <cell r="C45">
            <v>76</v>
          </cell>
          <cell r="D45">
            <v>67</v>
          </cell>
          <cell r="E45">
            <v>73</v>
          </cell>
          <cell r="F45">
            <v>78</v>
          </cell>
          <cell r="H45">
            <v>78</v>
          </cell>
          <cell r="K45">
            <v>70</v>
          </cell>
          <cell r="O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86</v>
          </cell>
          <cell r="AF45">
            <v>0.17808219178082196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  <cell r="AU45">
            <v>0</v>
          </cell>
          <cell r="AY45">
            <v>70</v>
          </cell>
          <cell r="AZ45">
            <v>70</v>
          </cell>
        </row>
        <row r="46">
          <cell r="B46" t="str">
            <v>C4238J30</v>
          </cell>
          <cell r="C46">
            <v>91</v>
          </cell>
          <cell r="D46">
            <v>80</v>
          </cell>
          <cell r="E46">
            <v>87</v>
          </cell>
          <cell r="F46">
            <v>93</v>
          </cell>
          <cell r="H46">
            <v>93</v>
          </cell>
          <cell r="K46">
            <v>84</v>
          </cell>
          <cell r="O46">
            <v>0</v>
          </cell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100</v>
          </cell>
          <cell r="AF46">
            <v>0.14942528735632177</v>
          </cell>
          <cell r="AG46">
            <v>0</v>
          </cell>
          <cell r="AI46">
            <v>0</v>
          </cell>
          <cell r="AK46">
            <v>0</v>
          </cell>
          <cell r="AM46">
            <v>0</v>
          </cell>
          <cell r="AO46">
            <v>0</v>
          </cell>
          <cell r="AQ46">
            <v>0</v>
          </cell>
          <cell r="AS46">
            <v>0</v>
          </cell>
          <cell r="AU46">
            <v>0</v>
          </cell>
          <cell r="AY46">
            <v>84</v>
          </cell>
          <cell r="AZ46">
            <v>84</v>
          </cell>
        </row>
        <row r="47">
          <cell r="B47" t="str">
            <v>C4246J20</v>
          </cell>
          <cell r="C47">
            <v>59</v>
          </cell>
          <cell r="D47">
            <v>51</v>
          </cell>
          <cell r="E47">
            <v>56</v>
          </cell>
          <cell r="F47">
            <v>59</v>
          </cell>
          <cell r="G47">
            <v>59</v>
          </cell>
          <cell r="K47">
            <v>54</v>
          </cell>
          <cell r="M47">
            <v>77</v>
          </cell>
          <cell r="N47">
            <v>0.375</v>
          </cell>
          <cell r="O47">
            <v>69.3</v>
          </cell>
          <cell r="P47">
            <v>0.23750000000000004</v>
          </cell>
          <cell r="Q47">
            <v>57.89473684210526</v>
          </cell>
          <cell r="R47">
            <v>-3.2727272727272716E-2</v>
          </cell>
          <cell r="S47">
            <v>67</v>
          </cell>
          <cell r="T47">
            <v>0.1964285714285714</v>
          </cell>
          <cell r="U47">
            <v>0</v>
          </cell>
          <cell r="W47">
            <v>67</v>
          </cell>
          <cell r="X47">
            <v>0.1964285714285714</v>
          </cell>
          <cell r="Y47">
            <v>69</v>
          </cell>
          <cell r="Z47">
            <v>0.23214285714285721</v>
          </cell>
          <cell r="AA47">
            <v>67.45</v>
          </cell>
          <cell r="AB47">
            <v>0.20446428571428577</v>
          </cell>
          <cell r="AC47">
            <v>0</v>
          </cell>
          <cell r="AE47">
            <v>69</v>
          </cell>
          <cell r="AF47">
            <v>0.23214285714285721</v>
          </cell>
          <cell r="AG47">
            <v>69</v>
          </cell>
          <cell r="AH47">
            <v>0.23214285714285721</v>
          </cell>
          <cell r="AI47">
            <v>0</v>
          </cell>
          <cell r="AK47">
            <v>0</v>
          </cell>
          <cell r="AM47">
            <v>0</v>
          </cell>
          <cell r="AQ47">
            <v>71</v>
          </cell>
          <cell r="AR47">
            <v>0.26785714285714279</v>
          </cell>
          <cell r="AS47">
            <v>71</v>
          </cell>
          <cell r="AT47">
            <v>0.26785714285714279</v>
          </cell>
          <cell r="AU47">
            <v>0</v>
          </cell>
          <cell r="AY47">
            <v>64</v>
          </cell>
          <cell r="AZ47">
            <v>54</v>
          </cell>
        </row>
        <row r="48">
          <cell r="B48" t="str">
            <v>C4246J30</v>
          </cell>
          <cell r="C48">
            <v>74</v>
          </cell>
          <cell r="D48">
            <v>65</v>
          </cell>
          <cell r="E48">
            <v>71</v>
          </cell>
          <cell r="F48">
            <v>74</v>
          </cell>
          <cell r="G48">
            <v>74</v>
          </cell>
          <cell r="K48">
            <v>68</v>
          </cell>
          <cell r="L48">
            <v>71.58</v>
          </cell>
          <cell r="M48">
            <v>91</v>
          </cell>
          <cell r="N48">
            <v>0.28169014084507049</v>
          </cell>
          <cell r="O48">
            <v>81.900000000000006</v>
          </cell>
          <cell r="P48">
            <v>0.1535211267605634</v>
          </cell>
          <cell r="Q48">
            <v>76.859504132231407</v>
          </cell>
          <cell r="R48">
            <v>-7.6236559139784998E-2</v>
          </cell>
          <cell r="S48">
            <v>81</v>
          </cell>
          <cell r="T48">
            <v>0.14084507042253525</v>
          </cell>
          <cell r="U48">
            <v>0</v>
          </cell>
          <cell r="W48">
            <v>81</v>
          </cell>
          <cell r="X48">
            <v>0.14084507042253525</v>
          </cell>
          <cell r="Y48">
            <v>83</v>
          </cell>
          <cell r="Z48">
            <v>0.16901408450704225</v>
          </cell>
          <cell r="AA48">
            <v>81.7</v>
          </cell>
          <cell r="AB48">
            <v>0.1507042253521127</v>
          </cell>
          <cell r="AC48">
            <v>0</v>
          </cell>
          <cell r="AE48">
            <v>84</v>
          </cell>
          <cell r="AF48">
            <v>0.18309859154929575</v>
          </cell>
          <cell r="AG48">
            <v>83</v>
          </cell>
          <cell r="AH48">
            <v>0.16901408450704225</v>
          </cell>
          <cell r="AI48">
            <v>0</v>
          </cell>
          <cell r="AK48">
            <v>0</v>
          </cell>
          <cell r="AM48">
            <v>0</v>
          </cell>
          <cell r="AO48">
            <v>81.7</v>
          </cell>
          <cell r="AP48">
            <v>0.1507042253521127</v>
          </cell>
          <cell r="AQ48">
            <v>82.5</v>
          </cell>
          <cell r="AR48">
            <v>0.1619718309859155</v>
          </cell>
          <cell r="AS48">
            <v>86</v>
          </cell>
          <cell r="AT48">
            <v>0.21126760563380276</v>
          </cell>
          <cell r="AU48">
            <v>0</v>
          </cell>
          <cell r="AY48">
            <v>77</v>
          </cell>
          <cell r="AZ48">
            <v>68</v>
          </cell>
        </row>
        <row r="49">
          <cell r="B49" t="str">
            <v>C4250J20</v>
          </cell>
          <cell r="C49">
            <v>72</v>
          </cell>
          <cell r="D49">
            <v>63</v>
          </cell>
          <cell r="E49">
            <v>69</v>
          </cell>
          <cell r="F49">
            <v>72</v>
          </cell>
          <cell r="I49">
            <v>72</v>
          </cell>
          <cell r="K49">
            <v>66</v>
          </cell>
          <cell r="O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74</v>
          </cell>
          <cell r="AF49">
            <v>7.2463768115942129E-2</v>
          </cell>
          <cell r="AG49">
            <v>0</v>
          </cell>
          <cell r="AI49">
            <v>0</v>
          </cell>
          <cell r="AK49">
            <v>0</v>
          </cell>
          <cell r="AM49">
            <v>0</v>
          </cell>
          <cell r="AO49">
            <v>0</v>
          </cell>
          <cell r="AQ49">
            <v>0</v>
          </cell>
          <cell r="AS49">
            <v>0</v>
          </cell>
          <cell r="AU49">
            <v>0</v>
          </cell>
          <cell r="AY49">
            <v>66</v>
          </cell>
          <cell r="AZ49">
            <v>65</v>
          </cell>
        </row>
        <row r="50">
          <cell r="B50" t="str">
            <v>C4250J30</v>
          </cell>
          <cell r="C50">
            <v>88</v>
          </cell>
          <cell r="D50">
            <v>78</v>
          </cell>
          <cell r="E50">
            <v>85</v>
          </cell>
          <cell r="F50">
            <v>88</v>
          </cell>
          <cell r="I50">
            <v>88</v>
          </cell>
          <cell r="K50">
            <v>81</v>
          </cell>
          <cell r="O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95</v>
          </cell>
          <cell r="AF50">
            <v>0.11764705882352944</v>
          </cell>
          <cell r="AG50">
            <v>0</v>
          </cell>
          <cell r="AI50">
            <v>0</v>
          </cell>
          <cell r="AK50">
            <v>0</v>
          </cell>
          <cell r="AM50">
            <v>0</v>
          </cell>
          <cell r="AO50">
            <v>0</v>
          </cell>
          <cell r="AQ50">
            <v>0</v>
          </cell>
          <cell r="AS50">
            <v>0</v>
          </cell>
          <cell r="AU50">
            <v>0</v>
          </cell>
          <cell r="AY50">
            <v>85</v>
          </cell>
          <cell r="AZ50">
            <v>80</v>
          </cell>
        </row>
        <row r="51">
          <cell r="B51" t="str">
            <v>C4254J20</v>
          </cell>
          <cell r="C51">
            <v>59</v>
          </cell>
          <cell r="D51">
            <v>51</v>
          </cell>
          <cell r="E51">
            <v>56</v>
          </cell>
          <cell r="F51">
            <v>59</v>
          </cell>
          <cell r="G51">
            <v>59</v>
          </cell>
          <cell r="K51">
            <v>54</v>
          </cell>
          <cell r="M51">
            <v>77</v>
          </cell>
          <cell r="N51">
            <v>0.375</v>
          </cell>
          <cell r="O51">
            <v>69.3</v>
          </cell>
          <cell r="P51">
            <v>0.23750000000000004</v>
          </cell>
          <cell r="S51">
            <v>0</v>
          </cell>
          <cell r="U51">
            <v>0</v>
          </cell>
          <cell r="W51">
            <v>0</v>
          </cell>
          <cell r="Y51">
            <v>72</v>
          </cell>
          <cell r="Z51">
            <v>0.28571428571428581</v>
          </cell>
          <cell r="AA51">
            <v>71.25</v>
          </cell>
          <cell r="AB51">
            <v>0.2723214285714286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0</v>
          </cell>
          <cell r="AU51">
            <v>72</v>
          </cell>
          <cell r="AV51">
            <v>0.28571428571428581</v>
          </cell>
          <cell r="AY51">
            <v>64</v>
          </cell>
          <cell r="AZ51">
            <v>51</v>
          </cell>
        </row>
        <row r="52">
          <cell r="B52" t="str">
            <v>C4254J30</v>
          </cell>
          <cell r="C52">
            <v>74</v>
          </cell>
          <cell r="D52">
            <v>65</v>
          </cell>
          <cell r="E52">
            <v>71</v>
          </cell>
          <cell r="F52">
            <v>74</v>
          </cell>
          <cell r="G52">
            <v>74</v>
          </cell>
          <cell r="K52">
            <v>68</v>
          </cell>
          <cell r="M52">
            <v>91</v>
          </cell>
          <cell r="N52">
            <v>0.28169014084507049</v>
          </cell>
          <cell r="O52">
            <v>81.900000000000006</v>
          </cell>
          <cell r="P52">
            <v>0.1535211267605634</v>
          </cell>
          <cell r="S52">
            <v>0</v>
          </cell>
          <cell r="U52">
            <v>0</v>
          </cell>
          <cell r="W52">
            <v>0</v>
          </cell>
          <cell r="Y52">
            <v>87</v>
          </cell>
          <cell r="Z52">
            <v>0.22535211267605626</v>
          </cell>
          <cell r="AA52">
            <v>85.5</v>
          </cell>
          <cell r="AB52">
            <v>0.20422535211267601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  <cell r="AM52">
            <v>0</v>
          </cell>
          <cell r="AO52">
            <v>0</v>
          </cell>
          <cell r="AQ52">
            <v>0</v>
          </cell>
          <cell r="AS52">
            <v>0</v>
          </cell>
          <cell r="AU52">
            <v>86</v>
          </cell>
          <cell r="AV52">
            <v>0.21126760563380276</v>
          </cell>
          <cell r="AY52">
            <v>77</v>
          </cell>
          <cell r="AZ52">
            <v>65</v>
          </cell>
        </row>
        <row r="53">
          <cell r="B53" t="str">
            <v>C4255J20</v>
          </cell>
          <cell r="C53">
            <v>71</v>
          </cell>
          <cell r="D53">
            <v>62</v>
          </cell>
          <cell r="E53">
            <v>68</v>
          </cell>
          <cell r="F53">
            <v>66</v>
          </cell>
          <cell r="J53">
            <v>66</v>
          </cell>
          <cell r="K53">
            <v>65</v>
          </cell>
          <cell r="O53">
            <v>0</v>
          </cell>
          <cell r="Q53">
            <v>70</v>
          </cell>
          <cell r="R53">
            <v>-2.8571428571428581E-2</v>
          </cell>
          <cell r="S53">
            <v>0</v>
          </cell>
          <cell r="U53">
            <v>73</v>
          </cell>
          <cell r="V53">
            <v>7.3529411764705843E-2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0</v>
          </cell>
          <cell r="AQ53">
            <v>0</v>
          </cell>
          <cell r="AS53">
            <v>0</v>
          </cell>
          <cell r="AU53">
            <v>0</v>
          </cell>
          <cell r="AY53">
            <v>68</v>
          </cell>
          <cell r="AZ53">
            <v>59</v>
          </cell>
        </row>
        <row r="54">
          <cell r="B54" t="str">
            <v>C4255J30</v>
          </cell>
          <cell r="C54">
            <v>88</v>
          </cell>
          <cell r="D54">
            <v>78</v>
          </cell>
          <cell r="E54">
            <v>85</v>
          </cell>
          <cell r="F54">
            <v>82</v>
          </cell>
          <cell r="J54">
            <v>82</v>
          </cell>
          <cell r="K54">
            <v>81</v>
          </cell>
          <cell r="O54">
            <v>0</v>
          </cell>
          <cell r="Q54">
            <v>85.714285714285722</v>
          </cell>
          <cell r="R54">
            <v>-8.3333333333334147E-3</v>
          </cell>
          <cell r="S54">
            <v>0</v>
          </cell>
          <cell r="U54">
            <v>87</v>
          </cell>
          <cell r="V54">
            <v>2.3529411764705799E-2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0</v>
          </cell>
          <cell r="AM54">
            <v>0</v>
          </cell>
          <cell r="AO54">
            <v>0</v>
          </cell>
          <cell r="AQ54">
            <v>0</v>
          </cell>
          <cell r="AS54">
            <v>0</v>
          </cell>
          <cell r="AU54">
            <v>0</v>
          </cell>
          <cell r="AY54">
            <v>85</v>
          </cell>
          <cell r="AZ54">
            <v>74</v>
          </cell>
        </row>
        <row r="55">
          <cell r="B55" t="str">
            <v>C4326J20</v>
          </cell>
          <cell r="C55">
            <v>65</v>
          </cell>
          <cell r="D55">
            <v>57</v>
          </cell>
          <cell r="E55">
            <v>62</v>
          </cell>
          <cell r="F55">
            <v>64</v>
          </cell>
          <cell r="G55">
            <v>64</v>
          </cell>
          <cell r="K55">
            <v>60</v>
          </cell>
          <cell r="O55">
            <v>0</v>
          </cell>
          <cell r="S55">
            <v>0</v>
          </cell>
          <cell r="U55">
            <v>0</v>
          </cell>
          <cell r="W55">
            <v>0</v>
          </cell>
          <cell r="Y55">
            <v>69</v>
          </cell>
          <cell r="Z55">
            <v>0.11290322580645151</v>
          </cell>
          <cell r="AA55">
            <v>0</v>
          </cell>
          <cell r="AC55">
            <v>0</v>
          </cell>
          <cell r="AE55">
            <v>67</v>
          </cell>
          <cell r="AF55">
            <v>8.0645161290322509E-2</v>
          </cell>
          <cell r="AG55">
            <v>69</v>
          </cell>
          <cell r="AH55">
            <v>0.11290322580645151</v>
          </cell>
          <cell r="AI55">
            <v>0</v>
          </cell>
          <cell r="AK55">
            <v>0</v>
          </cell>
          <cell r="AM55">
            <v>0</v>
          </cell>
          <cell r="AO55">
            <v>0</v>
          </cell>
          <cell r="AQ55">
            <v>0</v>
          </cell>
          <cell r="AS55">
            <v>0</v>
          </cell>
          <cell r="AU55">
            <v>0</v>
          </cell>
          <cell r="AY55">
            <v>60</v>
          </cell>
          <cell r="AZ55">
            <v>58</v>
          </cell>
        </row>
        <row r="56">
          <cell r="B56" t="str">
            <v>C4326J30</v>
          </cell>
          <cell r="C56">
            <v>81</v>
          </cell>
          <cell r="D56">
            <v>72</v>
          </cell>
          <cell r="E56">
            <v>78</v>
          </cell>
          <cell r="F56">
            <v>81</v>
          </cell>
          <cell r="G56">
            <v>81</v>
          </cell>
          <cell r="K56">
            <v>75</v>
          </cell>
          <cell r="O56">
            <v>0</v>
          </cell>
          <cell r="S56">
            <v>0</v>
          </cell>
          <cell r="U56">
            <v>0</v>
          </cell>
          <cell r="W56">
            <v>0</v>
          </cell>
          <cell r="Y56">
            <v>86.5</v>
          </cell>
          <cell r="Z56">
            <v>0.10897435897435903</v>
          </cell>
          <cell r="AA56">
            <v>0</v>
          </cell>
          <cell r="AC56">
            <v>0</v>
          </cell>
          <cell r="AE56">
            <v>86</v>
          </cell>
          <cell r="AF56">
            <v>0.10256410256410264</v>
          </cell>
          <cell r="AG56">
            <v>86.5</v>
          </cell>
          <cell r="AH56">
            <v>0.10897435897435903</v>
          </cell>
          <cell r="AI56">
            <v>0</v>
          </cell>
          <cell r="AK56">
            <v>0</v>
          </cell>
          <cell r="AM56">
            <v>0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Y56">
            <v>77</v>
          </cell>
          <cell r="AZ56">
            <v>73</v>
          </cell>
        </row>
        <row r="57">
          <cell r="B57" t="str">
            <v>C4342J20</v>
          </cell>
          <cell r="C57">
            <v>69</v>
          </cell>
          <cell r="D57">
            <v>60</v>
          </cell>
          <cell r="E57">
            <v>66</v>
          </cell>
          <cell r="F57">
            <v>67</v>
          </cell>
          <cell r="J57">
            <v>67</v>
          </cell>
          <cell r="K57">
            <v>63</v>
          </cell>
          <cell r="O57">
            <v>0</v>
          </cell>
          <cell r="Q57">
            <v>65.517241379310349</v>
          </cell>
          <cell r="R57">
            <v>7.3684210526314686E-3</v>
          </cell>
          <cell r="S57">
            <v>72</v>
          </cell>
          <cell r="T57">
            <v>9.0909090909090828E-2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74</v>
          </cell>
          <cell r="AF57">
            <v>0.1212121212121211</v>
          </cell>
          <cell r="AG57">
            <v>74.5</v>
          </cell>
          <cell r="AH57">
            <v>0.1287878787878789</v>
          </cell>
          <cell r="AI57">
            <v>0</v>
          </cell>
          <cell r="AK57">
            <v>0</v>
          </cell>
          <cell r="AM57">
            <v>0</v>
          </cell>
          <cell r="AO57">
            <v>0</v>
          </cell>
          <cell r="AQ57">
            <v>0</v>
          </cell>
          <cell r="AS57">
            <v>74</v>
          </cell>
          <cell r="AT57">
            <v>0.1212121212121211</v>
          </cell>
          <cell r="AU57">
            <v>0</v>
          </cell>
          <cell r="AY57">
            <v>66</v>
          </cell>
          <cell r="AZ57">
            <v>60</v>
          </cell>
        </row>
        <row r="58">
          <cell r="B58" t="str">
            <v>C4342J30</v>
          </cell>
          <cell r="C58">
            <v>85</v>
          </cell>
          <cell r="D58">
            <v>75</v>
          </cell>
          <cell r="E58">
            <v>82</v>
          </cell>
          <cell r="F58">
            <v>83</v>
          </cell>
          <cell r="J58">
            <v>83</v>
          </cell>
          <cell r="K58">
            <v>78</v>
          </cell>
          <cell r="O58">
            <v>0</v>
          </cell>
          <cell r="Q58">
            <v>81.818181818181813</v>
          </cell>
          <cell r="R58">
            <v>2.2222222222223476E-3</v>
          </cell>
          <cell r="S58">
            <v>91</v>
          </cell>
          <cell r="T58">
            <v>0.10975609756097571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93</v>
          </cell>
          <cell r="AF58">
            <v>0.13414634146341453</v>
          </cell>
          <cell r="AG58">
            <v>93.5</v>
          </cell>
          <cell r="AH58">
            <v>0.14024390243902429</v>
          </cell>
          <cell r="AI58">
            <v>0</v>
          </cell>
          <cell r="AK58">
            <v>0</v>
          </cell>
          <cell r="AM58">
            <v>0</v>
          </cell>
          <cell r="AO58">
            <v>0</v>
          </cell>
          <cell r="AQ58">
            <v>0</v>
          </cell>
          <cell r="AS58">
            <v>95</v>
          </cell>
          <cell r="AT58">
            <v>0.15853658536585358</v>
          </cell>
          <cell r="AU58">
            <v>0</v>
          </cell>
          <cell r="AY58">
            <v>85</v>
          </cell>
          <cell r="AZ58">
            <v>75</v>
          </cell>
        </row>
        <row r="59">
          <cell r="B59" t="str">
            <v>C4345J20</v>
          </cell>
          <cell r="C59">
            <v>68</v>
          </cell>
          <cell r="D59">
            <v>59</v>
          </cell>
          <cell r="E59">
            <v>65</v>
          </cell>
          <cell r="F59">
            <v>66</v>
          </cell>
          <cell r="J59">
            <v>66</v>
          </cell>
          <cell r="K59">
            <v>62</v>
          </cell>
          <cell r="O59">
            <v>0</v>
          </cell>
          <cell r="Q59">
            <v>65.972222222222229</v>
          </cell>
          <cell r="R59">
            <v>-1.473684210526327E-2</v>
          </cell>
          <cell r="S59">
            <v>0</v>
          </cell>
          <cell r="U59">
            <v>75</v>
          </cell>
          <cell r="V59">
            <v>0.15384615384615374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M59">
            <v>0</v>
          </cell>
          <cell r="AO59">
            <v>0</v>
          </cell>
          <cell r="AQ59">
            <v>0</v>
          </cell>
          <cell r="AS59">
            <v>0</v>
          </cell>
          <cell r="AU59">
            <v>0</v>
          </cell>
          <cell r="AY59">
            <v>66</v>
          </cell>
          <cell r="AZ59">
            <v>59</v>
          </cell>
        </row>
        <row r="60">
          <cell r="B60" t="str">
            <v>C4345J30</v>
          </cell>
          <cell r="C60">
            <v>84</v>
          </cell>
          <cell r="D60">
            <v>74</v>
          </cell>
          <cell r="E60">
            <v>81</v>
          </cell>
          <cell r="F60">
            <v>82</v>
          </cell>
          <cell r="J60">
            <v>82</v>
          </cell>
          <cell r="K60">
            <v>78</v>
          </cell>
          <cell r="O60">
            <v>0</v>
          </cell>
          <cell r="Q60">
            <v>82.706766917293223</v>
          </cell>
          <cell r="R60">
            <v>-2.0636363636363564E-2</v>
          </cell>
          <cell r="S60">
            <v>0</v>
          </cell>
          <cell r="U60">
            <v>93</v>
          </cell>
          <cell r="V60">
            <v>0.14814814814814814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  <cell r="AK60">
            <v>0</v>
          </cell>
          <cell r="AM60">
            <v>0</v>
          </cell>
          <cell r="AO60">
            <v>0</v>
          </cell>
          <cell r="AQ60">
            <v>0</v>
          </cell>
          <cell r="AS60">
            <v>0</v>
          </cell>
          <cell r="AU60">
            <v>0</v>
          </cell>
          <cell r="AY60">
            <v>85</v>
          </cell>
          <cell r="AZ60">
            <v>74</v>
          </cell>
        </row>
        <row r="61">
          <cell r="B61" t="str">
            <v>C4346J20</v>
          </cell>
          <cell r="C61">
            <v>71</v>
          </cell>
          <cell r="D61">
            <v>62</v>
          </cell>
          <cell r="E61">
            <v>68</v>
          </cell>
          <cell r="F61">
            <v>71</v>
          </cell>
          <cell r="H61">
            <v>71</v>
          </cell>
          <cell r="K61">
            <v>65</v>
          </cell>
          <cell r="O61">
            <v>0</v>
          </cell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74.5</v>
          </cell>
          <cell r="AH61">
            <v>9.5588235294117752E-2</v>
          </cell>
          <cell r="AI61">
            <v>0</v>
          </cell>
          <cell r="AK61">
            <v>0</v>
          </cell>
          <cell r="AM61">
            <v>0</v>
          </cell>
          <cell r="AO61">
            <v>0</v>
          </cell>
          <cell r="AQ61">
            <v>0</v>
          </cell>
          <cell r="AS61">
            <v>0</v>
          </cell>
          <cell r="AU61">
            <v>0</v>
          </cell>
          <cell r="AY61">
            <v>66</v>
          </cell>
          <cell r="AZ61">
            <v>65</v>
          </cell>
        </row>
        <row r="62">
          <cell r="B62" t="str">
            <v>C4346J30</v>
          </cell>
          <cell r="C62">
            <v>87</v>
          </cell>
          <cell r="D62">
            <v>77</v>
          </cell>
          <cell r="E62">
            <v>84</v>
          </cell>
          <cell r="F62">
            <v>87</v>
          </cell>
          <cell r="H62">
            <v>87</v>
          </cell>
          <cell r="K62">
            <v>80</v>
          </cell>
          <cell r="O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93.5</v>
          </cell>
          <cell r="AH62">
            <v>0.11309523809523814</v>
          </cell>
          <cell r="AI62">
            <v>0</v>
          </cell>
          <cell r="AK62">
            <v>0</v>
          </cell>
          <cell r="AM62">
            <v>0</v>
          </cell>
          <cell r="AO62">
            <v>0</v>
          </cell>
          <cell r="AQ62">
            <v>0</v>
          </cell>
          <cell r="AS62">
            <v>0</v>
          </cell>
          <cell r="AU62">
            <v>0</v>
          </cell>
          <cell r="AY62">
            <v>85</v>
          </cell>
          <cell r="AZ62">
            <v>80</v>
          </cell>
        </row>
        <row r="63">
          <cell r="B63" t="str">
            <v>C4348J20</v>
          </cell>
          <cell r="C63">
            <v>72</v>
          </cell>
          <cell r="D63">
            <v>63</v>
          </cell>
          <cell r="E63">
            <v>70</v>
          </cell>
          <cell r="F63">
            <v>65</v>
          </cell>
          <cell r="J63">
            <v>65</v>
          </cell>
          <cell r="K63">
            <v>67</v>
          </cell>
          <cell r="O63">
            <v>0</v>
          </cell>
          <cell r="Q63">
            <v>63.333333333333336</v>
          </cell>
          <cell r="R63">
            <v>0.10526315789473673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68.399999999999991</v>
          </cell>
          <cell r="AD63">
            <v>-2.285714285714302E-2</v>
          </cell>
          <cell r="AE63">
            <v>0</v>
          </cell>
          <cell r="AG63">
            <v>68.5</v>
          </cell>
          <cell r="AH63">
            <v>-2.1428571428571463E-2</v>
          </cell>
          <cell r="AI63">
            <v>0</v>
          </cell>
          <cell r="AK63">
            <v>0</v>
          </cell>
          <cell r="AM63">
            <v>0</v>
          </cell>
          <cell r="AO63">
            <v>0</v>
          </cell>
          <cell r="AQ63">
            <v>72</v>
          </cell>
          <cell r="AR63">
            <v>2.857142857142847E-2</v>
          </cell>
          <cell r="AS63">
            <v>0</v>
          </cell>
          <cell r="AU63">
            <v>0</v>
          </cell>
          <cell r="AY63">
            <v>61</v>
          </cell>
          <cell r="AZ63">
            <v>58</v>
          </cell>
        </row>
        <row r="64">
          <cell r="B64" t="str">
            <v>C4348J30</v>
          </cell>
          <cell r="C64">
            <v>88</v>
          </cell>
          <cell r="D64">
            <v>78</v>
          </cell>
          <cell r="E64">
            <v>85</v>
          </cell>
          <cell r="F64">
            <v>81</v>
          </cell>
          <cell r="J64">
            <v>81</v>
          </cell>
          <cell r="K64">
            <v>81</v>
          </cell>
          <cell r="O64">
            <v>0</v>
          </cell>
          <cell r="Q64">
            <v>75.187969924812023</v>
          </cell>
          <cell r="R64">
            <v>0.13050000000000006</v>
          </cell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85.5</v>
          </cell>
          <cell r="AD64">
            <v>5.8823529411764497E-3</v>
          </cell>
          <cell r="AE64">
            <v>0</v>
          </cell>
          <cell r="AG64">
            <v>84.5</v>
          </cell>
          <cell r="AH64">
            <v>-5.8823529411764497E-3</v>
          </cell>
          <cell r="AI64">
            <v>0</v>
          </cell>
          <cell r="AK64">
            <v>0</v>
          </cell>
          <cell r="AM64">
            <v>0</v>
          </cell>
          <cell r="AO64">
            <v>0</v>
          </cell>
          <cell r="AQ64">
            <v>88</v>
          </cell>
          <cell r="AR64">
            <v>3.529411764705892E-2</v>
          </cell>
          <cell r="AS64">
            <v>0</v>
          </cell>
          <cell r="AU64">
            <v>0</v>
          </cell>
          <cell r="AY64">
            <v>75</v>
          </cell>
          <cell r="AZ64">
            <v>73</v>
          </cell>
        </row>
        <row r="65">
          <cell r="B65" t="str">
            <v>C5225J20</v>
          </cell>
          <cell r="C65">
            <v>68</v>
          </cell>
          <cell r="D65">
            <v>59</v>
          </cell>
          <cell r="E65">
            <v>62</v>
          </cell>
          <cell r="F65">
            <v>81</v>
          </cell>
          <cell r="H65">
            <v>81</v>
          </cell>
          <cell r="K65">
            <v>65</v>
          </cell>
          <cell r="O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69.349999999999994</v>
          </cell>
          <cell r="AD65">
            <v>0.11854838709677407</v>
          </cell>
          <cell r="AE65">
            <v>0</v>
          </cell>
          <cell r="AG65">
            <v>0</v>
          </cell>
          <cell r="AI65">
            <v>0</v>
          </cell>
          <cell r="AK65">
            <v>0</v>
          </cell>
          <cell r="AM65">
            <v>0</v>
          </cell>
          <cell r="AO65">
            <v>0</v>
          </cell>
          <cell r="AQ65">
            <v>0</v>
          </cell>
          <cell r="AS65">
            <v>0</v>
          </cell>
          <cell r="AU65">
            <v>0</v>
          </cell>
          <cell r="AY65">
            <v>62</v>
          </cell>
          <cell r="AZ65">
            <v>73</v>
          </cell>
        </row>
        <row r="66">
          <cell r="B66" t="str">
            <v>C5225J30</v>
          </cell>
          <cell r="C66">
            <v>83</v>
          </cell>
          <cell r="D66">
            <v>73</v>
          </cell>
          <cell r="E66">
            <v>76</v>
          </cell>
          <cell r="F66">
            <v>96</v>
          </cell>
          <cell r="H66">
            <v>96</v>
          </cell>
          <cell r="K66">
            <v>79</v>
          </cell>
          <cell r="O66">
            <v>0</v>
          </cell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83.6</v>
          </cell>
          <cell r="AD66">
            <v>9.9999999999999867E-2</v>
          </cell>
          <cell r="AE66">
            <v>0</v>
          </cell>
          <cell r="AG66">
            <v>0</v>
          </cell>
          <cell r="AI66">
            <v>0</v>
          </cell>
          <cell r="AK66">
            <v>0</v>
          </cell>
          <cell r="AM66">
            <v>0</v>
          </cell>
          <cell r="AO66">
            <v>0</v>
          </cell>
          <cell r="AQ66">
            <v>0</v>
          </cell>
          <cell r="AS66">
            <v>0</v>
          </cell>
          <cell r="AU66">
            <v>0</v>
          </cell>
          <cell r="AY66">
            <v>76</v>
          </cell>
          <cell r="AZ66">
            <v>85</v>
          </cell>
        </row>
        <row r="67">
          <cell r="B67" t="str">
            <v>C5240J20</v>
          </cell>
          <cell r="C67">
            <v>66</v>
          </cell>
          <cell r="D67">
            <v>57</v>
          </cell>
          <cell r="E67">
            <v>63</v>
          </cell>
          <cell r="F67">
            <v>66</v>
          </cell>
          <cell r="I67">
            <v>66</v>
          </cell>
          <cell r="K67">
            <v>60</v>
          </cell>
          <cell r="O67">
            <v>0</v>
          </cell>
          <cell r="S67">
            <v>65</v>
          </cell>
          <cell r="T67">
            <v>3.1746031746031855E-2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  <cell r="AK67">
            <v>0</v>
          </cell>
          <cell r="AM67">
            <v>0</v>
          </cell>
          <cell r="AO67">
            <v>0</v>
          </cell>
          <cell r="AQ67">
            <v>0</v>
          </cell>
          <cell r="AS67">
            <v>0</v>
          </cell>
          <cell r="AU67">
            <v>0</v>
          </cell>
          <cell r="AY67">
            <v>61</v>
          </cell>
          <cell r="AZ67">
            <v>59</v>
          </cell>
        </row>
        <row r="68">
          <cell r="B68" t="str">
            <v>C5240J30</v>
          </cell>
          <cell r="C68">
            <v>81</v>
          </cell>
          <cell r="D68">
            <v>71</v>
          </cell>
          <cell r="E68">
            <v>77</v>
          </cell>
          <cell r="F68">
            <v>81</v>
          </cell>
          <cell r="I68">
            <v>81</v>
          </cell>
          <cell r="K68">
            <v>74</v>
          </cell>
          <cell r="O68">
            <v>0</v>
          </cell>
          <cell r="S68">
            <v>79</v>
          </cell>
          <cell r="T68">
            <v>2.5974025974025983E-2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  <cell r="AK68">
            <v>0</v>
          </cell>
          <cell r="AM68">
            <v>0</v>
          </cell>
          <cell r="AO68">
            <v>0</v>
          </cell>
          <cell r="AQ68">
            <v>0</v>
          </cell>
          <cell r="AS68">
            <v>0</v>
          </cell>
          <cell r="AU68">
            <v>0</v>
          </cell>
          <cell r="AY68">
            <v>76</v>
          </cell>
          <cell r="AZ68">
            <v>72</v>
          </cell>
        </row>
        <row r="69">
          <cell r="B69" t="str">
            <v>C5340J20</v>
          </cell>
          <cell r="C69">
            <v>67</v>
          </cell>
          <cell r="D69">
            <v>58</v>
          </cell>
          <cell r="E69">
            <v>64</v>
          </cell>
          <cell r="F69">
            <v>64</v>
          </cell>
          <cell r="J69">
            <v>64</v>
          </cell>
          <cell r="K69">
            <v>61</v>
          </cell>
          <cell r="O69">
            <v>0</v>
          </cell>
          <cell r="S69">
            <v>71</v>
          </cell>
          <cell r="T69">
            <v>0.109375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74.5</v>
          </cell>
          <cell r="AH69">
            <v>0.1640625</v>
          </cell>
          <cell r="AI69">
            <v>0</v>
          </cell>
          <cell r="AK69">
            <v>0</v>
          </cell>
          <cell r="AM69">
            <v>0</v>
          </cell>
          <cell r="AO69">
            <v>0</v>
          </cell>
          <cell r="AQ69">
            <v>0</v>
          </cell>
          <cell r="AS69">
            <v>0</v>
          </cell>
          <cell r="AU69">
            <v>0</v>
          </cell>
          <cell r="AY69">
            <v>65</v>
          </cell>
          <cell r="AZ69">
            <v>58</v>
          </cell>
        </row>
        <row r="70">
          <cell r="B70" t="str">
            <v>C5340J30</v>
          </cell>
          <cell r="C70">
            <v>83</v>
          </cell>
          <cell r="D70">
            <v>73</v>
          </cell>
          <cell r="E70">
            <v>79</v>
          </cell>
          <cell r="F70">
            <v>80</v>
          </cell>
          <cell r="J70">
            <v>80</v>
          </cell>
          <cell r="K70">
            <v>76</v>
          </cell>
          <cell r="O70">
            <v>0</v>
          </cell>
          <cell r="S70">
            <v>86</v>
          </cell>
          <cell r="T70">
            <v>8.8607594936708889E-2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86.5</v>
          </cell>
          <cell r="AH70">
            <v>9.4936708860759556E-2</v>
          </cell>
          <cell r="AI70">
            <v>0</v>
          </cell>
          <cell r="AK70">
            <v>0</v>
          </cell>
          <cell r="AM70">
            <v>0</v>
          </cell>
          <cell r="AO70">
            <v>0</v>
          </cell>
          <cell r="AQ70">
            <v>0</v>
          </cell>
          <cell r="AS70">
            <v>0</v>
          </cell>
          <cell r="AU70">
            <v>0</v>
          </cell>
          <cell r="AY70">
            <v>77</v>
          </cell>
          <cell r="AZ70">
            <v>72</v>
          </cell>
        </row>
        <row r="71">
          <cell r="B71" t="str">
            <v>C5366J20</v>
          </cell>
          <cell r="C71">
            <v>71</v>
          </cell>
          <cell r="D71">
            <v>62</v>
          </cell>
          <cell r="E71">
            <v>68</v>
          </cell>
          <cell r="F71">
            <v>66</v>
          </cell>
          <cell r="J71">
            <v>66</v>
          </cell>
          <cell r="K71">
            <v>65</v>
          </cell>
          <cell r="O71">
            <v>0</v>
          </cell>
          <cell r="S71">
            <v>0</v>
          </cell>
          <cell r="U71">
            <v>0</v>
          </cell>
          <cell r="W71">
            <v>0</v>
          </cell>
          <cell r="Y71">
            <v>71.5</v>
          </cell>
          <cell r="Z71">
            <v>5.1470588235294157E-2</v>
          </cell>
          <cell r="AA71">
            <v>0</v>
          </cell>
          <cell r="AC71">
            <v>71.25</v>
          </cell>
          <cell r="AD71">
            <v>4.7794117647058876E-2</v>
          </cell>
          <cell r="AE71">
            <v>0</v>
          </cell>
          <cell r="AG71">
            <v>0</v>
          </cell>
          <cell r="AI71">
            <v>0</v>
          </cell>
          <cell r="AK71">
            <v>0</v>
          </cell>
          <cell r="AM71">
            <v>0</v>
          </cell>
          <cell r="AO71">
            <v>0</v>
          </cell>
          <cell r="AQ71">
            <v>0</v>
          </cell>
          <cell r="AS71">
            <v>0</v>
          </cell>
          <cell r="AU71">
            <v>0</v>
          </cell>
          <cell r="AY71">
            <v>65</v>
          </cell>
          <cell r="AZ71">
            <v>59</v>
          </cell>
        </row>
        <row r="72">
          <cell r="B72" t="str">
            <v>C5366J30</v>
          </cell>
          <cell r="C72">
            <v>86</v>
          </cell>
          <cell r="D72">
            <v>76</v>
          </cell>
          <cell r="E72">
            <v>83</v>
          </cell>
          <cell r="F72">
            <v>81</v>
          </cell>
          <cell r="J72">
            <v>81</v>
          </cell>
          <cell r="K72">
            <v>79</v>
          </cell>
          <cell r="O72">
            <v>0</v>
          </cell>
          <cell r="S72">
            <v>0</v>
          </cell>
          <cell r="U72">
            <v>0</v>
          </cell>
          <cell r="W72">
            <v>0</v>
          </cell>
          <cell r="Y72">
            <v>86.5</v>
          </cell>
          <cell r="Z72">
            <v>4.2168674698795261E-2</v>
          </cell>
          <cell r="AA72">
            <v>0</v>
          </cell>
          <cell r="AC72">
            <v>88.35</v>
          </cell>
          <cell r="AD72">
            <v>6.4457831325301029E-2</v>
          </cell>
          <cell r="AE72">
            <v>0</v>
          </cell>
          <cell r="AG72">
            <v>0</v>
          </cell>
          <cell r="AI72">
            <v>0</v>
          </cell>
          <cell r="AK72">
            <v>0</v>
          </cell>
          <cell r="AM72">
            <v>0</v>
          </cell>
          <cell r="AO72">
            <v>0</v>
          </cell>
          <cell r="AQ72">
            <v>0</v>
          </cell>
          <cell r="AS72">
            <v>0</v>
          </cell>
          <cell r="AU72">
            <v>0</v>
          </cell>
          <cell r="AY72">
            <v>77</v>
          </cell>
          <cell r="AZ72">
            <v>73</v>
          </cell>
        </row>
        <row r="73">
          <cell r="B73" t="str">
            <v>C5445J20</v>
          </cell>
          <cell r="C73">
            <v>67</v>
          </cell>
          <cell r="D73">
            <v>58</v>
          </cell>
          <cell r="E73">
            <v>64</v>
          </cell>
          <cell r="F73">
            <v>63</v>
          </cell>
          <cell r="J73">
            <v>63</v>
          </cell>
          <cell r="K73">
            <v>61</v>
          </cell>
          <cell r="O73">
            <v>0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71.25</v>
          </cell>
          <cell r="AD73">
            <v>0.11328125</v>
          </cell>
          <cell r="AE73">
            <v>0</v>
          </cell>
          <cell r="AG73">
            <v>74.5</v>
          </cell>
          <cell r="AH73">
            <v>0.1640625</v>
          </cell>
          <cell r="AI73">
            <v>0</v>
          </cell>
          <cell r="AK73">
            <v>0</v>
          </cell>
          <cell r="AM73">
            <v>0</v>
          </cell>
          <cell r="AO73">
            <v>0</v>
          </cell>
          <cell r="AQ73">
            <v>74.5</v>
          </cell>
          <cell r="AR73">
            <v>0.1640625</v>
          </cell>
          <cell r="AS73">
            <v>0</v>
          </cell>
          <cell r="AU73">
            <v>0</v>
          </cell>
          <cell r="AY73">
            <v>65</v>
          </cell>
          <cell r="AZ73">
            <v>57</v>
          </cell>
        </row>
        <row r="74">
          <cell r="B74" t="str">
            <v>C5445J30</v>
          </cell>
          <cell r="C74">
            <v>83</v>
          </cell>
          <cell r="D74">
            <v>73</v>
          </cell>
          <cell r="E74">
            <v>79</v>
          </cell>
          <cell r="F74">
            <v>79</v>
          </cell>
          <cell r="J74">
            <v>79</v>
          </cell>
          <cell r="K74">
            <v>76</v>
          </cell>
          <cell r="O74">
            <v>0</v>
          </cell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88.35</v>
          </cell>
          <cell r="AD74">
            <v>0.1183544303797468</v>
          </cell>
          <cell r="AE74">
            <v>0</v>
          </cell>
          <cell r="AG74">
            <v>89</v>
          </cell>
          <cell r="AH74">
            <v>0.12658227848101267</v>
          </cell>
          <cell r="AI74">
            <v>0</v>
          </cell>
          <cell r="AK74">
            <v>0</v>
          </cell>
          <cell r="AM74">
            <v>0</v>
          </cell>
          <cell r="AO74">
            <v>0</v>
          </cell>
          <cell r="AQ74">
            <v>94</v>
          </cell>
          <cell r="AR74">
            <v>0.18987341772151889</v>
          </cell>
          <cell r="AS74">
            <v>0</v>
          </cell>
          <cell r="AU74">
            <v>0</v>
          </cell>
          <cell r="AY74">
            <v>77</v>
          </cell>
          <cell r="AZ74">
            <v>72</v>
          </cell>
        </row>
        <row r="75">
          <cell r="B75" t="str">
            <v>F4238J20</v>
          </cell>
          <cell r="C75">
            <v>83</v>
          </cell>
          <cell r="E75">
            <v>80</v>
          </cell>
          <cell r="F75">
            <v>86</v>
          </cell>
          <cell r="H75">
            <v>86</v>
          </cell>
          <cell r="K75">
            <v>76</v>
          </cell>
          <cell r="O75">
            <v>0</v>
          </cell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86</v>
          </cell>
          <cell r="AF75">
            <v>7.4999999999999956E-2</v>
          </cell>
          <cell r="AG75">
            <v>0</v>
          </cell>
          <cell r="AI75">
            <v>0</v>
          </cell>
          <cell r="AK75">
            <v>0</v>
          </cell>
          <cell r="AM75">
            <v>0</v>
          </cell>
          <cell r="AO75">
            <v>0</v>
          </cell>
          <cell r="AQ75">
            <v>0</v>
          </cell>
          <cell r="AS75">
            <v>0</v>
          </cell>
          <cell r="AU75">
            <v>0</v>
          </cell>
          <cell r="AY75">
            <v>76</v>
          </cell>
          <cell r="AZ75">
            <v>76</v>
          </cell>
        </row>
        <row r="76">
          <cell r="B76" t="str">
            <v>F4238J30</v>
          </cell>
          <cell r="C76">
            <v>101</v>
          </cell>
          <cell r="E76">
            <v>97</v>
          </cell>
          <cell r="F76">
            <v>104</v>
          </cell>
          <cell r="H76">
            <v>104</v>
          </cell>
          <cell r="K76">
            <v>93</v>
          </cell>
          <cell r="O76">
            <v>0</v>
          </cell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100</v>
          </cell>
          <cell r="AF76">
            <v>3.0927835051546282E-2</v>
          </cell>
          <cell r="AG76">
            <v>0</v>
          </cell>
          <cell r="AI76">
            <v>0</v>
          </cell>
          <cell r="AK76">
            <v>0</v>
          </cell>
          <cell r="AM76">
            <v>0</v>
          </cell>
          <cell r="AO76">
            <v>0</v>
          </cell>
          <cell r="AQ76">
            <v>0</v>
          </cell>
          <cell r="AS76">
            <v>0</v>
          </cell>
          <cell r="AU76">
            <v>0</v>
          </cell>
          <cell r="AY76">
            <v>93</v>
          </cell>
          <cell r="AZ76">
            <v>93</v>
          </cell>
        </row>
        <row r="77">
          <cell r="B77" t="str">
            <v>F4270J20</v>
          </cell>
          <cell r="C77">
            <v>86</v>
          </cell>
          <cell r="E77">
            <v>79</v>
          </cell>
          <cell r="F77">
            <v>85</v>
          </cell>
          <cell r="H77">
            <v>85</v>
          </cell>
          <cell r="K77">
            <v>76</v>
          </cell>
          <cell r="O77">
            <v>0</v>
          </cell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83</v>
          </cell>
          <cell r="AJ77">
            <v>5.0632911392405111E-2</v>
          </cell>
          <cell r="AK77">
            <v>0</v>
          </cell>
          <cell r="AM77">
            <v>0</v>
          </cell>
          <cell r="AO77">
            <v>0</v>
          </cell>
          <cell r="AQ77">
            <v>0</v>
          </cell>
          <cell r="AS77">
            <v>0</v>
          </cell>
          <cell r="AU77">
            <v>0</v>
          </cell>
          <cell r="AY77">
            <v>76</v>
          </cell>
          <cell r="AZ77">
            <v>76</v>
          </cell>
        </row>
        <row r="78">
          <cell r="B78" t="str">
            <v>F4270J30</v>
          </cell>
          <cell r="C78">
            <v>104</v>
          </cell>
          <cell r="E78">
            <v>97</v>
          </cell>
          <cell r="F78">
            <v>104</v>
          </cell>
          <cell r="H78">
            <v>104</v>
          </cell>
          <cell r="K78">
            <v>93</v>
          </cell>
          <cell r="O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100</v>
          </cell>
          <cell r="AJ78">
            <v>3.0927835051546282E-2</v>
          </cell>
          <cell r="AK78">
            <v>0</v>
          </cell>
          <cell r="AM78">
            <v>0</v>
          </cell>
          <cell r="AO78">
            <v>0</v>
          </cell>
          <cell r="AQ78">
            <v>0</v>
          </cell>
          <cell r="AS78">
            <v>0</v>
          </cell>
          <cell r="AU78">
            <v>0</v>
          </cell>
          <cell r="AY78">
            <v>93</v>
          </cell>
          <cell r="AZ78">
            <v>93</v>
          </cell>
        </row>
        <row r="79">
          <cell r="B79" t="str">
            <v>F5233J20</v>
          </cell>
          <cell r="C79">
            <v>85</v>
          </cell>
          <cell r="E79">
            <v>78</v>
          </cell>
          <cell r="F79">
            <v>84</v>
          </cell>
          <cell r="H79">
            <v>84</v>
          </cell>
          <cell r="K79">
            <v>74</v>
          </cell>
          <cell r="M79">
            <v>104</v>
          </cell>
          <cell r="N79">
            <v>0.33333333333333326</v>
          </cell>
          <cell r="O79">
            <v>93.600000000000009</v>
          </cell>
          <cell r="P79">
            <v>0.20000000000000018</v>
          </cell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  <cell r="AM79">
            <v>0</v>
          </cell>
          <cell r="AO79">
            <v>0</v>
          </cell>
          <cell r="AQ79">
            <v>0</v>
          </cell>
          <cell r="AS79">
            <v>0</v>
          </cell>
          <cell r="AU79">
            <v>0</v>
          </cell>
          <cell r="AY79">
            <v>74</v>
          </cell>
          <cell r="AZ79">
            <v>74.099999999999994</v>
          </cell>
        </row>
        <row r="80">
          <cell r="B80" t="str">
            <v>F5233J30</v>
          </cell>
          <cell r="C80">
            <v>102</v>
          </cell>
          <cell r="E80">
            <v>95</v>
          </cell>
          <cell r="F80">
            <v>102</v>
          </cell>
          <cell r="H80">
            <v>102</v>
          </cell>
          <cell r="K80">
            <v>91</v>
          </cell>
          <cell r="M80">
            <v>130</v>
          </cell>
          <cell r="N80">
            <v>0.36842105263157898</v>
          </cell>
          <cell r="O80">
            <v>117</v>
          </cell>
          <cell r="P80">
            <v>0.23157894736842111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  <cell r="AK80">
            <v>100</v>
          </cell>
          <cell r="AL80">
            <v>5.2631578947368363E-2</v>
          </cell>
          <cell r="AM80">
            <v>0</v>
          </cell>
          <cell r="AO80">
            <v>0</v>
          </cell>
          <cell r="AQ80">
            <v>0</v>
          </cell>
          <cell r="AS80">
            <v>0</v>
          </cell>
          <cell r="AU80">
            <v>0</v>
          </cell>
          <cell r="AY80">
            <v>91</v>
          </cell>
          <cell r="AZ80">
            <v>91</v>
          </cell>
        </row>
        <row r="81">
          <cell r="B81" t="str">
            <v>F5235J20</v>
          </cell>
          <cell r="C81">
            <v>85</v>
          </cell>
          <cell r="E81">
            <v>78</v>
          </cell>
          <cell r="K81">
            <v>74</v>
          </cell>
          <cell r="O81">
            <v>0</v>
          </cell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  <cell r="AK81">
            <v>0</v>
          </cell>
          <cell r="AQ81">
            <v>0</v>
          </cell>
          <cell r="AS81">
            <v>0</v>
          </cell>
          <cell r="AU81">
            <v>0</v>
          </cell>
          <cell r="AY81">
            <v>74</v>
          </cell>
        </row>
        <row r="82">
          <cell r="B82" t="str">
            <v>F5235J30</v>
          </cell>
          <cell r="C82">
            <v>102</v>
          </cell>
          <cell r="E82">
            <v>95</v>
          </cell>
          <cell r="K82">
            <v>91</v>
          </cell>
          <cell r="O82">
            <v>0</v>
          </cell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  <cell r="AK82">
            <v>0</v>
          </cell>
          <cell r="AQ82">
            <v>0</v>
          </cell>
          <cell r="AS82">
            <v>0</v>
          </cell>
          <cell r="AU82">
            <v>0</v>
          </cell>
          <cell r="AY82">
            <v>91</v>
          </cell>
        </row>
        <row r="83">
          <cell r="B83" t="str">
            <v>F5033J20</v>
          </cell>
          <cell r="E83">
            <v>75</v>
          </cell>
          <cell r="K83">
            <v>72</v>
          </cell>
          <cell r="O83">
            <v>0</v>
          </cell>
          <cell r="AY83">
            <v>72</v>
          </cell>
        </row>
        <row r="84">
          <cell r="B84" t="str">
            <v>F5033J30</v>
          </cell>
          <cell r="E84">
            <v>92</v>
          </cell>
          <cell r="K84">
            <v>88</v>
          </cell>
          <cell r="O84">
            <v>0</v>
          </cell>
          <cell r="AY84">
            <v>88</v>
          </cell>
        </row>
      </sheetData>
      <sheetData sheetId="13" refreshError="1">
        <row r="2">
          <cell r="A2" t="str">
            <v>Mã</v>
          </cell>
          <cell r="B2">
            <v>45770</v>
          </cell>
          <cell r="C2">
            <v>45874</v>
          </cell>
          <cell r="D2">
            <v>45939</v>
          </cell>
        </row>
        <row r="3">
          <cell r="A3" t="str">
            <v>C1005J20</v>
          </cell>
          <cell r="B3">
            <v>56</v>
          </cell>
          <cell r="C3">
            <v>56</v>
          </cell>
          <cell r="D3">
            <v>56</v>
          </cell>
        </row>
        <row r="4">
          <cell r="A4" t="str">
            <v>C1102J20</v>
          </cell>
          <cell r="B4">
            <v>65</v>
          </cell>
          <cell r="C4">
            <v>65</v>
          </cell>
          <cell r="D4">
            <v>65</v>
          </cell>
        </row>
        <row r="5">
          <cell r="A5" t="str">
            <v>C4202J20</v>
          </cell>
          <cell r="B5">
            <v>71.5</v>
          </cell>
          <cell r="C5">
            <v>62</v>
          </cell>
          <cell r="D5">
            <v>62</v>
          </cell>
        </row>
        <row r="6">
          <cell r="A6" t="str">
            <v>C3105J20</v>
          </cell>
          <cell r="B6">
            <v>62</v>
          </cell>
          <cell r="C6">
            <v>62</v>
          </cell>
          <cell r="D6">
            <v>62</v>
          </cell>
        </row>
        <row r="7">
          <cell r="A7" t="str">
            <v>C3311J20</v>
          </cell>
          <cell r="B7">
            <v>65</v>
          </cell>
          <cell r="C7">
            <v>59</v>
          </cell>
          <cell r="D7">
            <v>59</v>
          </cell>
        </row>
        <row r="8">
          <cell r="A8" t="str">
            <v>C4255J20</v>
          </cell>
          <cell r="B8">
            <v>73</v>
          </cell>
          <cell r="C8">
            <v>66</v>
          </cell>
          <cell r="D8">
            <v>66</v>
          </cell>
        </row>
        <row r="9">
          <cell r="A9" t="str">
            <v>C4345J20</v>
          </cell>
          <cell r="B9">
            <v>75</v>
          </cell>
          <cell r="C9">
            <v>66</v>
          </cell>
          <cell r="D9">
            <v>66</v>
          </cell>
        </row>
        <row r="10">
          <cell r="A10" t="str">
            <v>C3102J20</v>
          </cell>
          <cell r="B10">
            <v>57</v>
          </cell>
          <cell r="C10">
            <v>57</v>
          </cell>
          <cell r="D10">
            <v>57</v>
          </cell>
        </row>
        <row r="11">
          <cell r="A11" t="str">
            <v>C1030J20</v>
          </cell>
          <cell r="B11">
            <v>57</v>
          </cell>
          <cell r="C11">
            <v>57</v>
          </cell>
          <cell r="D11">
            <v>57</v>
          </cell>
        </row>
        <row r="12">
          <cell r="A12" t="str">
            <v>C2122J20</v>
          </cell>
          <cell r="B12">
            <v>50</v>
          </cell>
          <cell r="C12">
            <v>50</v>
          </cell>
          <cell r="D12">
            <v>50</v>
          </cell>
        </row>
        <row r="13">
          <cell r="A13" t="str">
            <v>C5260J20</v>
          </cell>
          <cell r="B13">
            <v>71</v>
          </cell>
          <cell r="C13">
            <v>71</v>
          </cell>
          <cell r="D13">
            <v>71</v>
          </cell>
        </row>
        <row r="14">
          <cell r="A14" t="str">
            <v>C4155J20</v>
          </cell>
          <cell r="B14">
            <v>71</v>
          </cell>
          <cell r="C14">
            <v>71</v>
          </cell>
          <cell r="D14">
            <v>71</v>
          </cell>
        </row>
        <row r="15">
          <cell r="A15" t="str">
            <v>C4156J20</v>
          </cell>
          <cell r="B15">
            <v>71.25</v>
          </cell>
          <cell r="C15">
            <v>71.25</v>
          </cell>
          <cell r="D15">
            <v>71.25</v>
          </cell>
        </row>
        <row r="16">
          <cell r="A16" t="str">
            <v>C4264J20</v>
          </cell>
          <cell r="D16">
            <v>76</v>
          </cell>
        </row>
        <row r="17">
          <cell r="A17" t="str">
            <v>C2123J20</v>
          </cell>
          <cell r="B17">
            <v>60</v>
          </cell>
          <cell r="C17">
            <v>60</v>
          </cell>
          <cell r="D17">
            <v>60</v>
          </cell>
        </row>
        <row r="18">
          <cell r="A18" t="str">
            <v>C2124J20</v>
          </cell>
          <cell r="B18">
            <v>60</v>
          </cell>
          <cell r="C18">
            <v>60</v>
          </cell>
          <cell r="D18">
            <v>60</v>
          </cell>
        </row>
        <row r="19">
          <cell r="A19" t="str">
            <v>C1005J30</v>
          </cell>
          <cell r="B19">
            <v>70</v>
          </cell>
          <cell r="C19">
            <v>70</v>
          </cell>
          <cell r="D19">
            <v>70</v>
          </cell>
        </row>
        <row r="20">
          <cell r="A20" t="str">
            <v>C1102J30</v>
          </cell>
          <cell r="B20">
            <v>78.5</v>
          </cell>
          <cell r="C20">
            <v>78.5</v>
          </cell>
          <cell r="D20">
            <v>78.5</v>
          </cell>
        </row>
        <row r="21">
          <cell r="A21" t="str">
            <v>C4202J30</v>
          </cell>
          <cell r="B21">
            <v>83.5</v>
          </cell>
          <cell r="C21">
            <v>77</v>
          </cell>
          <cell r="D21">
            <v>77</v>
          </cell>
        </row>
        <row r="22">
          <cell r="A22" t="str">
            <v>C3105J30</v>
          </cell>
          <cell r="B22">
            <v>75</v>
          </cell>
          <cell r="C22">
            <v>75</v>
          </cell>
          <cell r="D22">
            <v>75</v>
          </cell>
        </row>
        <row r="23">
          <cell r="A23" t="str">
            <v>C3311J30</v>
          </cell>
          <cell r="B23">
            <v>80.5</v>
          </cell>
          <cell r="C23">
            <v>73</v>
          </cell>
          <cell r="D23">
            <v>73</v>
          </cell>
        </row>
        <row r="24">
          <cell r="A24" t="str">
            <v>C4255J30</v>
          </cell>
          <cell r="B24">
            <v>87</v>
          </cell>
          <cell r="C24">
            <v>82</v>
          </cell>
          <cell r="D24">
            <v>82</v>
          </cell>
        </row>
        <row r="25">
          <cell r="A25" t="str">
            <v>C4345J30</v>
          </cell>
          <cell r="B25">
            <v>93</v>
          </cell>
          <cell r="C25">
            <v>82</v>
          </cell>
          <cell r="D25">
            <v>82</v>
          </cell>
        </row>
        <row r="26">
          <cell r="A26" t="str">
            <v>C3102J30</v>
          </cell>
          <cell r="B26">
            <v>70</v>
          </cell>
          <cell r="C26">
            <v>70</v>
          </cell>
          <cell r="D26">
            <v>70</v>
          </cell>
        </row>
        <row r="27">
          <cell r="A27" t="str">
            <v>C1030J30</v>
          </cell>
          <cell r="B27">
            <v>70</v>
          </cell>
          <cell r="C27">
            <v>70</v>
          </cell>
          <cell r="D27">
            <v>70</v>
          </cell>
        </row>
        <row r="28">
          <cell r="A28" t="str">
            <v>C2122J30</v>
          </cell>
          <cell r="B28">
            <v>64</v>
          </cell>
          <cell r="C28">
            <v>64</v>
          </cell>
          <cell r="D28">
            <v>64</v>
          </cell>
        </row>
        <row r="29">
          <cell r="A29" t="str">
            <v>C5260J30</v>
          </cell>
          <cell r="B29">
            <v>86</v>
          </cell>
          <cell r="C29">
            <v>86</v>
          </cell>
          <cell r="D29">
            <v>86</v>
          </cell>
        </row>
        <row r="30">
          <cell r="A30" t="str">
            <v>C4155J30</v>
          </cell>
          <cell r="B30">
            <v>86</v>
          </cell>
          <cell r="C30">
            <v>86</v>
          </cell>
          <cell r="D30">
            <v>86</v>
          </cell>
        </row>
        <row r="31">
          <cell r="A31" t="str">
            <v>C4156J30</v>
          </cell>
          <cell r="B31">
            <v>85.5</v>
          </cell>
          <cell r="C31">
            <v>85.5</v>
          </cell>
          <cell r="D31">
            <v>85.5</v>
          </cell>
        </row>
        <row r="32">
          <cell r="A32" t="str">
            <v>C2123J30</v>
          </cell>
          <cell r="B32">
            <v>75</v>
          </cell>
          <cell r="C32">
            <v>75</v>
          </cell>
          <cell r="D32">
            <v>75</v>
          </cell>
        </row>
        <row r="33">
          <cell r="A33" t="str">
            <v>C2124J30</v>
          </cell>
          <cell r="B33">
            <v>75</v>
          </cell>
          <cell r="C33">
            <v>75</v>
          </cell>
          <cell r="D33">
            <v>75</v>
          </cell>
        </row>
        <row r="34">
          <cell r="A34" t="str">
            <v>C4264J30</v>
          </cell>
          <cell r="D34">
            <v>90</v>
          </cell>
        </row>
      </sheetData>
      <sheetData sheetId="14" refreshError="1"/>
      <sheetData sheetId="15" refreshError="1">
        <row r="2">
          <cell r="L2" t="str">
            <v>Giá Phú Sơn tương đương giá T-10</v>
          </cell>
          <cell r="S2" t="str">
            <v>AT chiếm 10%. Khách thường không đàm phán về giá, giá Casla đưa bao nhiêu khách thấy phù hợp giá +màu thì lấy không thì thôi</v>
          </cell>
          <cell r="U2" t="str">
            <v>HS chiếm 5%. Khách yêu cầu giảm 5%, riêng C4345/C4255 cần giảm sâu hơn nếu không sang 2026 khách có kế hoạch bỏ 2 màu này khỏi kệ mẫu. Các màu mới khách đang phát triển màu đẹp nhưng yêu cầu giá chỉ tầm $80/m2 cho 3cm mới lấy, tương đương T-5</v>
          </cell>
          <cell r="W2" t="str">
            <v>DP chiếm 4% . Khách thường không đàm phán về giá, giá Casla đưa bao nhiêu khách thấy phù hợp giá +màu  thì lấy không thì thôi.</v>
          </cell>
          <cell r="Y2" t="str">
            <v>DM chiếm 3%. Khách yêu cầu giảm 5% nếu thuế 20%</v>
          </cell>
          <cell r="AA2" t="str">
            <v>ST chiếm 2%. Khách yêu cầu giảm 10% nếu thuế 20%</v>
          </cell>
          <cell r="AC2" t="str">
            <v>JD chiếm 2%. Khách chờ thông tin giảm giá của Casla</v>
          </cell>
          <cell r="AW2" t="str">
            <v>CA mã tương đương
5141 tương đương 2104
5131 tương đương 4143
1111 tương đương 1102</v>
          </cell>
        </row>
        <row r="3">
          <cell r="S3">
            <v>1</v>
          </cell>
          <cell r="U3">
            <v>2</v>
          </cell>
          <cell r="W3">
            <v>3</v>
          </cell>
          <cell r="Y3">
            <v>4</v>
          </cell>
          <cell r="AA3">
            <v>5</v>
          </cell>
          <cell r="AC3">
            <v>6</v>
          </cell>
          <cell r="AE3">
            <v>7</v>
          </cell>
          <cell r="AG3" t="str">
            <v>8-9-10-11</v>
          </cell>
          <cell r="AI3">
            <v>12</v>
          </cell>
          <cell r="AK3">
            <v>13</v>
          </cell>
          <cell r="AM3">
            <v>14</v>
          </cell>
          <cell r="AO3">
            <v>15</v>
          </cell>
          <cell r="AQ3" t="str">
            <v>16-17-18</v>
          </cell>
          <cell r="AS3">
            <v>19</v>
          </cell>
          <cell r="AU3">
            <v>20</v>
          </cell>
        </row>
        <row r="4">
          <cell r="B4" t="str">
            <v>Mã hàng</v>
          </cell>
          <cell r="C4" t="str">
            <v>Giá CT(T15)</v>
          </cell>
          <cell r="D4" t="str">
            <v>Giá CT(T-0)</v>
          </cell>
          <cell r="E4" t="str">
            <v>T-10 chung cũ</v>
          </cell>
          <cell r="F4" t="str">
            <v>Giá bán theo NS cập nhật 4.8.2025 và cách tính T mới ( Mỹ)</v>
          </cell>
          <cell r="G4" t="str">
            <v>T-10( &gt;126 tấm)</v>
          </cell>
          <cell r="H4" t="str">
            <v>T-17 ( &lt;80 tấm)</v>
          </cell>
          <cell r="I4" t="str">
            <v>T-15  (&lt;80-100&gt; )</v>
          </cell>
          <cell r="J4" t="str">
            <v>T-13 ( &lt; 101-125&gt;</v>
          </cell>
          <cell r="K4" t="str">
            <v>Giá CT (T-5)</v>
          </cell>
          <cell r="L4" t="str">
            <v>Giá Phú Sơn T5.2025 ( màu tương đương)</v>
          </cell>
          <cell r="M4" t="str">
            <v>Giá vico trước tháng 1-2.2025 ( màu tương đương)</v>
          </cell>
          <cell r="N4" t="str">
            <v>% chênh lệch giá vico với CT T-10</v>
          </cell>
          <cell r="O4" t="str">
            <v>Thông tin vico giảm giá 10% từ 1.7</v>
          </cell>
          <cell r="P4" t="str">
            <v>% chênh lệch T-10 với giá Vico</v>
          </cell>
          <cell r="Q4" t="str">
            <v>Giá luật sư tính</v>
          </cell>
          <cell r="R4" t="str">
            <v>Chênh lệch giá T-10 với giá luật sư</v>
          </cell>
          <cell r="S4" t="str">
            <v>Giá bán cho AT</v>
          </cell>
          <cell r="T4" t="str">
            <v>Chênh lệch giá AT với T10</v>
          </cell>
          <cell r="U4" t="str">
            <v>Giá đang bán cho HS</v>
          </cell>
          <cell r="V4" t="str">
            <v>% chênh lệch giá HS với T10</v>
          </cell>
          <cell r="W4" t="str">
            <v>Giá bán cho DP</v>
          </cell>
          <cell r="X4" t="str">
            <v>% chênh lệch giá DP với T10</v>
          </cell>
          <cell r="Y4" t="str">
            <v>Giá bán cho DM</v>
          </cell>
          <cell r="Z4" t="str">
            <v>% chênh lệch giá DM với giá CT T10</v>
          </cell>
          <cell r="AA4" t="str">
            <v>Giá bán cho ST</v>
          </cell>
          <cell r="AB4" t="str">
            <v>% chênh lệch giá bán ST với giá CT T10</v>
          </cell>
          <cell r="AC4" t="str">
            <v>Giá bán cho JD</v>
          </cell>
          <cell r="AD4" t="str">
            <v>% chênh lệch giá bán JD với giá CT T10</v>
          </cell>
          <cell r="AE4" t="str">
            <v>Giá bán cho TQ</v>
          </cell>
          <cell r="AF4" t="str">
            <v>% chệnh lệch giá TQ với CT T10</v>
          </cell>
          <cell r="AG4" t="str">
            <v>SW/AS/BE/CR</v>
          </cell>
          <cell r="AI4" t="str">
            <v>OH</v>
          </cell>
          <cell r="AK4" t="str">
            <v>SC</v>
          </cell>
          <cell r="AM4" t="str">
            <v>ET</v>
          </cell>
          <cell r="AO4" t="str">
            <v>CM</v>
          </cell>
          <cell r="AQ4" t="str">
            <v xml:space="preserve">QT/RP/GQ
</v>
          </cell>
          <cell r="AS4" t="str">
            <v>VE</v>
          </cell>
          <cell r="AU4" t="str">
            <v>QN</v>
          </cell>
          <cell r="AW4" t="str">
            <v>Giá đang bán CA</v>
          </cell>
          <cell r="AX4" t="str">
            <v>% chênh lệch so với CT T-10</v>
          </cell>
          <cell r="AY4" t="str">
            <v>Giá bán ngoài Mỹ</v>
          </cell>
          <cell r="AZ4" t="str">
            <v>Giá bán theo NS cập nhật 4.8.2025 và cách tính T mới ( ngoài Mỹ)</v>
          </cell>
        </row>
        <row r="5">
          <cell r="B5" t="str">
            <v>C1005J20</v>
          </cell>
          <cell r="C5">
            <v>59</v>
          </cell>
          <cell r="D5">
            <v>51</v>
          </cell>
          <cell r="E5">
            <v>56</v>
          </cell>
          <cell r="F5">
            <v>61</v>
          </cell>
          <cell r="G5">
            <v>61</v>
          </cell>
          <cell r="K5">
            <v>53</v>
          </cell>
          <cell r="L5">
            <v>56</v>
          </cell>
          <cell r="M5">
            <v>61</v>
          </cell>
          <cell r="N5">
            <v>8.9285714285714191E-2</v>
          </cell>
          <cell r="O5">
            <v>54.9</v>
          </cell>
          <cell r="P5">
            <v>2.0036429872495543E-2</v>
          </cell>
          <cell r="Q5">
            <v>55.357142857142854</v>
          </cell>
          <cell r="R5">
            <v>1.1612903225806548E-2</v>
          </cell>
          <cell r="U5">
            <v>56</v>
          </cell>
          <cell r="V5">
            <v>0</v>
          </cell>
          <cell r="W5">
            <v>58</v>
          </cell>
          <cell r="X5">
            <v>3.5714285714285809E-2</v>
          </cell>
          <cell r="Y5">
            <v>0</v>
          </cell>
          <cell r="AA5">
            <v>57.95</v>
          </cell>
          <cell r="AB5">
            <v>3.4821428571428559E-2</v>
          </cell>
          <cell r="AC5">
            <v>0</v>
          </cell>
          <cell r="AE5">
            <v>58</v>
          </cell>
          <cell r="AF5">
            <v>3.5714285714285809E-2</v>
          </cell>
          <cell r="AG5">
            <v>58.5</v>
          </cell>
          <cell r="AH5">
            <v>4.4642857142857206E-2</v>
          </cell>
          <cell r="AI5">
            <v>0</v>
          </cell>
          <cell r="AK5">
            <v>0</v>
          </cell>
          <cell r="AM5">
            <v>0</v>
          </cell>
          <cell r="AQ5">
            <v>0</v>
          </cell>
          <cell r="AS5">
            <v>0</v>
          </cell>
          <cell r="AU5">
            <v>59</v>
          </cell>
          <cell r="AV5">
            <v>5.3571428571428603E-2</v>
          </cell>
          <cell r="AY5">
            <v>52</v>
          </cell>
          <cell r="AZ5">
            <v>55</v>
          </cell>
        </row>
        <row r="6">
          <cell r="B6" t="str">
            <v>C1005J30</v>
          </cell>
          <cell r="C6">
            <v>75</v>
          </cell>
          <cell r="D6">
            <v>66</v>
          </cell>
          <cell r="E6">
            <v>72</v>
          </cell>
          <cell r="F6">
            <v>77</v>
          </cell>
          <cell r="G6">
            <v>77</v>
          </cell>
          <cell r="K6">
            <v>69</v>
          </cell>
          <cell r="L6">
            <v>67</v>
          </cell>
          <cell r="M6">
            <v>72</v>
          </cell>
          <cell r="N6">
            <v>0</v>
          </cell>
          <cell r="O6">
            <v>64.8</v>
          </cell>
          <cell r="P6">
            <v>-0.10000000000000009</v>
          </cell>
          <cell r="Q6">
            <v>75.247524752475243</v>
          </cell>
          <cell r="R6">
            <v>-4.3157894736842062E-2</v>
          </cell>
          <cell r="U6">
            <v>70</v>
          </cell>
          <cell r="V6">
            <v>-2.777777777777779E-2</v>
          </cell>
          <cell r="W6">
            <v>72</v>
          </cell>
          <cell r="X6">
            <v>0</v>
          </cell>
          <cell r="Y6">
            <v>0</v>
          </cell>
          <cell r="AA6">
            <v>72.2</v>
          </cell>
          <cell r="AB6">
            <v>2.7777777777777679E-3</v>
          </cell>
          <cell r="AC6">
            <v>0</v>
          </cell>
          <cell r="AE6">
            <v>72</v>
          </cell>
          <cell r="AF6">
            <v>0</v>
          </cell>
          <cell r="AG6">
            <v>73</v>
          </cell>
          <cell r="AH6">
            <v>1.388888888888884E-2</v>
          </cell>
          <cell r="AI6">
            <v>0</v>
          </cell>
          <cell r="AK6">
            <v>0</v>
          </cell>
          <cell r="AM6">
            <v>0</v>
          </cell>
          <cell r="AO6">
            <v>72.2</v>
          </cell>
          <cell r="AP6">
            <v>2.7777777777777679E-3</v>
          </cell>
          <cell r="AQ6">
            <v>0</v>
          </cell>
          <cell r="AS6">
            <v>0</v>
          </cell>
          <cell r="AU6">
            <v>73</v>
          </cell>
          <cell r="AV6">
            <v>1.388888888888884E-2</v>
          </cell>
          <cell r="AY6">
            <v>65</v>
          </cell>
          <cell r="AZ6">
            <v>70</v>
          </cell>
        </row>
        <row r="7">
          <cell r="B7" t="str">
            <v>C1102J20</v>
          </cell>
          <cell r="C7">
            <v>68</v>
          </cell>
          <cell r="D7">
            <v>59</v>
          </cell>
          <cell r="E7">
            <v>65</v>
          </cell>
          <cell r="F7">
            <v>71</v>
          </cell>
          <cell r="G7">
            <v>71</v>
          </cell>
          <cell r="K7">
            <v>62</v>
          </cell>
          <cell r="M7">
            <v>77</v>
          </cell>
          <cell r="N7">
            <v>0.18461538461538463</v>
          </cell>
          <cell r="O7">
            <v>69.3</v>
          </cell>
          <cell r="P7">
            <v>6.6153846153846008E-2</v>
          </cell>
          <cell r="Q7">
            <v>59.83606557377049</v>
          </cell>
          <cell r="R7">
            <v>8.6301369863013733E-2</v>
          </cell>
          <cell r="S7">
            <v>67</v>
          </cell>
          <cell r="T7">
            <v>3.076923076923066E-2</v>
          </cell>
          <cell r="U7">
            <v>65</v>
          </cell>
          <cell r="V7">
            <v>0</v>
          </cell>
          <cell r="W7">
            <v>67</v>
          </cell>
          <cell r="X7">
            <v>3.076923076923066E-2</v>
          </cell>
          <cell r="Y7">
            <v>68</v>
          </cell>
          <cell r="Z7">
            <v>4.6153846153846212E-2</v>
          </cell>
          <cell r="AA7">
            <v>67.45</v>
          </cell>
          <cell r="AB7">
            <v>3.7692307692307692E-2</v>
          </cell>
          <cell r="AC7">
            <v>0</v>
          </cell>
          <cell r="AE7">
            <v>69</v>
          </cell>
          <cell r="AF7">
            <v>6.1538461538461542E-2</v>
          </cell>
          <cell r="AG7">
            <v>68</v>
          </cell>
          <cell r="AH7">
            <v>4.6153846153846212E-2</v>
          </cell>
          <cell r="AI7">
            <v>68</v>
          </cell>
          <cell r="AJ7">
            <v>4.6153846153846212E-2</v>
          </cell>
          <cell r="AK7">
            <v>0</v>
          </cell>
          <cell r="AQ7">
            <v>69</v>
          </cell>
          <cell r="AR7">
            <v>6.1538461538461542E-2</v>
          </cell>
          <cell r="AS7">
            <v>0</v>
          </cell>
          <cell r="AU7">
            <v>0</v>
          </cell>
          <cell r="AW7">
            <v>58</v>
          </cell>
          <cell r="AX7">
            <v>-0.10769230769230764</v>
          </cell>
          <cell r="AY7">
            <v>62</v>
          </cell>
          <cell r="AZ7">
            <v>64</v>
          </cell>
        </row>
        <row r="8">
          <cell r="B8" t="str">
            <v>C1102J30</v>
          </cell>
          <cell r="C8">
            <v>87</v>
          </cell>
          <cell r="D8">
            <v>76</v>
          </cell>
          <cell r="E8">
            <v>83</v>
          </cell>
          <cell r="F8">
            <v>90</v>
          </cell>
          <cell r="G8">
            <v>90</v>
          </cell>
          <cell r="K8">
            <v>80</v>
          </cell>
          <cell r="M8">
            <v>91</v>
          </cell>
          <cell r="N8">
            <v>9.6385542168674787E-2</v>
          </cell>
          <cell r="O8">
            <v>81.900000000000006</v>
          </cell>
          <cell r="P8">
            <v>-1.3253012048192736E-2</v>
          </cell>
          <cell r="Q8">
            <v>81.081081081081081</v>
          </cell>
          <cell r="R8">
            <v>2.3666666666666725E-2</v>
          </cell>
          <cell r="S8">
            <v>81</v>
          </cell>
          <cell r="T8">
            <v>-2.4096385542168641E-2</v>
          </cell>
          <cell r="U8">
            <v>78.5</v>
          </cell>
          <cell r="V8">
            <v>-5.4216867469879526E-2</v>
          </cell>
          <cell r="W8">
            <v>81</v>
          </cell>
          <cell r="X8">
            <v>-2.4096385542168641E-2</v>
          </cell>
          <cell r="Y8">
            <v>83</v>
          </cell>
          <cell r="Z8">
            <v>0</v>
          </cell>
          <cell r="AA8">
            <v>81.7</v>
          </cell>
          <cell r="AB8">
            <v>-1.5662650602409567E-2</v>
          </cell>
          <cell r="AC8">
            <v>0</v>
          </cell>
          <cell r="AE8">
            <v>84</v>
          </cell>
          <cell r="AF8">
            <v>1.2048192771084265E-2</v>
          </cell>
          <cell r="AG8">
            <v>83</v>
          </cell>
          <cell r="AH8">
            <v>0</v>
          </cell>
          <cell r="AI8">
            <v>82</v>
          </cell>
          <cell r="AJ8">
            <v>-1.2048192771084376E-2</v>
          </cell>
          <cell r="AK8">
            <v>0</v>
          </cell>
          <cell r="AM8">
            <v>83</v>
          </cell>
          <cell r="AN8">
            <v>0</v>
          </cell>
          <cell r="AO8">
            <v>81.7</v>
          </cell>
          <cell r="AP8">
            <v>-1.5662650602409567E-2</v>
          </cell>
          <cell r="AQ8">
            <v>85.5</v>
          </cell>
          <cell r="AR8">
            <v>3.0120481927710774E-2</v>
          </cell>
          <cell r="AS8">
            <v>0</v>
          </cell>
          <cell r="AU8">
            <v>0</v>
          </cell>
          <cell r="AW8">
            <v>76</v>
          </cell>
          <cell r="AX8">
            <v>-8.4337349397590411E-2</v>
          </cell>
          <cell r="AY8">
            <v>77</v>
          </cell>
          <cell r="AZ8">
            <v>82</v>
          </cell>
        </row>
        <row r="9">
          <cell r="B9" t="str">
            <v>C1205J20</v>
          </cell>
          <cell r="C9">
            <v>63</v>
          </cell>
          <cell r="D9">
            <v>55</v>
          </cell>
          <cell r="E9">
            <v>61</v>
          </cell>
          <cell r="F9">
            <v>58</v>
          </cell>
          <cell r="G9">
            <v>58</v>
          </cell>
          <cell r="K9">
            <v>59</v>
          </cell>
          <cell r="O9">
            <v>0</v>
          </cell>
          <cell r="Q9">
            <v>57.89473684210526</v>
          </cell>
          <cell r="R9">
            <v>5.3636363636363704E-2</v>
          </cell>
          <cell r="S9">
            <v>73</v>
          </cell>
          <cell r="T9">
            <v>0.19672131147540983</v>
          </cell>
          <cell r="U9">
            <v>0</v>
          </cell>
          <cell r="W9">
            <v>0</v>
          </cell>
          <cell r="Y9">
            <v>0</v>
          </cell>
          <cell r="AA9">
            <v>73.149999999999991</v>
          </cell>
          <cell r="AB9">
            <v>0.19918032786885242</v>
          </cell>
          <cell r="AE9">
            <v>0</v>
          </cell>
          <cell r="AG9">
            <v>0</v>
          </cell>
          <cell r="AK9">
            <v>0</v>
          </cell>
          <cell r="AM9">
            <v>0</v>
          </cell>
          <cell r="AQ9">
            <v>73.5</v>
          </cell>
          <cell r="AR9">
            <v>0.20491803278688514</v>
          </cell>
          <cell r="AS9">
            <v>0</v>
          </cell>
          <cell r="AU9">
            <v>74</v>
          </cell>
          <cell r="AV9">
            <v>0.21311475409836067</v>
          </cell>
          <cell r="AY9">
            <v>65</v>
          </cell>
          <cell r="AZ9">
            <v>52</v>
          </cell>
        </row>
        <row r="10">
          <cell r="B10" t="str">
            <v>C1205J30</v>
          </cell>
          <cell r="C10">
            <v>79</v>
          </cell>
          <cell r="D10">
            <v>69</v>
          </cell>
          <cell r="E10">
            <v>77</v>
          </cell>
          <cell r="F10">
            <v>73</v>
          </cell>
          <cell r="G10">
            <v>73</v>
          </cell>
          <cell r="K10">
            <v>74</v>
          </cell>
          <cell r="O10">
            <v>0</v>
          </cell>
          <cell r="Q10">
            <v>78.991596638655466</v>
          </cell>
          <cell r="R10">
            <v>-2.5212765957446814E-2</v>
          </cell>
          <cell r="S10">
            <v>86</v>
          </cell>
          <cell r="T10">
            <v>0.11688311688311681</v>
          </cell>
          <cell r="U10">
            <v>0</v>
          </cell>
          <cell r="W10">
            <v>0</v>
          </cell>
          <cell r="Y10">
            <v>0</v>
          </cell>
          <cell r="AA10">
            <v>85.5</v>
          </cell>
          <cell r="AB10">
            <v>0.11038961038961048</v>
          </cell>
          <cell r="AC10">
            <v>86.45</v>
          </cell>
          <cell r="AD10">
            <v>0.1227272727272728</v>
          </cell>
          <cell r="AE10">
            <v>0</v>
          </cell>
          <cell r="AG10">
            <v>0</v>
          </cell>
          <cell r="AI10">
            <v>86</v>
          </cell>
          <cell r="AJ10">
            <v>0.11688311688311681</v>
          </cell>
          <cell r="AK10">
            <v>0</v>
          </cell>
          <cell r="AM10">
            <v>0</v>
          </cell>
          <cell r="AO10">
            <v>85.5</v>
          </cell>
          <cell r="AP10">
            <v>0.11038961038961048</v>
          </cell>
          <cell r="AQ10">
            <v>85.5</v>
          </cell>
          <cell r="AR10">
            <v>0.11038961038961048</v>
          </cell>
          <cell r="AS10">
            <v>0</v>
          </cell>
          <cell r="AU10">
            <v>87</v>
          </cell>
          <cell r="AV10">
            <v>0.12987012987012991</v>
          </cell>
          <cell r="AY10">
            <v>77</v>
          </cell>
          <cell r="AZ10">
            <v>66</v>
          </cell>
        </row>
        <row r="11">
          <cell r="B11" t="str">
            <v>C2104J20</v>
          </cell>
          <cell r="C11">
            <v>62</v>
          </cell>
          <cell r="D11">
            <v>54</v>
          </cell>
          <cell r="E11">
            <v>59</v>
          </cell>
          <cell r="F11">
            <v>58</v>
          </cell>
          <cell r="G11">
            <v>58</v>
          </cell>
          <cell r="K11">
            <v>57</v>
          </cell>
          <cell r="L11">
            <v>57</v>
          </cell>
          <cell r="M11">
            <v>61</v>
          </cell>
          <cell r="N11">
            <v>3.3898305084745672E-2</v>
          </cell>
          <cell r="O11">
            <v>54.9</v>
          </cell>
          <cell r="P11">
            <v>-6.9491525423728828E-2</v>
          </cell>
          <cell r="Q11">
            <v>52.066115702479337</v>
          </cell>
          <cell r="R11">
            <v>0.13317460317460328</v>
          </cell>
          <cell r="S11">
            <v>60</v>
          </cell>
          <cell r="T11">
            <v>1.6949152542372836E-2</v>
          </cell>
          <cell r="U11">
            <v>0</v>
          </cell>
          <cell r="W11">
            <v>0</v>
          </cell>
          <cell r="Y11">
            <v>60</v>
          </cell>
          <cell r="Z11">
            <v>1.6949152542372836E-2</v>
          </cell>
          <cell r="AA11">
            <v>0</v>
          </cell>
          <cell r="AC11">
            <v>59.849999999999994</v>
          </cell>
          <cell r="AD11">
            <v>1.4406779661016778E-2</v>
          </cell>
          <cell r="AE11">
            <v>0</v>
          </cell>
          <cell r="AG11">
            <v>60.5</v>
          </cell>
          <cell r="AH11">
            <v>2.5423728813559254E-2</v>
          </cell>
          <cell r="AI11">
            <v>60</v>
          </cell>
          <cell r="AJ11">
            <v>1.6949152542372836E-2</v>
          </cell>
          <cell r="AK11">
            <v>0</v>
          </cell>
          <cell r="AM11">
            <v>0</v>
          </cell>
          <cell r="AQ11">
            <v>60.5</v>
          </cell>
          <cell r="AR11">
            <v>2.5423728813559254E-2</v>
          </cell>
          <cell r="AS11">
            <v>0</v>
          </cell>
          <cell r="AU11">
            <v>61</v>
          </cell>
          <cell r="AV11">
            <v>3.3898305084745672E-2</v>
          </cell>
          <cell r="AW11">
            <v>56.5</v>
          </cell>
          <cell r="AX11">
            <v>-4.2372881355932202E-2</v>
          </cell>
          <cell r="AY11">
            <v>54</v>
          </cell>
          <cell r="AZ11">
            <v>53</v>
          </cell>
        </row>
        <row r="12">
          <cell r="B12" t="str">
            <v>C2104J30</v>
          </cell>
          <cell r="C12">
            <v>77</v>
          </cell>
          <cell r="D12">
            <v>68</v>
          </cell>
          <cell r="E12">
            <v>74</v>
          </cell>
          <cell r="F12">
            <v>73</v>
          </cell>
          <cell r="G12">
            <v>73</v>
          </cell>
          <cell r="K12">
            <v>71</v>
          </cell>
          <cell r="L12">
            <v>67</v>
          </cell>
          <cell r="M12">
            <v>79</v>
          </cell>
          <cell r="N12">
            <v>6.7567567567567544E-2</v>
          </cell>
          <cell r="O12">
            <v>71.100000000000009</v>
          </cell>
          <cell r="P12">
            <v>-3.9189189189189122E-2</v>
          </cell>
          <cell r="Q12">
            <v>70.09345794392523</v>
          </cell>
          <cell r="R12">
            <v>5.5733333333333412E-2</v>
          </cell>
          <cell r="S12">
            <v>71</v>
          </cell>
          <cell r="T12">
            <v>-4.0540540540540571E-2</v>
          </cell>
          <cell r="U12">
            <v>0</v>
          </cell>
          <cell r="W12">
            <v>0</v>
          </cell>
          <cell r="Y12">
            <v>71.5</v>
          </cell>
          <cell r="Z12">
            <v>-3.3783783783783772E-2</v>
          </cell>
          <cell r="AA12">
            <v>0</v>
          </cell>
          <cell r="AC12">
            <v>73.149999999999991</v>
          </cell>
          <cell r="AD12">
            <v>-1.1486486486486647E-2</v>
          </cell>
          <cell r="AE12">
            <v>0</v>
          </cell>
          <cell r="AG12">
            <v>71.5</v>
          </cell>
          <cell r="AH12">
            <v>-3.3783783783783772E-2</v>
          </cell>
          <cell r="AI12">
            <v>72</v>
          </cell>
          <cell r="AJ12">
            <v>-2.7027027027026973E-2</v>
          </cell>
          <cell r="AK12">
            <v>0</v>
          </cell>
          <cell r="AM12">
            <v>72</v>
          </cell>
          <cell r="AN12">
            <v>-2.7027027027026973E-2</v>
          </cell>
          <cell r="AO12">
            <v>71.25</v>
          </cell>
          <cell r="AP12">
            <v>-3.7162162162162171E-2</v>
          </cell>
          <cell r="AQ12">
            <v>71.5</v>
          </cell>
          <cell r="AR12">
            <v>-3.3783783783783772E-2</v>
          </cell>
          <cell r="AS12">
            <v>0</v>
          </cell>
          <cell r="AU12">
            <v>72</v>
          </cell>
          <cell r="AV12">
            <v>-2.7027027027026973E-2</v>
          </cell>
          <cell r="AW12">
            <v>70</v>
          </cell>
          <cell r="AX12">
            <v>-5.4054054054054057E-2</v>
          </cell>
          <cell r="AY12">
            <v>64</v>
          </cell>
          <cell r="AZ12">
            <v>67</v>
          </cell>
        </row>
        <row r="13">
          <cell r="B13" t="str">
            <v>C2262J20</v>
          </cell>
          <cell r="C13">
            <v>64</v>
          </cell>
          <cell r="D13">
            <v>56</v>
          </cell>
          <cell r="E13">
            <v>62</v>
          </cell>
          <cell r="F13">
            <v>63</v>
          </cell>
          <cell r="H13">
            <v>63</v>
          </cell>
          <cell r="K13">
            <v>59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76</v>
          </cell>
          <cell r="AB13">
            <v>0.22580645161290325</v>
          </cell>
          <cell r="AC13">
            <v>76</v>
          </cell>
          <cell r="AD13">
            <v>0.22580645161290325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Y13">
            <v>62</v>
          </cell>
          <cell r="AZ13">
            <v>56</v>
          </cell>
        </row>
        <row r="14">
          <cell r="B14" t="str">
            <v>C2262J30</v>
          </cell>
          <cell r="C14">
            <v>77</v>
          </cell>
          <cell r="D14">
            <v>68</v>
          </cell>
          <cell r="E14">
            <v>74</v>
          </cell>
          <cell r="F14">
            <v>75</v>
          </cell>
          <cell r="H14">
            <v>75</v>
          </cell>
          <cell r="K14">
            <v>71</v>
          </cell>
          <cell r="O14">
            <v>0</v>
          </cell>
          <cell r="Q14">
            <v>89.247311827956992</v>
          </cell>
          <cell r="R14">
            <v>-0.17084337349397594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90.25</v>
          </cell>
          <cell r="AB14">
            <v>0.21959459459459452</v>
          </cell>
          <cell r="AC14">
            <v>92.149999999999991</v>
          </cell>
          <cell r="AD14">
            <v>0.24527027027027026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0</v>
          </cell>
          <cell r="AY14">
            <v>74</v>
          </cell>
          <cell r="AZ14">
            <v>68</v>
          </cell>
        </row>
        <row r="15">
          <cell r="B15" t="str">
            <v>C3105J20</v>
          </cell>
          <cell r="C15">
            <v>59</v>
          </cell>
          <cell r="D15">
            <v>51</v>
          </cell>
          <cell r="E15">
            <v>56</v>
          </cell>
          <cell r="F15">
            <v>62</v>
          </cell>
          <cell r="G15">
            <v>62</v>
          </cell>
          <cell r="K15">
            <v>54</v>
          </cell>
          <cell r="O15">
            <v>0</v>
          </cell>
          <cell r="Q15">
            <v>0</v>
          </cell>
          <cell r="S15">
            <v>0</v>
          </cell>
          <cell r="U15">
            <v>62</v>
          </cell>
          <cell r="V15">
            <v>0.10714285714285721</v>
          </cell>
          <cell r="W15">
            <v>0</v>
          </cell>
          <cell r="Y15">
            <v>0</v>
          </cell>
          <cell r="AA15">
            <v>0</v>
          </cell>
          <cell r="AC15">
            <v>63.65</v>
          </cell>
          <cell r="AD15">
            <v>0.13660714285714293</v>
          </cell>
          <cell r="AE15">
            <v>64</v>
          </cell>
          <cell r="AF15">
            <v>0.14285714285714279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  <cell r="AQ15">
            <v>0</v>
          </cell>
          <cell r="AS15">
            <v>0</v>
          </cell>
          <cell r="AU15">
            <v>0</v>
          </cell>
          <cell r="AY15">
            <v>59</v>
          </cell>
          <cell r="AZ15">
            <v>56</v>
          </cell>
        </row>
        <row r="16">
          <cell r="B16" t="str">
            <v>C3105J30</v>
          </cell>
          <cell r="C16">
            <v>74</v>
          </cell>
          <cell r="D16">
            <v>65</v>
          </cell>
          <cell r="E16">
            <v>71</v>
          </cell>
          <cell r="F16">
            <v>77</v>
          </cell>
          <cell r="G16">
            <v>77</v>
          </cell>
          <cell r="K16">
            <v>68</v>
          </cell>
          <cell r="O16">
            <v>0</v>
          </cell>
          <cell r="Q16">
            <v>70.33898305084746</v>
          </cell>
          <cell r="R16">
            <v>9.3975903614458289E-3</v>
          </cell>
          <cell r="S16">
            <v>0</v>
          </cell>
          <cell r="U16">
            <v>75</v>
          </cell>
          <cell r="V16">
            <v>5.6338028169014009E-2</v>
          </cell>
          <cell r="W16">
            <v>0</v>
          </cell>
          <cell r="Y16">
            <v>0</v>
          </cell>
          <cell r="AA16">
            <v>0</v>
          </cell>
          <cell r="AC16">
            <v>77.899999999999991</v>
          </cell>
          <cell r="AD16">
            <v>9.7183098591549166E-2</v>
          </cell>
          <cell r="AE16">
            <v>77</v>
          </cell>
          <cell r="AF16">
            <v>8.4507042253521236E-2</v>
          </cell>
          <cell r="AG16">
            <v>0</v>
          </cell>
          <cell r="AI16">
            <v>0</v>
          </cell>
          <cell r="AK16">
            <v>77</v>
          </cell>
          <cell r="AL16">
            <v>8.4507042253521236E-2</v>
          </cell>
          <cell r="AM16">
            <v>77</v>
          </cell>
          <cell r="AN16">
            <v>8.4507042253521236E-2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Y16">
            <v>72</v>
          </cell>
          <cell r="AZ16">
            <v>70</v>
          </cell>
        </row>
        <row r="17">
          <cell r="B17" t="str">
            <v>C3146J20</v>
          </cell>
          <cell r="C17">
            <v>58</v>
          </cell>
          <cell r="D17">
            <v>50</v>
          </cell>
          <cell r="E17">
            <v>55</v>
          </cell>
          <cell r="F17">
            <v>56</v>
          </cell>
          <cell r="G17">
            <v>56</v>
          </cell>
          <cell r="K17">
            <v>53</v>
          </cell>
          <cell r="O17">
            <v>0</v>
          </cell>
          <cell r="Q17">
            <v>53.174603174603178</v>
          </cell>
          <cell r="R17">
            <v>3.4328358208955079E-2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63.65</v>
          </cell>
          <cell r="AD17">
            <v>0.15727272727272723</v>
          </cell>
          <cell r="AE17">
            <v>64</v>
          </cell>
          <cell r="AF17">
            <v>0.16363636363636358</v>
          </cell>
          <cell r="AG17">
            <v>63</v>
          </cell>
          <cell r="AH17">
            <v>0.1454545454545455</v>
          </cell>
          <cell r="AI17">
            <v>0</v>
          </cell>
          <cell r="AK17">
            <v>0</v>
          </cell>
          <cell r="AM17">
            <v>0</v>
          </cell>
          <cell r="AO17">
            <v>0</v>
          </cell>
          <cell r="AQ17">
            <v>64</v>
          </cell>
          <cell r="AR17">
            <v>0.16363636363636358</v>
          </cell>
          <cell r="AS17">
            <v>64</v>
          </cell>
          <cell r="AT17">
            <v>0.16363636363636358</v>
          </cell>
          <cell r="AU17">
            <v>0</v>
          </cell>
          <cell r="AY17">
            <v>59</v>
          </cell>
          <cell r="AZ17">
            <v>50</v>
          </cell>
        </row>
        <row r="18">
          <cell r="B18" t="str">
            <v>C3146J30</v>
          </cell>
          <cell r="C18">
            <v>72</v>
          </cell>
          <cell r="D18">
            <v>64</v>
          </cell>
          <cell r="E18">
            <v>69</v>
          </cell>
          <cell r="F18">
            <v>70</v>
          </cell>
          <cell r="G18">
            <v>70</v>
          </cell>
          <cell r="K18">
            <v>67</v>
          </cell>
          <cell r="O18">
            <v>0</v>
          </cell>
          <cell r="Q18">
            <v>70.689655172413794</v>
          </cell>
          <cell r="R18">
            <v>-2.3902439024390265E-2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77.899999999999991</v>
          </cell>
          <cell r="AD18">
            <v>0.12898550724637659</v>
          </cell>
          <cell r="AE18">
            <v>77</v>
          </cell>
          <cell r="AF18">
            <v>0.11594202898550732</v>
          </cell>
          <cell r="AG18">
            <v>75</v>
          </cell>
          <cell r="AH18">
            <v>8.6956521739130377E-2</v>
          </cell>
          <cell r="AI18">
            <v>0</v>
          </cell>
          <cell r="AK18">
            <v>77</v>
          </cell>
          <cell r="AL18">
            <v>0.11594202898550732</v>
          </cell>
          <cell r="AM18">
            <v>0</v>
          </cell>
          <cell r="AO18">
            <v>0</v>
          </cell>
          <cell r="AQ18">
            <v>77</v>
          </cell>
          <cell r="AR18">
            <v>0.11594202898550732</v>
          </cell>
          <cell r="AS18">
            <v>77</v>
          </cell>
          <cell r="AT18">
            <v>0.11594202898550732</v>
          </cell>
          <cell r="AU18">
            <v>0</v>
          </cell>
          <cell r="AY18">
            <v>72</v>
          </cell>
          <cell r="AZ18">
            <v>64</v>
          </cell>
        </row>
        <row r="19">
          <cell r="B19" t="str">
            <v>C3269J20</v>
          </cell>
          <cell r="C19">
            <v>48</v>
          </cell>
          <cell r="D19">
            <v>42</v>
          </cell>
          <cell r="E19">
            <v>46</v>
          </cell>
          <cell r="F19">
            <v>46</v>
          </cell>
          <cell r="G19">
            <v>46</v>
          </cell>
          <cell r="K19">
            <v>44</v>
          </cell>
          <cell r="O19">
            <v>0</v>
          </cell>
          <cell r="Q19">
            <v>68.674698795180731</v>
          </cell>
          <cell r="R19">
            <v>-0.33017543859649134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E19">
            <v>66</v>
          </cell>
          <cell r="AF19">
            <v>0.43478260869565211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  <cell r="AQ19">
            <v>0</v>
          </cell>
          <cell r="AS19">
            <v>0</v>
          </cell>
          <cell r="AU19">
            <v>0</v>
          </cell>
          <cell r="AY19">
            <v>52</v>
          </cell>
          <cell r="AZ19">
            <v>42</v>
          </cell>
        </row>
        <row r="20">
          <cell r="B20" t="str">
            <v>C3269J30</v>
          </cell>
          <cell r="C20">
            <v>61</v>
          </cell>
          <cell r="D20">
            <v>54</v>
          </cell>
          <cell r="E20">
            <v>58</v>
          </cell>
          <cell r="F20">
            <v>58</v>
          </cell>
          <cell r="G20">
            <v>58</v>
          </cell>
          <cell r="K20">
            <v>56</v>
          </cell>
          <cell r="O20">
            <v>0</v>
          </cell>
          <cell r="Q20">
            <v>95.890410958904113</v>
          </cell>
          <cell r="R20">
            <v>-0.39514285714285713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E20">
            <v>91</v>
          </cell>
          <cell r="AF20">
            <v>0.56896551724137923</v>
          </cell>
          <cell r="AG20">
            <v>0</v>
          </cell>
          <cell r="AI20">
            <v>0</v>
          </cell>
          <cell r="AK20">
            <v>0</v>
          </cell>
          <cell r="AM20">
            <v>0</v>
          </cell>
          <cell r="AO20">
            <v>0</v>
          </cell>
          <cell r="AQ20">
            <v>0</v>
          </cell>
          <cell r="AS20">
            <v>0</v>
          </cell>
          <cell r="AU20">
            <v>0</v>
          </cell>
          <cell r="AY20">
            <v>64</v>
          </cell>
          <cell r="AZ20">
            <v>53</v>
          </cell>
        </row>
        <row r="21">
          <cell r="B21" t="str">
            <v>C3346J20</v>
          </cell>
          <cell r="C21">
            <v>69</v>
          </cell>
          <cell r="D21">
            <v>60</v>
          </cell>
          <cell r="E21">
            <v>66</v>
          </cell>
          <cell r="F21">
            <v>65</v>
          </cell>
          <cell r="J21">
            <v>65</v>
          </cell>
          <cell r="K21">
            <v>63</v>
          </cell>
          <cell r="O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59.849999999999994</v>
          </cell>
          <cell r="AD21">
            <v>-9.3181818181818254E-2</v>
          </cell>
          <cell r="AE21">
            <v>60</v>
          </cell>
          <cell r="AF21">
            <v>-9.0909090909090939E-2</v>
          </cell>
          <cell r="AG21">
            <v>63</v>
          </cell>
          <cell r="AH21">
            <v>-4.5454545454545414E-2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Y21">
            <v>60</v>
          </cell>
          <cell r="AZ21">
            <v>58</v>
          </cell>
        </row>
        <row r="22">
          <cell r="B22" t="str">
            <v>C3346J30</v>
          </cell>
          <cell r="C22">
            <v>84</v>
          </cell>
          <cell r="D22">
            <v>74</v>
          </cell>
          <cell r="E22">
            <v>81</v>
          </cell>
          <cell r="F22">
            <v>80</v>
          </cell>
          <cell r="J22">
            <v>80</v>
          </cell>
          <cell r="K22">
            <v>77</v>
          </cell>
          <cell r="O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77.899999999999991</v>
          </cell>
          <cell r="AD22">
            <v>-3.8271604938271753E-2</v>
          </cell>
          <cell r="AE22">
            <v>76</v>
          </cell>
          <cell r="AF22">
            <v>-6.1728395061728447E-2</v>
          </cell>
          <cell r="AG22">
            <v>78.5</v>
          </cell>
          <cell r="AH22">
            <v>-3.0864197530864224E-2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Y22">
            <v>75</v>
          </cell>
          <cell r="AZ22">
            <v>72</v>
          </cell>
        </row>
        <row r="23">
          <cell r="B23" t="str">
            <v>C3311J20</v>
          </cell>
          <cell r="C23">
            <v>58</v>
          </cell>
          <cell r="D23">
            <v>51</v>
          </cell>
          <cell r="E23">
            <v>55</v>
          </cell>
          <cell r="F23">
            <v>59</v>
          </cell>
          <cell r="J23">
            <v>59</v>
          </cell>
          <cell r="K23">
            <v>53</v>
          </cell>
          <cell r="O23">
            <v>0</v>
          </cell>
          <cell r="Q23">
            <v>56.20437956204379</v>
          </cell>
          <cell r="R23">
            <v>-2.1428571428571352E-2</v>
          </cell>
          <cell r="S23">
            <v>68</v>
          </cell>
          <cell r="T23">
            <v>0.23636363636363633</v>
          </cell>
          <cell r="U23">
            <v>65</v>
          </cell>
          <cell r="V23">
            <v>0.18181818181818188</v>
          </cell>
          <cell r="W23">
            <v>0</v>
          </cell>
          <cell r="Y23">
            <v>67</v>
          </cell>
          <cell r="Z23">
            <v>0.21818181818181825</v>
          </cell>
          <cell r="AA23">
            <v>0</v>
          </cell>
          <cell r="AC23">
            <v>66.5</v>
          </cell>
          <cell r="AD23">
            <v>0.20909090909090899</v>
          </cell>
          <cell r="AE23">
            <v>67</v>
          </cell>
          <cell r="AF23">
            <v>0.21818181818181825</v>
          </cell>
          <cell r="AG23">
            <v>67.5</v>
          </cell>
          <cell r="AH23">
            <v>0.22727272727272729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  <cell r="AQ23">
            <v>68</v>
          </cell>
          <cell r="AR23">
            <v>0.23636363636363633</v>
          </cell>
          <cell r="AS23">
            <v>0</v>
          </cell>
          <cell r="AU23">
            <v>0</v>
          </cell>
          <cell r="AY23">
            <v>60</v>
          </cell>
          <cell r="AZ23">
            <v>53</v>
          </cell>
        </row>
        <row r="24">
          <cell r="B24" t="str">
            <v>C3311J30</v>
          </cell>
          <cell r="C24">
            <v>73</v>
          </cell>
          <cell r="D24">
            <v>64</v>
          </cell>
          <cell r="E24">
            <v>70</v>
          </cell>
          <cell r="F24">
            <v>73</v>
          </cell>
          <cell r="J24">
            <v>73</v>
          </cell>
          <cell r="K24">
            <v>67</v>
          </cell>
          <cell r="O24">
            <v>0</v>
          </cell>
          <cell r="Q24">
            <v>72.65625</v>
          </cell>
          <cell r="R24">
            <v>-3.6559139784946182E-2</v>
          </cell>
          <cell r="S24">
            <v>83</v>
          </cell>
          <cell r="T24">
            <v>0.18571428571428572</v>
          </cell>
          <cell r="U24">
            <v>80.5</v>
          </cell>
          <cell r="V24">
            <v>0.14999999999999991</v>
          </cell>
          <cell r="W24">
            <v>0</v>
          </cell>
          <cell r="Y24">
            <v>83.5</v>
          </cell>
          <cell r="Z24">
            <v>0.19285714285714284</v>
          </cell>
          <cell r="AA24">
            <v>0</v>
          </cell>
          <cell r="AB24">
            <v>0.15062365591397842</v>
          </cell>
          <cell r="AC24">
            <v>83.6</v>
          </cell>
          <cell r="AD24">
            <v>0.19428571428571417</v>
          </cell>
          <cell r="AE24">
            <v>83</v>
          </cell>
          <cell r="AF24">
            <v>0.18571428571428572</v>
          </cell>
          <cell r="AG24">
            <v>83.5</v>
          </cell>
          <cell r="AH24">
            <v>0.19285714285714284</v>
          </cell>
          <cell r="AI24">
            <v>0</v>
          </cell>
          <cell r="AK24">
            <v>0</v>
          </cell>
          <cell r="AM24">
            <v>0</v>
          </cell>
          <cell r="AO24">
            <v>0</v>
          </cell>
          <cell r="AQ24">
            <v>83.5</v>
          </cell>
          <cell r="AR24">
            <v>0.19285714285714284</v>
          </cell>
          <cell r="AS24">
            <v>0</v>
          </cell>
          <cell r="AU24">
            <v>0</v>
          </cell>
          <cell r="AY24">
            <v>74</v>
          </cell>
          <cell r="AZ24">
            <v>66</v>
          </cell>
        </row>
        <row r="25">
          <cell r="B25" t="str">
            <v>C4111J20</v>
          </cell>
          <cell r="C25">
            <v>76</v>
          </cell>
          <cell r="D25">
            <v>67</v>
          </cell>
          <cell r="E25">
            <v>73</v>
          </cell>
          <cell r="F25">
            <v>78</v>
          </cell>
          <cell r="H25">
            <v>78</v>
          </cell>
          <cell r="K25">
            <v>70</v>
          </cell>
          <cell r="O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86</v>
          </cell>
          <cell r="AF25">
            <v>0.17808219178082196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Y25">
            <v>70</v>
          </cell>
          <cell r="AZ25">
            <v>70</v>
          </cell>
        </row>
        <row r="26">
          <cell r="B26" t="str">
            <v>C4111J30</v>
          </cell>
          <cell r="C26">
            <v>92</v>
          </cell>
          <cell r="D26">
            <v>81</v>
          </cell>
          <cell r="E26">
            <v>89</v>
          </cell>
          <cell r="F26">
            <v>94</v>
          </cell>
          <cell r="H26">
            <v>94</v>
          </cell>
          <cell r="K26">
            <v>85</v>
          </cell>
          <cell r="O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100</v>
          </cell>
          <cell r="AF26">
            <v>0.12359550561797761</v>
          </cell>
          <cell r="AG26">
            <v>0</v>
          </cell>
          <cell r="AI26">
            <v>0</v>
          </cell>
          <cell r="AK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Y26">
            <v>85</v>
          </cell>
          <cell r="AZ26">
            <v>85</v>
          </cell>
        </row>
        <row r="27">
          <cell r="B27" t="str">
            <v>C4143J20</v>
          </cell>
          <cell r="C27">
            <v>59</v>
          </cell>
          <cell r="D27">
            <v>52</v>
          </cell>
          <cell r="E27">
            <v>57</v>
          </cell>
          <cell r="F27">
            <v>57</v>
          </cell>
          <cell r="G27">
            <v>57</v>
          </cell>
          <cell r="K27">
            <v>57</v>
          </cell>
          <cell r="O27">
            <v>0</v>
          </cell>
          <cell r="Q27">
            <v>55.639097744360896</v>
          </cell>
          <cell r="R27">
            <v>2.4459459459459598E-2</v>
          </cell>
          <cell r="S27">
            <v>0</v>
          </cell>
          <cell r="U27">
            <v>0</v>
          </cell>
          <cell r="W27">
            <v>67</v>
          </cell>
          <cell r="X27">
            <v>0.17543859649122817</v>
          </cell>
          <cell r="Y27">
            <v>67</v>
          </cell>
          <cell r="Z27">
            <v>0.17543859649122817</v>
          </cell>
          <cell r="AA27">
            <v>66.5</v>
          </cell>
          <cell r="AB27">
            <v>0.16666666666666674</v>
          </cell>
          <cell r="AC27">
            <v>0</v>
          </cell>
          <cell r="AE27">
            <v>67</v>
          </cell>
          <cell r="AF27">
            <v>0.17543859649122817</v>
          </cell>
          <cell r="AG27">
            <v>67.5</v>
          </cell>
          <cell r="AH27">
            <v>0.18421052631578938</v>
          </cell>
          <cell r="AI27">
            <v>67</v>
          </cell>
          <cell r="AJ27">
            <v>0.17543859649122817</v>
          </cell>
          <cell r="AK27">
            <v>0</v>
          </cell>
          <cell r="AM27">
            <v>0</v>
          </cell>
          <cell r="AO27">
            <v>0</v>
          </cell>
          <cell r="AQ27">
            <v>69</v>
          </cell>
          <cell r="AR27">
            <v>0.21052631578947367</v>
          </cell>
          <cell r="AS27">
            <v>67</v>
          </cell>
          <cell r="AT27">
            <v>0.17543859649122817</v>
          </cell>
          <cell r="AU27">
            <v>0</v>
          </cell>
          <cell r="AW27">
            <v>58</v>
          </cell>
          <cell r="AX27">
            <v>1.7543859649122862E-2</v>
          </cell>
          <cell r="AY27">
            <v>60</v>
          </cell>
          <cell r="AZ27">
            <v>51</v>
          </cell>
        </row>
        <row r="28">
          <cell r="B28" t="str">
            <v>C4143J30</v>
          </cell>
          <cell r="C28">
            <v>75</v>
          </cell>
          <cell r="D28">
            <v>66</v>
          </cell>
          <cell r="E28">
            <v>72</v>
          </cell>
          <cell r="F28">
            <v>72</v>
          </cell>
          <cell r="G28">
            <v>72</v>
          </cell>
          <cell r="K28">
            <v>69</v>
          </cell>
          <cell r="L28">
            <v>71.58</v>
          </cell>
          <cell r="O28">
            <v>0</v>
          </cell>
          <cell r="Q28">
            <v>76.859504132231407</v>
          </cell>
          <cell r="R28">
            <v>-6.3225806451612909E-2</v>
          </cell>
          <cell r="S28">
            <v>0</v>
          </cell>
          <cell r="U28">
            <v>0</v>
          </cell>
          <cell r="W28">
            <v>86</v>
          </cell>
          <cell r="X28">
            <v>0.19444444444444442</v>
          </cell>
          <cell r="Y28">
            <v>86.5</v>
          </cell>
          <cell r="Z28">
            <v>0.20138888888888884</v>
          </cell>
          <cell r="AA28">
            <v>85.5</v>
          </cell>
          <cell r="AB28">
            <v>0.1875</v>
          </cell>
          <cell r="AC28">
            <v>0</v>
          </cell>
          <cell r="AE28">
            <v>86</v>
          </cell>
          <cell r="AF28">
            <v>0.19444444444444442</v>
          </cell>
          <cell r="AG28">
            <v>86.5</v>
          </cell>
          <cell r="AH28">
            <v>0.20138888888888884</v>
          </cell>
          <cell r="AI28">
            <v>86</v>
          </cell>
          <cell r="AJ28">
            <v>0.19444444444444442</v>
          </cell>
          <cell r="AK28">
            <v>0</v>
          </cell>
          <cell r="AM28">
            <v>86</v>
          </cell>
          <cell r="AN28">
            <v>0.19444444444444442</v>
          </cell>
          <cell r="AO28">
            <v>0</v>
          </cell>
          <cell r="AQ28">
            <v>86.5</v>
          </cell>
          <cell r="AR28">
            <v>0.20138888888888884</v>
          </cell>
          <cell r="AS28">
            <v>86</v>
          </cell>
          <cell r="AT28">
            <v>0.19444444444444442</v>
          </cell>
          <cell r="AU28">
            <v>0</v>
          </cell>
          <cell r="AW28">
            <v>72.5</v>
          </cell>
          <cell r="AX28">
            <v>6.9444444444444198E-3</v>
          </cell>
          <cell r="AY28">
            <v>77</v>
          </cell>
          <cell r="AZ28">
            <v>65</v>
          </cell>
        </row>
        <row r="29">
          <cell r="B29" t="str">
            <v>C4145J20</v>
          </cell>
          <cell r="C29">
            <v>63</v>
          </cell>
          <cell r="D29">
            <v>55</v>
          </cell>
          <cell r="E29">
            <v>60</v>
          </cell>
          <cell r="F29">
            <v>60</v>
          </cell>
          <cell r="G29">
            <v>60</v>
          </cell>
          <cell r="K29">
            <v>57</v>
          </cell>
          <cell r="O29">
            <v>0</v>
          </cell>
          <cell r="Q29">
            <v>55.639097744360896</v>
          </cell>
          <cell r="R29">
            <v>7.8378378378378466E-2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66.5</v>
          </cell>
          <cell r="AD29">
            <v>0.10833333333333339</v>
          </cell>
          <cell r="AE29">
            <v>67</v>
          </cell>
          <cell r="AF29">
            <v>0.1166666666666667</v>
          </cell>
          <cell r="AG29">
            <v>67.5</v>
          </cell>
          <cell r="AH29">
            <v>0.125</v>
          </cell>
          <cell r="AI29">
            <v>67</v>
          </cell>
          <cell r="AJ29">
            <v>0.1166666666666667</v>
          </cell>
          <cell r="AK29">
            <v>0</v>
          </cell>
          <cell r="AM29">
            <v>0</v>
          </cell>
          <cell r="AQ29">
            <v>69</v>
          </cell>
          <cell r="AR29">
            <v>0.14999999999999991</v>
          </cell>
          <cell r="AS29">
            <v>66.5</v>
          </cell>
          <cell r="AT29">
            <v>0.10833333333333339</v>
          </cell>
          <cell r="AU29">
            <v>0</v>
          </cell>
          <cell r="AY29">
            <v>64</v>
          </cell>
          <cell r="AZ29">
            <v>54</v>
          </cell>
        </row>
        <row r="30">
          <cell r="B30" t="str">
            <v>C4145J30</v>
          </cell>
          <cell r="C30">
            <v>78</v>
          </cell>
          <cell r="D30">
            <v>69</v>
          </cell>
          <cell r="E30">
            <v>75</v>
          </cell>
          <cell r="F30">
            <v>75</v>
          </cell>
          <cell r="G30">
            <v>75</v>
          </cell>
          <cell r="K30">
            <v>72</v>
          </cell>
          <cell r="O30">
            <v>0</v>
          </cell>
          <cell r="Q30">
            <v>76.229508196721312</v>
          </cell>
          <cell r="R30">
            <v>-1.6129032258064502E-2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87.399999999999991</v>
          </cell>
          <cell r="AD30">
            <v>0.16533333333333311</v>
          </cell>
          <cell r="AE30">
            <v>86</v>
          </cell>
          <cell r="AF30">
            <v>0.14666666666666672</v>
          </cell>
          <cell r="AG30">
            <v>86.5</v>
          </cell>
          <cell r="AH30">
            <v>0.15333333333333332</v>
          </cell>
          <cell r="AI30">
            <v>86</v>
          </cell>
          <cell r="AJ30">
            <v>0.14666666666666672</v>
          </cell>
          <cell r="AK30">
            <v>0</v>
          </cell>
          <cell r="AM30">
            <v>0</v>
          </cell>
          <cell r="AO30">
            <v>85.5</v>
          </cell>
          <cell r="AP30">
            <v>0.1399999999999999</v>
          </cell>
          <cell r="AQ30">
            <v>86.5</v>
          </cell>
          <cell r="AR30">
            <v>0.15333333333333332</v>
          </cell>
          <cell r="AS30">
            <v>85.5</v>
          </cell>
          <cell r="AT30">
            <v>0.1399999999999999</v>
          </cell>
          <cell r="AU30">
            <v>0</v>
          </cell>
          <cell r="AY30">
            <v>77</v>
          </cell>
          <cell r="AZ30">
            <v>68</v>
          </cell>
        </row>
        <row r="31">
          <cell r="B31" t="str">
            <v>C4147J20</v>
          </cell>
          <cell r="C31">
            <v>75</v>
          </cell>
          <cell r="D31">
            <v>65</v>
          </cell>
          <cell r="E31">
            <v>72</v>
          </cell>
          <cell r="F31">
            <v>70</v>
          </cell>
          <cell r="I31">
            <v>70</v>
          </cell>
          <cell r="K31">
            <v>69</v>
          </cell>
          <cell r="O31">
            <v>0</v>
          </cell>
          <cell r="S31">
            <v>0</v>
          </cell>
          <cell r="U31">
            <v>0</v>
          </cell>
          <cell r="W31">
            <v>73</v>
          </cell>
          <cell r="X31">
            <v>1.388888888888884E-2</v>
          </cell>
          <cell r="Y31">
            <v>0</v>
          </cell>
          <cell r="AA31">
            <v>0</v>
          </cell>
          <cell r="AC31">
            <v>0</v>
          </cell>
          <cell r="AE31">
            <v>74</v>
          </cell>
          <cell r="AF31">
            <v>2.7777777777777679E-2</v>
          </cell>
          <cell r="AG31">
            <v>0</v>
          </cell>
          <cell r="AI31">
            <v>0</v>
          </cell>
          <cell r="AK31">
            <v>0</v>
          </cell>
          <cell r="AM31">
            <v>0</v>
          </cell>
          <cell r="AO31">
            <v>0</v>
          </cell>
          <cell r="AQ31">
            <v>0</v>
          </cell>
          <cell r="AS31">
            <v>0</v>
          </cell>
          <cell r="AU31">
            <v>0</v>
          </cell>
          <cell r="AY31">
            <v>66</v>
          </cell>
          <cell r="AZ31">
            <v>63</v>
          </cell>
        </row>
        <row r="32">
          <cell r="B32" t="str">
            <v>C4147J30</v>
          </cell>
          <cell r="C32">
            <v>91</v>
          </cell>
          <cell r="D32">
            <v>80</v>
          </cell>
          <cell r="E32">
            <v>88</v>
          </cell>
          <cell r="F32">
            <v>87</v>
          </cell>
          <cell r="I32">
            <v>87</v>
          </cell>
          <cell r="K32">
            <v>84</v>
          </cell>
          <cell r="O32">
            <v>0</v>
          </cell>
          <cell r="S32">
            <v>0</v>
          </cell>
          <cell r="U32">
            <v>0</v>
          </cell>
          <cell r="W32">
            <v>92</v>
          </cell>
          <cell r="X32">
            <v>4.5454545454545414E-2</v>
          </cell>
          <cell r="Y32">
            <v>0</v>
          </cell>
          <cell r="AA32">
            <v>0</v>
          </cell>
          <cell r="AC32">
            <v>0</v>
          </cell>
          <cell r="AE32">
            <v>94</v>
          </cell>
          <cell r="AF32">
            <v>6.8181818181818121E-2</v>
          </cell>
          <cell r="AG32">
            <v>0</v>
          </cell>
          <cell r="AI32">
            <v>0</v>
          </cell>
          <cell r="AK32">
            <v>0</v>
          </cell>
          <cell r="AM32">
            <v>0</v>
          </cell>
          <cell r="AO32">
            <v>0</v>
          </cell>
          <cell r="AQ32">
            <v>0</v>
          </cell>
          <cell r="AS32">
            <v>0</v>
          </cell>
          <cell r="AU32">
            <v>0</v>
          </cell>
          <cell r="AY32">
            <v>85</v>
          </cell>
          <cell r="AZ32">
            <v>78</v>
          </cell>
        </row>
        <row r="33">
          <cell r="B33" t="str">
            <v>C4149J20</v>
          </cell>
          <cell r="C33">
            <v>86</v>
          </cell>
          <cell r="D33">
            <v>73</v>
          </cell>
          <cell r="E33">
            <v>80</v>
          </cell>
          <cell r="F33">
            <v>85</v>
          </cell>
          <cell r="H33">
            <v>85</v>
          </cell>
          <cell r="K33">
            <v>77</v>
          </cell>
          <cell r="O33">
            <v>0</v>
          </cell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86</v>
          </cell>
          <cell r="AF33">
            <v>7.4999999999999956E-2</v>
          </cell>
          <cell r="AG33">
            <v>0</v>
          </cell>
          <cell r="AI33">
            <v>0</v>
          </cell>
          <cell r="AK33">
            <v>0</v>
          </cell>
          <cell r="AM33">
            <v>0</v>
          </cell>
          <cell r="AO33">
            <v>0</v>
          </cell>
          <cell r="AQ33">
            <v>0</v>
          </cell>
          <cell r="AS33">
            <v>0</v>
          </cell>
          <cell r="AU33">
            <v>0</v>
          </cell>
          <cell r="AY33">
            <v>79</v>
          </cell>
          <cell r="AZ33">
            <v>77</v>
          </cell>
        </row>
        <row r="34">
          <cell r="B34" t="str">
            <v>C4149J30</v>
          </cell>
          <cell r="C34">
            <v>101</v>
          </cell>
          <cell r="D34">
            <v>87</v>
          </cell>
          <cell r="E34">
            <v>95</v>
          </cell>
          <cell r="F34">
            <v>100</v>
          </cell>
          <cell r="H34">
            <v>100</v>
          </cell>
          <cell r="K34">
            <v>91</v>
          </cell>
          <cell r="O34">
            <v>0</v>
          </cell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100</v>
          </cell>
          <cell r="AF34">
            <v>5.2631578947368363E-2</v>
          </cell>
          <cell r="AG34">
            <v>0</v>
          </cell>
          <cell r="AI34">
            <v>0</v>
          </cell>
          <cell r="AK34">
            <v>0</v>
          </cell>
          <cell r="AM34">
            <v>0</v>
          </cell>
          <cell r="AO34">
            <v>0</v>
          </cell>
          <cell r="AQ34">
            <v>0</v>
          </cell>
          <cell r="AS34">
            <v>0</v>
          </cell>
          <cell r="AU34">
            <v>0</v>
          </cell>
          <cell r="AY34">
            <v>93</v>
          </cell>
          <cell r="AZ34">
            <v>91</v>
          </cell>
        </row>
        <row r="35">
          <cell r="B35" t="str">
            <v>C4202J20</v>
          </cell>
          <cell r="C35">
            <v>67</v>
          </cell>
          <cell r="D35">
            <v>58</v>
          </cell>
          <cell r="E35">
            <v>64</v>
          </cell>
          <cell r="F35">
            <v>62</v>
          </cell>
          <cell r="J35">
            <v>62</v>
          </cell>
          <cell r="K35">
            <v>61</v>
          </cell>
          <cell r="O35">
            <v>0</v>
          </cell>
          <cell r="Q35">
            <v>65.972222222222229</v>
          </cell>
          <cell r="R35">
            <v>-2.9894736842105307E-2</v>
          </cell>
          <cell r="S35">
            <v>0</v>
          </cell>
          <cell r="U35">
            <v>71.5</v>
          </cell>
          <cell r="V35">
            <v>0.1171875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74</v>
          </cell>
          <cell r="AF35">
            <v>0.15625</v>
          </cell>
          <cell r="AG35">
            <v>74.5</v>
          </cell>
          <cell r="AH35">
            <v>0.1640625</v>
          </cell>
          <cell r="AI35">
            <v>0</v>
          </cell>
          <cell r="AK35">
            <v>0</v>
          </cell>
          <cell r="AM35">
            <v>0</v>
          </cell>
          <cell r="AQ35">
            <v>74.5</v>
          </cell>
          <cell r="AR35">
            <v>0.1640625</v>
          </cell>
          <cell r="AS35">
            <v>0</v>
          </cell>
          <cell r="AU35">
            <v>0</v>
          </cell>
          <cell r="AY35">
            <v>66</v>
          </cell>
          <cell r="AZ35">
            <v>55</v>
          </cell>
        </row>
        <row r="36">
          <cell r="B36" t="str">
            <v>C4202J30</v>
          </cell>
          <cell r="C36">
            <v>82</v>
          </cell>
          <cell r="D36">
            <v>72</v>
          </cell>
          <cell r="E36">
            <v>78</v>
          </cell>
          <cell r="F36">
            <v>77</v>
          </cell>
          <cell r="J36">
            <v>77</v>
          </cell>
          <cell r="K36">
            <v>75</v>
          </cell>
          <cell r="L36">
            <v>76.95</v>
          </cell>
          <cell r="O36">
            <v>0</v>
          </cell>
          <cell r="Q36">
            <v>85.9375</v>
          </cell>
          <cell r="R36">
            <v>-9.2363636363636314E-2</v>
          </cell>
          <cell r="S36">
            <v>0</v>
          </cell>
          <cell r="U36">
            <v>83.5</v>
          </cell>
          <cell r="V36">
            <v>7.0512820512820484E-2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88</v>
          </cell>
          <cell r="AF36">
            <v>0.12820512820512819</v>
          </cell>
          <cell r="AG36">
            <v>88</v>
          </cell>
          <cell r="AH36">
            <v>0.12820512820512819</v>
          </cell>
          <cell r="AI36">
            <v>0</v>
          </cell>
          <cell r="AK36">
            <v>86.5</v>
          </cell>
          <cell r="AL36">
            <v>0.10897435897435903</v>
          </cell>
          <cell r="AM36">
            <v>0</v>
          </cell>
          <cell r="AO36">
            <v>86.45</v>
          </cell>
          <cell r="AP36">
            <v>0.10833333333333339</v>
          </cell>
          <cell r="AQ36">
            <v>94</v>
          </cell>
          <cell r="AR36">
            <v>0.20512820512820507</v>
          </cell>
          <cell r="AS36">
            <v>0</v>
          </cell>
          <cell r="AU36">
            <v>0</v>
          </cell>
          <cell r="AY36">
            <v>85</v>
          </cell>
          <cell r="AZ36">
            <v>69</v>
          </cell>
        </row>
        <row r="37">
          <cell r="B37" t="str">
            <v>C4204J20</v>
          </cell>
          <cell r="C37">
            <v>64</v>
          </cell>
          <cell r="D37">
            <v>56</v>
          </cell>
          <cell r="E37">
            <v>61</v>
          </cell>
          <cell r="F37">
            <v>62</v>
          </cell>
          <cell r="J37">
            <v>62</v>
          </cell>
          <cell r="K37">
            <v>59</v>
          </cell>
          <cell r="O37">
            <v>0</v>
          </cell>
          <cell r="Q37">
            <v>65.972222222222229</v>
          </cell>
          <cell r="R37">
            <v>-7.536842105263164E-2</v>
          </cell>
          <cell r="S37">
            <v>74.5</v>
          </cell>
          <cell r="T37">
            <v>0.22131147540983598</v>
          </cell>
          <cell r="U37">
            <v>0</v>
          </cell>
          <cell r="W37">
            <v>74</v>
          </cell>
          <cell r="X37">
            <v>0.21311475409836067</v>
          </cell>
          <cell r="Y37">
            <v>0</v>
          </cell>
          <cell r="AA37">
            <v>74.099999999999994</v>
          </cell>
          <cell r="AB37">
            <v>0.21475409836065573</v>
          </cell>
          <cell r="AC37">
            <v>74.099999999999994</v>
          </cell>
          <cell r="AD37">
            <v>0.21475409836065573</v>
          </cell>
          <cell r="AE37">
            <v>0</v>
          </cell>
          <cell r="AG37">
            <v>74.5</v>
          </cell>
          <cell r="AH37">
            <v>0.22131147540983598</v>
          </cell>
          <cell r="AI37">
            <v>0</v>
          </cell>
          <cell r="AK37">
            <v>0</v>
          </cell>
          <cell r="AM37">
            <v>0</v>
          </cell>
          <cell r="AO37">
            <v>0</v>
          </cell>
          <cell r="AQ37">
            <v>74.5</v>
          </cell>
          <cell r="AR37">
            <v>0.22131147540983598</v>
          </cell>
          <cell r="AS37">
            <v>0</v>
          </cell>
          <cell r="AU37">
            <v>0</v>
          </cell>
          <cell r="AY37">
            <v>66</v>
          </cell>
          <cell r="AZ37">
            <v>57</v>
          </cell>
        </row>
        <row r="38">
          <cell r="B38" t="str">
            <v>C4204J30</v>
          </cell>
          <cell r="C38">
            <v>79</v>
          </cell>
          <cell r="D38">
            <v>70</v>
          </cell>
          <cell r="E38">
            <v>76</v>
          </cell>
          <cell r="F38">
            <v>77</v>
          </cell>
          <cell r="J38">
            <v>77</v>
          </cell>
          <cell r="K38">
            <v>73</v>
          </cell>
          <cell r="O38">
            <v>0</v>
          </cell>
          <cell r="Q38">
            <v>83.333333333333329</v>
          </cell>
          <cell r="R38">
            <v>-8.7999999999999967E-2</v>
          </cell>
          <cell r="S38">
            <v>88</v>
          </cell>
          <cell r="T38">
            <v>0.15789473684210531</v>
          </cell>
          <cell r="U38">
            <v>0</v>
          </cell>
          <cell r="W38">
            <v>86</v>
          </cell>
          <cell r="X38">
            <v>0.13157894736842102</v>
          </cell>
          <cell r="Y38">
            <v>0</v>
          </cell>
          <cell r="AA38">
            <v>88.35</v>
          </cell>
          <cell r="AB38">
            <v>0.16249999999999987</v>
          </cell>
          <cell r="AC38">
            <v>86.45</v>
          </cell>
          <cell r="AD38">
            <v>0.13749999999999996</v>
          </cell>
          <cell r="AE38">
            <v>0</v>
          </cell>
          <cell r="AG38">
            <v>88</v>
          </cell>
          <cell r="AH38">
            <v>0.15789473684210531</v>
          </cell>
          <cell r="AI38">
            <v>0</v>
          </cell>
          <cell r="AK38">
            <v>0</v>
          </cell>
          <cell r="AM38">
            <v>0</v>
          </cell>
          <cell r="AO38">
            <v>0</v>
          </cell>
          <cell r="AQ38">
            <v>94</v>
          </cell>
          <cell r="AR38">
            <v>0.23684210526315796</v>
          </cell>
          <cell r="AS38">
            <v>0</v>
          </cell>
          <cell r="AU38">
            <v>0</v>
          </cell>
          <cell r="AY38">
            <v>85</v>
          </cell>
          <cell r="AZ38">
            <v>70</v>
          </cell>
        </row>
        <row r="39">
          <cell r="B39" t="str">
            <v>C4211J20</v>
          </cell>
          <cell r="C39">
            <v>59</v>
          </cell>
          <cell r="D39">
            <v>52</v>
          </cell>
          <cell r="E39">
            <v>57</v>
          </cell>
          <cell r="F39">
            <v>59</v>
          </cell>
          <cell r="J39">
            <v>59</v>
          </cell>
          <cell r="K39">
            <v>54</v>
          </cell>
          <cell r="O39">
            <v>0</v>
          </cell>
          <cell r="Q39">
            <v>0</v>
          </cell>
          <cell r="S39">
            <v>74</v>
          </cell>
          <cell r="T39">
            <v>0.29824561403508776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74</v>
          </cell>
          <cell r="AF39">
            <v>0.29824561403508776</v>
          </cell>
          <cell r="AG39">
            <v>74.5</v>
          </cell>
          <cell r="AH39">
            <v>0.30701754385964919</v>
          </cell>
          <cell r="AI39">
            <v>75</v>
          </cell>
          <cell r="AJ39">
            <v>0.31578947368421062</v>
          </cell>
          <cell r="AK39">
            <v>0</v>
          </cell>
          <cell r="AM39">
            <v>0</v>
          </cell>
          <cell r="AO39">
            <v>0</v>
          </cell>
          <cell r="AQ39">
            <v>0</v>
          </cell>
          <cell r="AS39">
            <v>0</v>
          </cell>
          <cell r="AU39">
            <v>0</v>
          </cell>
          <cell r="AY39">
            <v>66</v>
          </cell>
          <cell r="AZ39">
            <v>53</v>
          </cell>
        </row>
        <row r="40">
          <cell r="B40" t="str">
            <v>C4211J30</v>
          </cell>
          <cell r="C40">
            <v>74</v>
          </cell>
          <cell r="D40">
            <v>65</v>
          </cell>
          <cell r="E40">
            <v>71</v>
          </cell>
          <cell r="F40">
            <v>74</v>
          </cell>
          <cell r="J40">
            <v>74</v>
          </cell>
          <cell r="K40">
            <v>68</v>
          </cell>
          <cell r="O40">
            <v>0</v>
          </cell>
          <cell r="Q40">
            <v>77.443609022556387</v>
          </cell>
          <cell r="R40">
            <v>-8.3203883495145625E-2</v>
          </cell>
          <cell r="S40">
            <v>87</v>
          </cell>
          <cell r="T40">
            <v>0.22535211267605626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95</v>
          </cell>
          <cell r="AF40">
            <v>0.3380281690140845</v>
          </cell>
          <cell r="AG40">
            <v>88</v>
          </cell>
          <cell r="AH40">
            <v>0.23943661971830976</v>
          </cell>
          <cell r="AI40">
            <v>86</v>
          </cell>
          <cell r="AJ40">
            <v>0.21126760563380276</v>
          </cell>
          <cell r="AK40">
            <v>0</v>
          </cell>
          <cell r="AM40">
            <v>0</v>
          </cell>
          <cell r="AO40">
            <v>0</v>
          </cell>
          <cell r="AQ40">
            <v>0</v>
          </cell>
          <cell r="AS40">
            <v>0</v>
          </cell>
          <cell r="AU40">
            <v>0</v>
          </cell>
          <cell r="AY40">
            <v>85</v>
          </cell>
          <cell r="AZ40">
            <v>66</v>
          </cell>
        </row>
        <row r="41">
          <cell r="B41" t="str">
            <v>C4221J20</v>
          </cell>
          <cell r="C41">
            <v>72</v>
          </cell>
          <cell r="D41">
            <v>63</v>
          </cell>
          <cell r="E41">
            <v>69</v>
          </cell>
          <cell r="F41">
            <v>68</v>
          </cell>
          <cell r="J41">
            <v>68</v>
          </cell>
          <cell r="K41">
            <v>66</v>
          </cell>
          <cell r="O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74</v>
          </cell>
          <cell r="AF41">
            <v>7.2463768115942129E-2</v>
          </cell>
          <cell r="AG41">
            <v>74.5</v>
          </cell>
          <cell r="AH41">
            <v>7.9710144927536142E-2</v>
          </cell>
          <cell r="AI41">
            <v>0</v>
          </cell>
          <cell r="AK41">
            <v>0</v>
          </cell>
          <cell r="AM41">
            <v>0</v>
          </cell>
          <cell r="AO41">
            <v>0</v>
          </cell>
          <cell r="AQ41">
            <v>0</v>
          </cell>
          <cell r="AS41">
            <v>0</v>
          </cell>
          <cell r="AU41">
            <v>0</v>
          </cell>
          <cell r="AY41">
            <v>66</v>
          </cell>
          <cell r="AZ41">
            <v>62</v>
          </cell>
        </row>
        <row r="42">
          <cell r="B42" t="str">
            <v>C4221J30</v>
          </cell>
          <cell r="C42">
            <v>89</v>
          </cell>
          <cell r="D42">
            <v>78</v>
          </cell>
          <cell r="E42">
            <v>85</v>
          </cell>
          <cell r="F42">
            <v>84</v>
          </cell>
          <cell r="J42">
            <v>84</v>
          </cell>
          <cell r="K42">
            <v>81</v>
          </cell>
          <cell r="O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93</v>
          </cell>
          <cell r="AF42">
            <v>9.4117647058823639E-2</v>
          </cell>
          <cell r="AG42">
            <v>93.5</v>
          </cell>
          <cell r="AH42">
            <v>0.10000000000000009</v>
          </cell>
          <cell r="AI42">
            <v>0</v>
          </cell>
          <cell r="AK42">
            <v>0</v>
          </cell>
          <cell r="AM42">
            <v>0</v>
          </cell>
          <cell r="AO42">
            <v>0</v>
          </cell>
          <cell r="AQ42">
            <v>0</v>
          </cell>
          <cell r="AS42">
            <v>0</v>
          </cell>
          <cell r="AU42">
            <v>0</v>
          </cell>
          <cell r="AY42">
            <v>85</v>
          </cell>
          <cell r="AZ42">
            <v>77</v>
          </cell>
        </row>
        <row r="43">
          <cell r="B43" t="str">
            <v>C4222J20</v>
          </cell>
          <cell r="C43">
            <v>69</v>
          </cell>
          <cell r="D43">
            <v>61</v>
          </cell>
          <cell r="E43">
            <v>66</v>
          </cell>
          <cell r="F43">
            <v>68</v>
          </cell>
          <cell r="J43">
            <v>68</v>
          </cell>
          <cell r="K43">
            <v>63</v>
          </cell>
          <cell r="O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74</v>
          </cell>
          <cell r="AF43">
            <v>0.1212121212121211</v>
          </cell>
          <cell r="AG43">
            <v>74.5</v>
          </cell>
          <cell r="AH43">
            <v>0.1287878787878789</v>
          </cell>
          <cell r="AI43">
            <v>0</v>
          </cell>
          <cell r="AK43">
            <v>0</v>
          </cell>
          <cell r="AM43">
            <v>0</v>
          </cell>
          <cell r="AO43">
            <v>0</v>
          </cell>
          <cell r="AQ43">
            <v>0</v>
          </cell>
          <cell r="AS43">
            <v>0</v>
          </cell>
          <cell r="AU43">
            <v>0</v>
          </cell>
          <cell r="AY43">
            <v>66</v>
          </cell>
          <cell r="AZ43">
            <v>62</v>
          </cell>
        </row>
        <row r="44">
          <cell r="B44" t="str">
            <v>C4222J30</v>
          </cell>
          <cell r="C44">
            <v>86</v>
          </cell>
          <cell r="D44">
            <v>75</v>
          </cell>
          <cell r="E44">
            <v>82</v>
          </cell>
          <cell r="F44">
            <v>84</v>
          </cell>
          <cell r="J44">
            <v>84</v>
          </cell>
          <cell r="K44">
            <v>79</v>
          </cell>
          <cell r="O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93</v>
          </cell>
          <cell r="AF44">
            <v>0.13414634146341453</v>
          </cell>
          <cell r="AG44">
            <v>93.5</v>
          </cell>
          <cell r="AH44">
            <v>0.14024390243902429</v>
          </cell>
          <cell r="AI44">
            <v>0</v>
          </cell>
          <cell r="AK44">
            <v>0</v>
          </cell>
          <cell r="AM44">
            <v>0</v>
          </cell>
          <cell r="AO44">
            <v>0</v>
          </cell>
          <cell r="AQ44">
            <v>0</v>
          </cell>
          <cell r="AS44">
            <v>0</v>
          </cell>
          <cell r="AU44">
            <v>0</v>
          </cell>
          <cell r="AY44">
            <v>85</v>
          </cell>
          <cell r="AZ44">
            <v>77</v>
          </cell>
        </row>
        <row r="45">
          <cell r="B45" t="str">
            <v>C4238J20</v>
          </cell>
          <cell r="C45">
            <v>76</v>
          </cell>
          <cell r="D45">
            <v>67</v>
          </cell>
          <cell r="E45">
            <v>73</v>
          </cell>
          <cell r="F45">
            <v>78</v>
          </cell>
          <cell r="H45">
            <v>78</v>
          </cell>
          <cell r="K45">
            <v>70</v>
          </cell>
          <cell r="O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86</v>
          </cell>
          <cell r="AF45">
            <v>0.17808219178082196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  <cell r="AU45">
            <v>0</v>
          </cell>
          <cell r="AY45">
            <v>70</v>
          </cell>
          <cell r="AZ45">
            <v>70</v>
          </cell>
        </row>
        <row r="46">
          <cell r="B46" t="str">
            <v>C4238J30</v>
          </cell>
          <cell r="C46">
            <v>91</v>
          </cell>
          <cell r="D46">
            <v>80</v>
          </cell>
          <cell r="E46">
            <v>87</v>
          </cell>
          <cell r="F46">
            <v>93</v>
          </cell>
          <cell r="H46">
            <v>93</v>
          </cell>
          <cell r="K46">
            <v>84</v>
          </cell>
          <cell r="O46">
            <v>0</v>
          </cell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100</v>
          </cell>
          <cell r="AF46">
            <v>0.14942528735632177</v>
          </cell>
          <cell r="AG46">
            <v>0</v>
          </cell>
          <cell r="AI46">
            <v>0</v>
          </cell>
          <cell r="AK46">
            <v>0</v>
          </cell>
          <cell r="AM46">
            <v>0</v>
          </cell>
          <cell r="AO46">
            <v>0</v>
          </cell>
          <cell r="AQ46">
            <v>0</v>
          </cell>
          <cell r="AS46">
            <v>0</v>
          </cell>
          <cell r="AU46">
            <v>0</v>
          </cell>
          <cell r="AY46">
            <v>84</v>
          </cell>
          <cell r="AZ46">
            <v>84</v>
          </cell>
        </row>
        <row r="47">
          <cell r="B47" t="str">
            <v>C4246J20</v>
          </cell>
          <cell r="C47">
            <v>59</v>
          </cell>
          <cell r="D47">
            <v>51</v>
          </cell>
          <cell r="E47">
            <v>56</v>
          </cell>
          <cell r="F47">
            <v>59</v>
          </cell>
          <cell r="G47">
            <v>59</v>
          </cell>
          <cell r="K47">
            <v>54</v>
          </cell>
          <cell r="M47">
            <v>77</v>
          </cell>
          <cell r="N47">
            <v>0.375</v>
          </cell>
          <cell r="O47">
            <v>69.3</v>
          </cell>
          <cell r="P47">
            <v>0.23750000000000004</v>
          </cell>
          <cell r="Q47">
            <v>57.89473684210526</v>
          </cell>
          <cell r="R47">
            <v>-3.2727272727272716E-2</v>
          </cell>
          <cell r="S47">
            <v>67</v>
          </cell>
          <cell r="T47">
            <v>0.1964285714285714</v>
          </cell>
          <cell r="U47">
            <v>0</v>
          </cell>
          <cell r="W47">
            <v>67</v>
          </cell>
          <cell r="X47">
            <v>0.1964285714285714</v>
          </cell>
          <cell r="Y47">
            <v>69</v>
          </cell>
          <cell r="Z47">
            <v>0.23214285714285721</v>
          </cell>
          <cell r="AA47">
            <v>67.45</v>
          </cell>
          <cell r="AB47">
            <v>0.20446428571428577</v>
          </cell>
          <cell r="AC47">
            <v>0</v>
          </cell>
          <cell r="AE47">
            <v>69</v>
          </cell>
          <cell r="AF47">
            <v>0.23214285714285721</v>
          </cell>
          <cell r="AG47">
            <v>69</v>
          </cell>
          <cell r="AH47">
            <v>0.23214285714285721</v>
          </cell>
          <cell r="AI47">
            <v>0</v>
          </cell>
          <cell r="AK47">
            <v>0</v>
          </cell>
          <cell r="AM47">
            <v>0</v>
          </cell>
          <cell r="AQ47">
            <v>71</v>
          </cell>
          <cell r="AR47">
            <v>0.26785714285714279</v>
          </cell>
          <cell r="AS47">
            <v>71</v>
          </cell>
          <cell r="AT47">
            <v>0.26785714285714279</v>
          </cell>
          <cell r="AU47">
            <v>0</v>
          </cell>
          <cell r="AY47">
            <v>64</v>
          </cell>
          <cell r="AZ47">
            <v>54</v>
          </cell>
        </row>
        <row r="48">
          <cell r="B48" t="str">
            <v>C4246J30</v>
          </cell>
          <cell r="C48">
            <v>74</v>
          </cell>
          <cell r="D48">
            <v>65</v>
          </cell>
          <cell r="E48">
            <v>71</v>
          </cell>
          <cell r="F48">
            <v>74</v>
          </cell>
          <cell r="G48">
            <v>74</v>
          </cell>
          <cell r="K48">
            <v>68</v>
          </cell>
          <cell r="L48">
            <v>71.58</v>
          </cell>
          <cell r="M48">
            <v>91</v>
          </cell>
          <cell r="N48">
            <v>0.28169014084507049</v>
          </cell>
          <cell r="O48">
            <v>81.900000000000006</v>
          </cell>
          <cell r="P48">
            <v>0.1535211267605634</v>
          </cell>
          <cell r="Q48">
            <v>76.859504132231407</v>
          </cell>
          <cell r="R48">
            <v>-7.6236559139784998E-2</v>
          </cell>
          <cell r="S48">
            <v>81</v>
          </cell>
          <cell r="T48">
            <v>0.14084507042253525</v>
          </cell>
          <cell r="U48">
            <v>0</v>
          </cell>
          <cell r="W48">
            <v>81</v>
          </cell>
          <cell r="X48">
            <v>0.14084507042253525</v>
          </cell>
          <cell r="Y48">
            <v>83</v>
          </cell>
          <cell r="Z48">
            <v>0.16901408450704225</v>
          </cell>
          <cell r="AA48">
            <v>81.7</v>
          </cell>
          <cell r="AB48">
            <v>0.1507042253521127</v>
          </cell>
          <cell r="AC48">
            <v>0</v>
          </cell>
          <cell r="AE48">
            <v>84</v>
          </cell>
          <cell r="AF48">
            <v>0.18309859154929575</v>
          </cell>
          <cell r="AG48">
            <v>83</v>
          </cell>
          <cell r="AH48">
            <v>0.16901408450704225</v>
          </cell>
          <cell r="AI48">
            <v>0</v>
          </cell>
          <cell r="AK48">
            <v>0</v>
          </cell>
          <cell r="AM48">
            <v>0</v>
          </cell>
          <cell r="AO48">
            <v>81.7</v>
          </cell>
          <cell r="AP48">
            <v>0.1507042253521127</v>
          </cell>
          <cell r="AQ48">
            <v>82.5</v>
          </cell>
          <cell r="AR48">
            <v>0.1619718309859155</v>
          </cell>
          <cell r="AS48">
            <v>86</v>
          </cell>
          <cell r="AT48">
            <v>0.21126760563380276</v>
          </cell>
          <cell r="AU48">
            <v>0</v>
          </cell>
          <cell r="AY48">
            <v>77</v>
          </cell>
          <cell r="AZ48">
            <v>68</v>
          </cell>
        </row>
        <row r="49">
          <cell r="B49" t="str">
            <v>C4250J20</v>
          </cell>
          <cell r="C49">
            <v>72</v>
          </cell>
          <cell r="D49">
            <v>63</v>
          </cell>
          <cell r="E49">
            <v>69</v>
          </cell>
          <cell r="F49">
            <v>72</v>
          </cell>
          <cell r="I49">
            <v>72</v>
          </cell>
          <cell r="K49">
            <v>66</v>
          </cell>
          <cell r="O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74</v>
          </cell>
          <cell r="AF49">
            <v>7.2463768115942129E-2</v>
          </cell>
          <cell r="AG49">
            <v>0</v>
          </cell>
          <cell r="AI49">
            <v>0</v>
          </cell>
          <cell r="AK49">
            <v>0</v>
          </cell>
          <cell r="AM49">
            <v>0</v>
          </cell>
          <cell r="AO49">
            <v>0</v>
          </cell>
          <cell r="AQ49">
            <v>0</v>
          </cell>
          <cell r="AS49">
            <v>0</v>
          </cell>
          <cell r="AU49">
            <v>0</v>
          </cell>
          <cell r="AY49">
            <v>66</v>
          </cell>
          <cell r="AZ49">
            <v>65</v>
          </cell>
        </row>
        <row r="50">
          <cell r="B50" t="str">
            <v>C4250J30</v>
          </cell>
          <cell r="C50">
            <v>88</v>
          </cell>
          <cell r="D50">
            <v>78</v>
          </cell>
          <cell r="E50">
            <v>85</v>
          </cell>
          <cell r="F50">
            <v>88</v>
          </cell>
          <cell r="I50">
            <v>88</v>
          </cell>
          <cell r="K50">
            <v>81</v>
          </cell>
          <cell r="O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95</v>
          </cell>
          <cell r="AF50">
            <v>0.11764705882352944</v>
          </cell>
          <cell r="AG50">
            <v>0</v>
          </cell>
          <cell r="AI50">
            <v>0</v>
          </cell>
          <cell r="AK50">
            <v>0</v>
          </cell>
          <cell r="AM50">
            <v>0</v>
          </cell>
          <cell r="AO50">
            <v>0</v>
          </cell>
          <cell r="AQ50">
            <v>0</v>
          </cell>
          <cell r="AS50">
            <v>0</v>
          </cell>
          <cell r="AU50">
            <v>0</v>
          </cell>
          <cell r="AY50">
            <v>85</v>
          </cell>
          <cell r="AZ50">
            <v>80</v>
          </cell>
        </row>
        <row r="51">
          <cell r="B51" t="str">
            <v>C4254J20</v>
          </cell>
          <cell r="C51">
            <v>59</v>
          </cell>
          <cell r="D51">
            <v>51</v>
          </cell>
          <cell r="E51">
            <v>56</v>
          </cell>
          <cell r="F51">
            <v>59</v>
          </cell>
          <cell r="G51">
            <v>59</v>
          </cell>
          <cell r="K51">
            <v>54</v>
          </cell>
          <cell r="M51">
            <v>77</v>
          </cell>
          <cell r="N51">
            <v>0.375</v>
          </cell>
          <cell r="O51">
            <v>69.3</v>
          </cell>
          <cell r="P51">
            <v>0.23750000000000004</v>
          </cell>
          <cell r="S51">
            <v>0</v>
          </cell>
          <cell r="U51">
            <v>0</v>
          </cell>
          <cell r="W51">
            <v>0</v>
          </cell>
          <cell r="Y51">
            <v>72</v>
          </cell>
          <cell r="Z51">
            <v>0.28571428571428581</v>
          </cell>
          <cell r="AA51">
            <v>71.25</v>
          </cell>
          <cell r="AB51">
            <v>0.2723214285714286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0</v>
          </cell>
          <cell r="AU51">
            <v>72</v>
          </cell>
          <cell r="AV51">
            <v>0.28571428571428581</v>
          </cell>
          <cell r="AY51">
            <v>64</v>
          </cell>
          <cell r="AZ51">
            <v>51</v>
          </cell>
        </row>
        <row r="52">
          <cell r="B52" t="str">
            <v>C4254J30</v>
          </cell>
          <cell r="C52">
            <v>74</v>
          </cell>
          <cell r="D52">
            <v>65</v>
          </cell>
          <cell r="E52">
            <v>71</v>
          </cell>
          <cell r="F52">
            <v>74</v>
          </cell>
          <cell r="G52">
            <v>74</v>
          </cell>
          <cell r="K52">
            <v>68</v>
          </cell>
          <cell r="M52">
            <v>91</v>
          </cell>
          <cell r="N52">
            <v>0.28169014084507049</v>
          </cell>
          <cell r="O52">
            <v>81.900000000000006</v>
          </cell>
          <cell r="P52">
            <v>0.1535211267605634</v>
          </cell>
          <cell r="S52">
            <v>0</v>
          </cell>
          <cell r="U52">
            <v>0</v>
          </cell>
          <cell r="W52">
            <v>0</v>
          </cell>
          <cell r="Y52">
            <v>87</v>
          </cell>
          <cell r="Z52">
            <v>0.22535211267605626</v>
          </cell>
          <cell r="AA52">
            <v>85.5</v>
          </cell>
          <cell r="AB52">
            <v>0.20422535211267601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  <cell r="AM52">
            <v>0</v>
          </cell>
          <cell r="AO52">
            <v>0</v>
          </cell>
          <cell r="AQ52">
            <v>0</v>
          </cell>
          <cell r="AS52">
            <v>0</v>
          </cell>
          <cell r="AU52">
            <v>86</v>
          </cell>
          <cell r="AV52">
            <v>0.21126760563380276</v>
          </cell>
          <cell r="AY52">
            <v>77</v>
          </cell>
          <cell r="AZ52">
            <v>65</v>
          </cell>
        </row>
        <row r="53">
          <cell r="B53" t="str">
            <v>C4255J20</v>
          </cell>
          <cell r="C53">
            <v>71</v>
          </cell>
          <cell r="D53">
            <v>62</v>
          </cell>
          <cell r="E53">
            <v>68</v>
          </cell>
          <cell r="F53">
            <v>66</v>
          </cell>
          <cell r="J53">
            <v>66</v>
          </cell>
          <cell r="K53">
            <v>65</v>
          </cell>
          <cell r="O53">
            <v>0</v>
          </cell>
          <cell r="Q53">
            <v>70</v>
          </cell>
          <cell r="R53">
            <v>-2.8571428571428581E-2</v>
          </cell>
          <cell r="S53">
            <v>0</v>
          </cell>
          <cell r="U53">
            <v>73</v>
          </cell>
          <cell r="V53">
            <v>7.3529411764705843E-2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0</v>
          </cell>
          <cell r="AQ53">
            <v>0</v>
          </cell>
          <cell r="AS53">
            <v>0</v>
          </cell>
          <cell r="AU53">
            <v>0</v>
          </cell>
          <cell r="AY53">
            <v>68</v>
          </cell>
          <cell r="AZ53">
            <v>59</v>
          </cell>
        </row>
        <row r="54">
          <cell r="B54" t="str">
            <v>C4255J30</v>
          </cell>
          <cell r="C54">
            <v>88</v>
          </cell>
          <cell r="D54">
            <v>78</v>
          </cell>
          <cell r="E54">
            <v>85</v>
          </cell>
          <cell r="F54">
            <v>82</v>
          </cell>
          <cell r="J54">
            <v>82</v>
          </cell>
          <cell r="K54">
            <v>81</v>
          </cell>
          <cell r="O54">
            <v>0</v>
          </cell>
          <cell r="Q54">
            <v>85.714285714285722</v>
          </cell>
          <cell r="R54">
            <v>-8.3333333333334147E-3</v>
          </cell>
          <cell r="S54">
            <v>0</v>
          </cell>
          <cell r="U54">
            <v>87</v>
          </cell>
          <cell r="V54">
            <v>2.3529411764705799E-2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0</v>
          </cell>
          <cell r="AM54">
            <v>0</v>
          </cell>
          <cell r="AO54">
            <v>0</v>
          </cell>
          <cell r="AQ54">
            <v>0</v>
          </cell>
          <cell r="AS54">
            <v>0</v>
          </cell>
          <cell r="AU54">
            <v>0</v>
          </cell>
          <cell r="AY54">
            <v>85</v>
          </cell>
          <cell r="AZ54">
            <v>74</v>
          </cell>
        </row>
        <row r="55">
          <cell r="B55" t="str">
            <v>C4326J20</v>
          </cell>
          <cell r="C55">
            <v>65</v>
          </cell>
          <cell r="D55">
            <v>57</v>
          </cell>
          <cell r="E55">
            <v>62</v>
          </cell>
          <cell r="F55">
            <v>64</v>
          </cell>
          <cell r="G55">
            <v>64</v>
          </cell>
          <cell r="K55">
            <v>60</v>
          </cell>
          <cell r="O55">
            <v>0</v>
          </cell>
          <cell r="S55">
            <v>0</v>
          </cell>
          <cell r="U55">
            <v>0</v>
          </cell>
          <cell r="W55">
            <v>0</v>
          </cell>
          <cell r="Y55">
            <v>69</v>
          </cell>
          <cell r="Z55">
            <v>0.11290322580645151</v>
          </cell>
          <cell r="AA55">
            <v>0</v>
          </cell>
          <cell r="AC55">
            <v>0</v>
          </cell>
          <cell r="AE55">
            <v>67</v>
          </cell>
          <cell r="AF55">
            <v>8.0645161290322509E-2</v>
          </cell>
          <cell r="AG55">
            <v>69</v>
          </cell>
          <cell r="AH55">
            <v>0.11290322580645151</v>
          </cell>
          <cell r="AI55">
            <v>0</v>
          </cell>
          <cell r="AK55">
            <v>0</v>
          </cell>
          <cell r="AM55">
            <v>0</v>
          </cell>
          <cell r="AO55">
            <v>0</v>
          </cell>
          <cell r="AQ55">
            <v>0</v>
          </cell>
          <cell r="AS55">
            <v>0</v>
          </cell>
          <cell r="AU55">
            <v>0</v>
          </cell>
          <cell r="AY55">
            <v>60</v>
          </cell>
          <cell r="AZ55">
            <v>58</v>
          </cell>
        </row>
        <row r="56">
          <cell r="B56" t="str">
            <v>C4326J30</v>
          </cell>
          <cell r="C56">
            <v>81</v>
          </cell>
          <cell r="D56">
            <v>72</v>
          </cell>
          <cell r="E56">
            <v>78</v>
          </cell>
          <cell r="F56">
            <v>81</v>
          </cell>
          <cell r="G56">
            <v>81</v>
          </cell>
          <cell r="K56">
            <v>75</v>
          </cell>
          <cell r="O56">
            <v>0</v>
          </cell>
          <cell r="S56">
            <v>0</v>
          </cell>
          <cell r="U56">
            <v>0</v>
          </cell>
          <cell r="W56">
            <v>0</v>
          </cell>
          <cell r="Y56">
            <v>86.5</v>
          </cell>
          <cell r="Z56">
            <v>0.10897435897435903</v>
          </cell>
          <cell r="AA56">
            <v>0</v>
          </cell>
          <cell r="AC56">
            <v>0</v>
          </cell>
          <cell r="AE56">
            <v>86</v>
          </cell>
          <cell r="AF56">
            <v>0.10256410256410264</v>
          </cell>
          <cell r="AG56">
            <v>86.5</v>
          </cell>
          <cell r="AH56">
            <v>0.10897435897435903</v>
          </cell>
          <cell r="AI56">
            <v>0</v>
          </cell>
          <cell r="AK56">
            <v>0</v>
          </cell>
          <cell r="AM56">
            <v>0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Y56">
            <v>77</v>
          </cell>
          <cell r="AZ56">
            <v>73</v>
          </cell>
        </row>
        <row r="57">
          <cell r="B57" t="str">
            <v>C4342J20</v>
          </cell>
          <cell r="C57">
            <v>69</v>
          </cell>
          <cell r="D57">
            <v>60</v>
          </cell>
          <cell r="E57">
            <v>66</v>
          </cell>
          <cell r="F57">
            <v>67</v>
          </cell>
          <cell r="J57">
            <v>67</v>
          </cell>
          <cell r="K57">
            <v>63</v>
          </cell>
          <cell r="O57">
            <v>0</v>
          </cell>
          <cell r="Q57">
            <v>65.517241379310349</v>
          </cell>
          <cell r="R57">
            <v>7.3684210526314686E-3</v>
          </cell>
          <cell r="S57">
            <v>72</v>
          </cell>
          <cell r="T57">
            <v>9.0909090909090828E-2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74</v>
          </cell>
          <cell r="AF57">
            <v>0.1212121212121211</v>
          </cell>
          <cell r="AG57">
            <v>74.5</v>
          </cell>
          <cell r="AH57">
            <v>0.1287878787878789</v>
          </cell>
          <cell r="AI57">
            <v>0</v>
          </cell>
          <cell r="AK57">
            <v>0</v>
          </cell>
          <cell r="AM57">
            <v>0</v>
          </cell>
          <cell r="AO57">
            <v>0</v>
          </cell>
          <cell r="AQ57">
            <v>0</v>
          </cell>
          <cell r="AS57">
            <v>74</v>
          </cell>
          <cell r="AT57">
            <v>0.1212121212121211</v>
          </cell>
          <cell r="AU57">
            <v>0</v>
          </cell>
          <cell r="AY57">
            <v>66</v>
          </cell>
          <cell r="AZ57">
            <v>60</v>
          </cell>
        </row>
        <row r="58">
          <cell r="B58" t="str">
            <v>C4342J30</v>
          </cell>
          <cell r="C58">
            <v>85</v>
          </cell>
          <cell r="D58">
            <v>75</v>
          </cell>
          <cell r="E58">
            <v>82</v>
          </cell>
          <cell r="F58">
            <v>83</v>
          </cell>
          <cell r="J58">
            <v>83</v>
          </cell>
          <cell r="K58">
            <v>78</v>
          </cell>
          <cell r="O58">
            <v>0</v>
          </cell>
          <cell r="Q58">
            <v>81.818181818181813</v>
          </cell>
          <cell r="R58">
            <v>2.2222222222223476E-3</v>
          </cell>
          <cell r="S58">
            <v>91</v>
          </cell>
          <cell r="T58">
            <v>0.10975609756097571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93</v>
          </cell>
          <cell r="AF58">
            <v>0.13414634146341453</v>
          </cell>
          <cell r="AG58">
            <v>93.5</v>
          </cell>
          <cell r="AH58">
            <v>0.14024390243902429</v>
          </cell>
          <cell r="AI58">
            <v>0</v>
          </cell>
          <cell r="AK58">
            <v>0</v>
          </cell>
          <cell r="AM58">
            <v>0</v>
          </cell>
          <cell r="AO58">
            <v>0</v>
          </cell>
          <cell r="AQ58">
            <v>0</v>
          </cell>
          <cell r="AS58">
            <v>95</v>
          </cell>
          <cell r="AT58">
            <v>0.15853658536585358</v>
          </cell>
          <cell r="AU58">
            <v>0</v>
          </cell>
          <cell r="AY58">
            <v>85</v>
          </cell>
          <cell r="AZ58">
            <v>75</v>
          </cell>
        </row>
        <row r="59">
          <cell r="B59" t="str">
            <v>C4345J20</v>
          </cell>
          <cell r="C59">
            <v>68</v>
          </cell>
          <cell r="D59">
            <v>59</v>
          </cell>
          <cell r="E59">
            <v>65</v>
          </cell>
          <cell r="F59">
            <v>66</v>
          </cell>
          <cell r="J59">
            <v>66</v>
          </cell>
          <cell r="K59">
            <v>62</v>
          </cell>
          <cell r="O59">
            <v>0</v>
          </cell>
          <cell r="Q59">
            <v>65.972222222222229</v>
          </cell>
          <cell r="R59">
            <v>-1.473684210526327E-2</v>
          </cell>
          <cell r="S59">
            <v>0</v>
          </cell>
          <cell r="U59">
            <v>75</v>
          </cell>
          <cell r="V59">
            <v>0.15384615384615374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M59">
            <v>0</v>
          </cell>
          <cell r="AO59">
            <v>0</v>
          </cell>
          <cell r="AQ59">
            <v>0</v>
          </cell>
          <cell r="AS59">
            <v>0</v>
          </cell>
          <cell r="AU59">
            <v>0</v>
          </cell>
          <cell r="AY59">
            <v>66</v>
          </cell>
          <cell r="AZ59">
            <v>59</v>
          </cell>
        </row>
        <row r="60">
          <cell r="B60" t="str">
            <v>C4345J30</v>
          </cell>
          <cell r="C60">
            <v>84</v>
          </cell>
          <cell r="D60">
            <v>74</v>
          </cell>
          <cell r="E60">
            <v>81</v>
          </cell>
          <cell r="F60">
            <v>82</v>
          </cell>
          <cell r="J60">
            <v>82</v>
          </cell>
          <cell r="K60">
            <v>78</v>
          </cell>
          <cell r="O60">
            <v>0</v>
          </cell>
          <cell r="Q60">
            <v>82.706766917293223</v>
          </cell>
          <cell r="R60">
            <v>-2.0636363636363564E-2</v>
          </cell>
          <cell r="S60">
            <v>0</v>
          </cell>
          <cell r="U60">
            <v>93</v>
          </cell>
          <cell r="V60">
            <v>0.14814814814814814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  <cell r="AK60">
            <v>0</v>
          </cell>
          <cell r="AM60">
            <v>0</v>
          </cell>
          <cell r="AO60">
            <v>0</v>
          </cell>
          <cell r="AQ60">
            <v>0</v>
          </cell>
          <cell r="AS60">
            <v>0</v>
          </cell>
          <cell r="AU60">
            <v>0</v>
          </cell>
          <cell r="AY60">
            <v>85</v>
          </cell>
          <cell r="AZ60">
            <v>74</v>
          </cell>
        </row>
        <row r="61">
          <cell r="B61" t="str">
            <v>C4346J20</v>
          </cell>
          <cell r="C61">
            <v>71</v>
          </cell>
          <cell r="D61">
            <v>62</v>
          </cell>
          <cell r="E61">
            <v>68</v>
          </cell>
          <cell r="F61">
            <v>71</v>
          </cell>
          <cell r="H61">
            <v>71</v>
          </cell>
          <cell r="K61">
            <v>65</v>
          </cell>
          <cell r="O61">
            <v>0</v>
          </cell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74.5</v>
          </cell>
          <cell r="AH61">
            <v>9.5588235294117752E-2</v>
          </cell>
          <cell r="AI61">
            <v>0</v>
          </cell>
          <cell r="AK61">
            <v>0</v>
          </cell>
          <cell r="AM61">
            <v>0</v>
          </cell>
          <cell r="AO61">
            <v>0</v>
          </cell>
          <cell r="AQ61">
            <v>0</v>
          </cell>
          <cell r="AS61">
            <v>0</v>
          </cell>
          <cell r="AU61">
            <v>0</v>
          </cell>
          <cell r="AY61">
            <v>66</v>
          </cell>
          <cell r="AZ61">
            <v>65</v>
          </cell>
        </row>
        <row r="62">
          <cell r="B62" t="str">
            <v>C4346J30</v>
          </cell>
          <cell r="C62">
            <v>87</v>
          </cell>
          <cell r="D62">
            <v>77</v>
          </cell>
          <cell r="E62">
            <v>84</v>
          </cell>
          <cell r="F62">
            <v>87</v>
          </cell>
          <cell r="H62">
            <v>87</v>
          </cell>
          <cell r="K62">
            <v>80</v>
          </cell>
          <cell r="O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93.5</v>
          </cell>
          <cell r="AH62">
            <v>0.11309523809523814</v>
          </cell>
          <cell r="AI62">
            <v>0</v>
          </cell>
          <cell r="AK62">
            <v>0</v>
          </cell>
          <cell r="AM62">
            <v>0</v>
          </cell>
          <cell r="AO62">
            <v>0</v>
          </cell>
          <cell r="AQ62">
            <v>0</v>
          </cell>
          <cell r="AS62">
            <v>0</v>
          </cell>
          <cell r="AU62">
            <v>0</v>
          </cell>
          <cell r="AY62">
            <v>85</v>
          </cell>
          <cell r="AZ62">
            <v>80</v>
          </cell>
        </row>
        <row r="63">
          <cell r="B63" t="str">
            <v>C4348J20</v>
          </cell>
          <cell r="C63">
            <v>72</v>
          </cell>
          <cell r="D63">
            <v>63</v>
          </cell>
          <cell r="E63">
            <v>70</v>
          </cell>
          <cell r="F63">
            <v>65</v>
          </cell>
          <cell r="J63">
            <v>65</v>
          </cell>
          <cell r="K63">
            <v>67</v>
          </cell>
          <cell r="O63">
            <v>0</v>
          </cell>
          <cell r="Q63">
            <v>63.333333333333336</v>
          </cell>
          <cell r="R63">
            <v>0.10526315789473673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68.399999999999991</v>
          </cell>
          <cell r="AD63">
            <v>-2.285714285714302E-2</v>
          </cell>
          <cell r="AE63">
            <v>0</v>
          </cell>
          <cell r="AG63">
            <v>68.5</v>
          </cell>
          <cell r="AH63">
            <v>-2.1428571428571463E-2</v>
          </cell>
          <cell r="AI63">
            <v>0</v>
          </cell>
          <cell r="AK63">
            <v>0</v>
          </cell>
          <cell r="AM63">
            <v>0</v>
          </cell>
          <cell r="AO63">
            <v>0</v>
          </cell>
          <cell r="AQ63">
            <v>72</v>
          </cell>
          <cell r="AR63">
            <v>2.857142857142847E-2</v>
          </cell>
          <cell r="AS63">
            <v>0</v>
          </cell>
          <cell r="AU63">
            <v>0</v>
          </cell>
          <cell r="AY63">
            <v>61</v>
          </cell>
          <cell r="AZ63">
            <v>58</v>
          </cell>
        </row>
        <row r="64">
          <cell r="B64" t="str">
            <v>C4348J30</v>
          </cell>
          <cell r="C64">
            <v>88</v>
          </cell>
          <cell r="D64">
            <v>78</v>
          </cell>
          <cell r="E64">
            <v>85</v>
          </cell>
          <cell r="F64">
            <v>81</v>
          </cell>
          <cell r="J64">
            <v>81</v>
          </cell>
          <cell r="K64">
            <v>81</v>
          </cell>
          <cell r="O64">
            <v>0</v>
          </cell>
          <cell r="Q64">
            <v>75.187969924812023</v>
          </cell>
          <cell r="R64">
            <v>0.13050000000000006</v>
          </cell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85.5</v>
          </cell>
          <cell r="AD64">
            <v>5.8823529411764497E-3</v>
          </cell>
          <cell r="AE64">
            <v>0</v>
          </cell>
          <cell r="AG64">
            <v>84.5</v>
          </cell>
          <cell r="AH64">
            <v>-5.8823529411764497E-3</v>
          </cell>
          <cell r="AI64">
            <v>0</v>
          </cell>
          <cell r="AK64">
            <v>0</v>
          </cell>
          <cell r="AM64">
            <v>0</v>
          </cell>
          <cell r="AO64">
            <v>0</v>
          </cell>
          <cell r="AQ64">
            <v>88</v>
          </cell>
          <cell r="AR64">
            <v>3.529411764705892E-2</v>
          </cell>
          <cell r="AS64">
            <v>0</v>
          </cell>
          <cell r="AU64">
            <v>0</v>
          </cell>
          <cell r="AY64">
            <v>75</v>
          </cell>
          <cell r="AZ64">
            <v>73</v>
          </cell>
        </row>
        <row r="65">
          <cell r="B65" t="str">
            <v>C5225J20</v>
          </cell>
          <cell r="C65">
            <v>68</v>
          </cell>
          <cell r="D65">
            <v>59</v>
          </cell>
          <cell r="E65">
            <v>62</v>
          </cell>
          <cell r="F65">
            <v>81</v>
          </cell>
          <cell r="H65">
            <v>81</v>
          </cell>
          <cell r="K65">
            <v>65</v>
          </cell>
          <cell r="O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69.349999999999994</v>
          </cell>
          <cell r="AD65">
            <v>0.11854838709677407</v>
          </cell>
          <cell r="AE65">
            <v>0</v>
          </cell>
          <cell r="AG65">
            <v>0</v>
          </cell>
          <cell r="AI65">
            <v>0</v>
          </cell>
          <cell r="AK65">
            <v>0</v>
          </cell>
          <cell r="AM65">
            <v>0</v>
          </cell>
          <cell r="AO65">
            <v>0</v>
          </cell>
          <cell r="AQ65">
            <v>0</v>
          </cell>
          <cell r="AS65">
            <v>0</v>
          </cell>
          <cell r="AU65">
            <v>0</v>
          </cell>
          <cell r="AY65">
            <v>62</v>
          </cell>
          <cell r="AZ65">
            <v>73</v>
          </cell>
        </row>
        <row r="66">
          <cell r="B66" t="str">
            <v>C5225J30</v>
          </cell>
          <cell r="C66">
            <v>83</v>
          </cell>
          <cell r="D66">
            <v>73</v>
          </cell>
          <cell r="E66">
            <v>76</v>
          </cell>
          <cell r="F66">
            <v>96</v>
          </cell>
          <cell r="H66">
            <v>96</v>
          </cell>
          <cell r="K66">
            <v>79</v>
          </cell>
          <cell r="O66">
            <v>0</v>
          </cell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83.6</v>
          </cell>
          <cell r="AD66">
            <v>9.9999999999999867E-2</v>
          </cell>
          <cell r="AE66">
            <v>0</v>
          </cell>
          <cell r="AG66">
            <v>0</v>
          </cell>
          <cell r="AI66">
            <v>0</v>
          </cell>
          <cell r="AK66">
            <v>0</v>
          </cell>
          <cell r="AM66">
            <v>0</v>
          </cell>
          <cell r="AO66">
            <v>0</v>
          </cell>
          <cell r="AQ66">
            <v>0</v>
          </cell>
          <cell r="AS66">
            <v>0</v>
          </cell>
          <cell r="AU66">
            <v>0</v>
          </cell>
          <cell r="AY66">
            <v>76</v>
          </cell>
          <cell r="AZ66">
            <v>85</v>
          </cell>
        </row>
        <row r="67">
          <cell r="B67" t="str">
            <v>C5240J20</v>
          </cell>
          <cell r="C67">
            <v>66</v>
          </cell>
          <cell r="D67">
            <v>57</v>
          </cell>
          <cell r="E67">
            <v>63</v>
          </cell>
          <cell r="F67">
            <v>66</v>
          </cell>
          <cell r="I67">
            <v>66</v>
          </cell>
          <cell r="K67">
            <v>60</v>
          </cell>
          <cell r="O67">
            <v>0</v>
          </cell>
          <cell r="S67">
            <v>65</v>
          </cell>
          <cell r="T67">
            <v>3.1746031746031855E-2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  <cell r="AK67">
            <v>0</v>
          </cell>
          <cell r="AM67">
            <v>0</v>
          </cell>
          <cell r="AO67">
            <v>0</v>
          </cell>
          <cell r="AQ67">
            <v>0</v>
          </cell>
          <cell r="AS67">
            <v>0</v>
          </cell>
          <cell r="AU67">
            <v>0</v>
          </cell>
          <cell r="AY67">
            <v>61</v>
          </cell>
          <cell r="AZ67">
            <v>59</v>
          </cell>
        </row>
        <row r="68">
          <cell r="B68" t="str">
            <v>C5240J30</v>
          </cell>
          <cell r="C68">
            <v>81</v>
          </cell>
          <cell r="D68">
            <v>71</v>
          </cell>
          <cell r="E68">
            <v>77</v>
          </cell>
          <cell r="F68">
            <v>81</v>
          </cell>
          <cell r="I68">
            <v>81</v>
          </cell>
          <cell r="K68">
            <v>74</v>
          </cell>
          <cell r="O68">
            <v>0</v>
          </cell>
          <cell r="S68">
            <v>79</v>
          </cell>
          <cell r="T68">
            <v>2.5974025974025983E-2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  <cell r="AK68">
            <v>0</v>
          </cell>
          <cell r="AM68">
            <v>0</v>
          </cell>
          <cell r="AO68">
            <v>0</v>
          </cell>
          <cell r="AQ68">
            <v>0</v>
          </cell>
          <cell r="AS68">
            <v>0</v>
          </cell>
          <cell r="AU68">
            <v>0</v>
          </cell>
          <cell r="AY68">
            <v>76</v>
          </cell>
          <cell r="AZ68">
            <v>72</v>
          </cell>
        </row>
        <row r="69">
          <cell r="B69" t="str">
            <v>C5340J20</v>
          </cell>
          <cell r="C69">
            <v>67</v>
          </cell>
          <cell r="D69">
            <v>58</v>
          </cell>
          <cell r="E69">
            <v>64</v>
          </cell>
          <cell r="F69">
            <v>64</v>
          </cell>
          <cell r="J69">
            <v>64</v>
          </cell>
          <cell r="K69">
            <v>61</v>
          </cell>
          <cell r="O69">
            <v>0</v>
          </cell>
          <cell r="S69">
            <v>71</v>
          </cell>
          <cell r="T69">
            <v>0.109375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74.5</v>
          </cell>
          <cell r="AH69">
            <v>0.1640625</v>
          </cell>
          <cell r="AI69">
            <v>0</v>
          </cell>
          <cell r="AK69">
            <v>0</v>
          </cell>
          <cell r="AM69">
            <v>0</v>
          </cell>
          <cell r="AO69">
            <v>0</v>
          </cell>
          <cell r="AQ69">
            <v>0</v>
          </cell>
          <cell r="AS69">
            <v>0</v>
          </cell>
          <cell r="AU69">
            <v>0</v>
          </cell>
          <cell r="AY69">
            <v>65</v>
          </cell>
          <cell r="AZ69">
            <v>58</v>
          </cell>
        </row>
        <row r="70">
          <cell r="B70" t="str">
            <v>C5340J30</v>
          </cell>
          <cell r="C70">
            <v>83</v>
          </cell>
          <cell r="D70">
            <v>73</v>
          </cell>
          <cell r="E70">
            <v>79</v>
          </cell>
          <cell r="F70">
            <v>80</v>
          </cell>
          <cell r="J70">
            <v>80</v>
          </cell>
          <cell r="K70">
            <v>76</v>
          </cell>
          <cell r="O70">
            <v>0</v>
          </cell>
          <cell r="S70">
            <v>86</v>
          </cell>
          <cell r="T70">
            <v>8.8607594936708889E-2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86.5</v>
          </cell>
          <cell r="AH70">
            <v>9.4936708860759556E-2</v>
          </cell>
          <cell r="AI70">
            <v>0</v>
          </cell>
          <cell r="AK70">
            <v>0</v>
          </cell>
          <cell r="AM70">
            <v>0</v>
          </cell>
          <cell r="AO70">
            <v>0</v>
          </cell>
          <cell r="AQ70">
            <v>0</v>
          </cell>
          <cell r="AS70">
            <v>0</v>
          </cell>
          <cell r="AU70">
            <v>0</v>
          </cell>
          <cell r="AY70">
            <v>77</v>
          </cell>
          <cell r="AZ70">
            <v>72</v>
          </cell>
        </row>
        <row r="71">
          <cell r="B71" t="str">
            <v>C5366J20</v>
          </cell>
          <cell r="C71">
            <v>71</v>
          </cell>
          <cell r="D71">
            <v>62</v>
          </cell>
          <cell r="E71">
            <v>68</v>
          </cell>
          <cell r="F71">
            <v>66</v>
          </cell>
          <cell r="J71">
            <v>66</v>
          </cell>
          <cell r="K71">
            <v>65</v>
          </cell>
          <cell r="O71">
            <v>0</v>
          </cell>
          <cell r="S71">
            <v>0</v>
          </cell>
          <cell r="U71">
            <v>0</v>
          </cell>
          <cell r="W71">
            <v>0</v>
          </cell>
          <cell r="Y71">
            <v>71.5</v>
          </cell>
          <cell r="Z71">
            <v>5.1470588235294157E-2</v>
          </cell>
          <cell r="AA71">
            <v>0</v>
          </cell>
          <cell r="AC71">
            <v>71.25</v>
          </cell>
          <cell r="AD71">
            <v>4.7794117647058876E-2</v>
          </cell>
          <cell r="AE71">
            <v>0</v>
          </cell>
          <cell r="AG71">
            <v>0</v>
          </cell>
          <cell r="AI71">
            <v>0</v>
          </cell>
          <cell r="AK71">
            <v>0</v>
          </cell>
          <cell r="AM71">
            <v>0</v>
          </cell>
          <cell r="AO71">
            <v>0</v>
          </cell>
          <cell r="AQ71">
            <v>0</v>
          </cell>
          <cell r="AS71">
            <v>0</v>
          </cell>
          <cell r="AU71">
            <v>0</v>
          </cell>
          <cell r="AY71">
            <v>65</v>
          </cell>
          <cell r="AZ71">
            <v>59</v>
          </cell>
        </row>
        <row r="72">
          <cell r="B72" t="str">
            <v>C5366J30</v>
          </cell>
          <cell r="C72">
            <v>86</v>
          </cell>
          <cell r="D72">
            <v>76</v>
          </cell>
          <cell r="E72">
            <v>83</v>
          </cell>
          <cell r="F72">
            <v>81</v>
          </cell>
          <cell r="J72">
            <v>81</v>
          </cell>
          <cell r="K72">
            <v>79</v>
          </cell>
          <cell r="O72">
            <v>0</v>
          </cell>
          <cell r="S72">
            <v>0</v>
          </cell>
          <cell r="U72">
            <v>0</v>
          </cell>
          <cell r="W72">
            <v>0</v>
          </cell>
          <cell r="Y72">
            <v>86.5</v>
          </cell>
          <cell r="Z72">
            <v>4.2168674698795261E-2</v>
          </cell>
          <cell r="AA72">
            <v>0</v>
          </cell>
          <cell r="AC72">
            <v>88.35</v>
          </cell>
          <cell r="AD72">
            <v>6.4457831325301029E-2</v>
          </cell>
          <cell r="AE72">
            <v>0</v>
          </cell>
          <cell r="AG72">
            <v>0</v>
          </cell>
          <cell r="AI72">
            <v>0</v>
          </cell>
          <cell r="AK72">
            <v>0</v>
          </cell>
          <cell r="AM72">
            <v>0</v>
          </cell>
          <cell r="AO72">
            <v>0</v>
          </cell>
          <cell r="AQ72">
            <v>0</v>
          </cell>
          <cell r="AS72">
            <v>0</v>
          </cell>
          <cell r="AU72">
            <v>0</v>
          </cell>
          <cell r="AY72">
            <v>77</v>
          </cell>
          <cell r="AZ72">
            <v>73</v>
          </cell>
        </row>
        <row r="73">
          <cell r="B73" t="str">
            <v>C5445J20</v>
          </cell>
          <cell r="C73">
            <v>67</v>
          </cell>
          <cell r="D73">
            <v>58</v>
          </cell>
          <cell r="E73">
            <v>64</v>
          </cell>
          <cell r="F73">
            <v>63</v>
          </cell>
          <cell r="J73">
            <v>63</v>
          </cell>
          <cell r="K73">
            <v>61</v>
          </cell>
          <cell r="O73">
            <v>0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71.25</v>
          </cell>
          <cell r="AD73">
            <v>0.11328125</v>
          </cell>
          <cell r="AE73">
            <v>0</v>
          </cell>
          <cell r="AG73">
            <v>74.5</v>
          </cell>
          <cell r="AH73">
            <v>0.1640625</v>
          </cell>
          <cell r="AI73">
            <v>0</v>
          </cell>
          <cell r="AK73">
            <v>0</v>
          </cell>
          <cell r="AM73">
            <v>0</v>
          </cell>
          <cell r="AO73">
            <v>0</v>
          </cell>
          <cell r="AQ73">
            <v>74.5</v>
          </cell>
          <cell r="AR73">
            <v>0.1640625</v>
          </cell>
          <cell r="AS73">
            <v>0</v>
          </cell>
          <cell r="AU73">
            <v>0</v>
          </cell>
          <cell r="AY73">
            <v>65</v>
          </cell>
          <cell r="AZ73">
            <v>57</v>
          </cell>
        </row>
        <row r="74">
          <cell r="B74" t="str">
            <v>C5445J30</v>
          </cell>
          <cell r="C74">
            <v>83</v>
          </cell>
          <cell r="D74">
            <v>73</v>
          </cell>
          <cell r="E74">
            <v>79</v>
          </cell>
          <cell r="F74">
            <v>79</v>
          </cell>
          <cell r="J74">
            <v>79</v>
          </cell>
          <cell r="K74">
            <v>76</v>
          </cell>
          <cell r="O74">
            <v>0</v>
          </cell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88.35</v>
          </cell>
          <cell r="AD74">
            <v>0.1183544303797468</v>
          </cell>
          <cell r="AE74">
            <v>0</v>
          </cell>
          <cell r="AG74">
            <v>89</v>
          </cell>
          <cell r="AH74">
            <v>0.12658227848101267</v>
          </cell>
          <cell r="AI74">
            <v>0</v>
          </cell>
          <cell r="AK74">
            <v>0</v>
          </cell>
          <cell r="AM74">
            <v>0</v>
          </cell>
          <cell r="AO74">
            <v>0</v>
          </cell>
          <cell r="AQ74">
            <v>94</v>
          </cell>
          <cell r="AR74">
            <v>0.18987341772151889</v>
          </cell>
          <cell r="AS74">
            <v>0</v>
          </cell>
          <cell r="AU74">
            <v>0</v>
          </cell>
          <cell r="AY74">
            <v>77</v>
          </cell>
          <cell r="AZ74">
            <v>72</v>
          </cell>
        </row>
        <row r="75">
          <cell r="B75" t="str">
            <v>F4238J20</v>
          </cell>
          <cell r="C75">
            <v>83</v>
          </cell>
          <cell r="E75">
            <v>80</v>
          </cell>
          <cell r="F75">
            <v>86</v>
          </cell>
          <cell r="H75">
            <v>86</v>
          </cell>
          <cell r="K75">
            <v>76</v>
          </cell>
          <cell r="O75">
            <v>0</v>
          </cell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86</v>
          </cell>
          <cell r="AF75">
            <v>7.4999999999999956E-2</v>
          </cell>
          <cell r="AG75">
            <v>0</v>
          </cell>
          <cell r="AI75">
            <v>0</v>
          </cell>
          <cell r="AK75">
            <v>0</v>
          </cell>
          <cell r="AM75">
            <v>0</v>
          </cell>
          <cell r="AO75">
            <v>0</v>
          </cell>
          <cell r="AQ75">
            <v>0</v>
          </cell>
          <cell r="AS75">
            <v>0</v>
          </cell>
          <cell r="AU75">
            <v>0</v>
          </cell>
          <cell r="AY75">
            <v>76</v>
          </cell>
          <cell r="AZ75">
            <v>76</v>
          </cell>
        </row>
        <row r="76">
          <cell r="B76" t="str">
            <v>F4238J30</v>
          </cell>
          <cell r="C76">
            <v>101</v>
          </cell>
          <cell r="E76">
            <v>97</v>
          </cell>
          <cell r="F76">
            <v>104</v>
          </cell>
          <cell r="H76">
            <v>104</v>
          </cell>
          <cell r="K76">
            <v>93</v>
          </cell>
          <cell r="O76">
            <v>0</v>
          </cell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100</v>
          </cell>
          <cell r="AF76">
            <v>3.0927835051546282E-2</v>
          </cell>
          <cell r="AG76">
            <v>0</v>
          </cell>
          <cell r="AI76">
            <v>0</v>
          </cell>
          <cell r="AK76">
            <v>0</v>
          </cell>
          <cell r="AM76">
            <v>0</v>
          </cell>
          <cell r="AO76">
            <v>0</v>
          </cell>
          <cell r="AQ76">
            <v>0</v>
          </cell>
          <cell r="AS76">
            <v>0</v>
          </cell>
          <cell r="AU76">
            <v>0</v>
          </cell>
          <cell r="AY76">
            <v>93</v>
          </cell>
          <cell r="AZ76">
            <v>93</v>
          </cell>
        </row>
        <row r="77">
          <cell r="B77" t="str">
            <v>F4270J20</v>
          </cell>
          <cell r="C77">
            <v>86</v>
          </cell>
          <cell r="E77">
            <v>79</v>
          </cell>
          <cell r="F77">
            <v>85</v>
          </cell>
          <cell r="H77">
            <v>85</v>
          </cell>
          <cell r="K77">
            <v>76</v>
          </cell>
          <cell r="O77">
            <v>0</v>
          </cell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83</v>
          </cell>
          <cell r="AJ77">
            <v>5.0632911392405111E-2</v>
          </cell>
          <cell r="AK77">
            <v>0</v>
          </cell>
          <cell r="AM77">
            <v>0</v>
          </cell>
          <cell r="AO77">
            <v>0</v>
          </cell>
          <cell r="AQ77">
            <v>0</v>
          </cell>
          <cell r="AS77">
            <v>0</v>
          </cell>
          <cell r="AU77">
            <v>0</v>
          </cell>
          <cell r="AY77">
            <v>76</v>
          </cell>
          <cell r="AZ77">
            <v>76</v>
          </cell>
        </row>
        <row r="78">
          <cell r="B78" t="str">
            <v>F4270J30</v>
          </cell>
          <cell r="C78">
            <v>104</v>
          </cell>
          <cell r="E78">
            <v>97</v>
          </cell>
          <cell r="F78">
            <v>104</v>
          </cell>
          <cell r="H78">
            <v>104</v>
          </cell>
          <cell r="K78">
            <v>93</v>
          </cell>
          <cell r="O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100</v>
          </cell>
          <cell r="AJ78">
            <v>3.0927835051546282E-2</v>
          </cell>
          <cell r="AK78">
            <v>0</v>
          </cell>
          <cell r="AM78">
            <v>0</v>
          </cell>
          <cell r="AO78">
            <v>0</v>
          </cell>
          <cell r="AQ78">
            <v>0</v>
          </cell>
          <cell r="AS78">
            <v>0</v>
          </cell>
          <cell r="AU78">
            <v>0</v>
          </cell>
          <cell r="AY78">
            <v>93</v>
          </cell>
          <cell r="AZ78">
            <v>93</v>
          </cell>
        </row>
        <row r="79">
          <cell r="B79" t="str">
            <v>F5233J20</v>
          </cell>
          <cell r="C79">
            <v>85</v>
          </cell>
          <cell r="E79">
            <v>78</v>
          </cell>
          <cell r="F79">
            <v>84</v>
          </cell>
          <cell r="H79">
            <v>84</v>
          </cell>
          <cell r="K79">
            <v>74</v>
          </cell>
          <cell r="M79">
            <v>104</v>
          </cell>
          <cell r="N79">
            <v>0.33333333333333326</v>
          </cell>
          <cell r="O79">
            <v>93.600000000000009</v>
          </cell>
          <cell r="P79">
            <v>0.20000000000000018</v>
          </cell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  <cell r="AM79">
            <v>0</v>
          </cell>
          <cell r="AO79">
            <v>0</v>
          </cell>
          <cell r="AQ79">
            <v>0</v>
          </cell>
          <cell r="AS79">
            <v>0</v>
          </cell>
          <cell r="AU79">
            <v>0</v>
          </cell>
          <cell r="AY79">
            <v>74</v>
          </cell>
          <cell r="AZ79">
            <v>74.099999999999994</v>
          </cell>
        </row>
        <row r="80">
          <cell r="B80" t="str">
            <v>F5233J30</v>
          </cell>
          <cell r="C80">
            <v>102</v>
          </cell>
          <cell r="E80">
            <v>95</v>
          </cell>
          <cell r="F80">
            <v>102</v>
          </cell>
          <cell r="H80">
            <v>102</v>
          </cell>
          <cell r="K80">
            <v>91</v>
          </cell>
          <cell r="M80">
            <v>130</v>
          </cell>
          <cell r="N80">
            <v>0.36842105263157898</v>
          </cell>
          <cell r="O80">
            <v>117</v>
          </cell>
          <cell r="P80">
            <v>0.23157894736842111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  <cell r="AK80">
            <v>100</v>
          </cell>
          <cell r="AL80">
            <v>5.2631578947368363E-2</v>
          </cell>
          <cell r="AM80">
            <v>0</v>
          </cell>
          <cell r="AO80">
            <v>0</v>
          </cell>
          <cell r="AQ80">
            <v>0</v>
          </cell>
          <cell r="AS80">
            <v>0</v>
          </cell>
          <cell r="AU80">
            <v>0</v>
          </cell>
          <cell r="AY80">
            <v>91</v>
          </cell>
          <cell r="AZ80">
            <v>91</v>
          </cell>
        </row>
        <row r="81">
          <cell r="B81" t="str">
            <v>F5235J20</v>
          </cell>
          <cell r="C81">
            <v>85</v>
          </cell>
          <cell r="E81">
            <v>78</v>
          </cell>
          <cell r="K81">
            <v>74</v>
          </cell>
          <cell r="O81">
            <v>0</v>
          </cell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  <cell r="AK81">
            <v>0</v>
          </cell>
          <cell r="AQ81">
            <v>0</v>
          </cell>
          <cell r="AS81">
            <v>0</v>
          </cell>
          <cell r="AU81">
            <v>0</v>
          </cell>
          <cell r="AY81">
            <v>74</v>
          </cell>
        </row>
        <row r="82">
          <cell r="B82" t="str">
            <v>F5235J30</v>
          </cell>
          <cell r="C82">
            <v>102</v>
          </cell>
          <cell r="E82">
            <v>95</v>
          </cell>
          <cell r="K82">
            <v>91</v>
          </cell>
          <cell r="O82">
            <v>0</v>
          </cell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  <cell r="AK82">
            <v>0</v>
          </cell>
          <cell r="AQ82">
            <v>0</v>
          </cell>
          <cell r="AS82">
            <v>0</v>
          </cell>
          <cell r="AU82">
            <v>0</v>
          </cell>
          <cell r="AY82">
            <v>91</v>
          </cell>
        </row>
        <row r="83">
          <cell r="B83" t="str">
            <v>F5033J20</v>
          </cell>
          <cell r="E83">
            <v>75</v>
          </cell>
          <cell r="K83">
            <v>72</v>
          </cell>
          <cell r="O83">
            <v>0</v>
          </cell>
          <cell r="AY83">
            <v>72</v>
          </cell>
        </row>
        <row r="84">
          <cell r="B84" t="str">
            <v>F5033J30</v>
          </cell>
          <cell r="E84">
            <v>92</v>
          </cell>
          <cell r="K84">
            <v>88</v>
          </cell>
          <cell r="O84">
            <v>0</v>
          </cell>
          <cell r="AY84">
            <v>88</v>
          </cell>
        </row>
      </sheetData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D109-D6C6-497F-8F82-52BB794E493A}">
  <dimension ref="A1:Z1886"/>
  <sheetViews>
    <sheetView showGridLines="0" tabSelected="1" zoomScale="91" zoomScaleNormal="91" workbookViewId="0">
      <pane xSplit="7" ySplit="12" topLeftCell="I13" activePane="bottomRight" state="frozen"/>
      <selection pane="topRight" activeCell="K1" sqref="K1"/>
      <selection pane="bottomLeft" activeCell="A12" sqref="A12"/>
      <selection pane="bottomRight" activeCell="M24" sqref="M24"/>
    </sheetView>
  </sheetViews>
  <sheetFormatPr defaultRowHeight="12.75" outlineLevelCol="1" x14ac:dyDescent="0.2"/>
  <cols>
    <col min="1" max="1" width="20.42578125" style="40" customWidth="1"/>
    <col min="2" max="2" width="21.85546875" style="41" customWidth="1"/>
    <col min="3" max="3" width="21.85546875" style="31" customWidth="1"/>
    <col min="4" max="4" width="24.42578125" style="21" customWidth="1"/>
    <col min="5" max="5" width="18.85546875" style="42" customWidth="1"/>
    <col min="6" max="6" width="18.85546875" style="41" customWidth="1" outlineLevel="1"/>
    <col min="7" max="7" width="18.85546875" style="41" customWidth="1"/>
    <col min="8" max="8" width="18.85546875" style="29" hidden="1" customWidth="1" outlineLevel="1"/>
    <col min="9" max="9" width="18.85546875" style="29" customWidth="1" outlineLevel="1"/>
    <col min="10" max="10" width="18.85546875" style="30" customWidth="1"/>
    <col min="11" max="11" width="21.85546875" style="43" customWidth="1"/>
    <col min="12" max="12" width="17.7109375" style="30" customWidth="1"/>
    <col min="13" max="14" width="21.85546875" style="30" customWidth="1"/>
    <col min="15" max="15" width="17.28515625" style="30" customWidth="1"/>
    <col min="16" max="16" width="14" style="44" customWidth="1"/>
    <col min="17" max="17" width="17.28515625" style="44" customWidth="1"/>
    <col min="18" max="18" width="21.85546875" style="45" customWidth="1"/>
    <col min="19" max="19" width="21.85546875" style="46" customWidth="1"/>
    <col min="20" max="23" width="21.85546875" style="45" customWidth="1"/>
    <col min="24" max="24" width="21.85546875" style="45" hidden="1" customWidth="1"/>
    <col min="25" max="25" width="21.85546875" style="21" customWidth="1"/>
    <col min="26" max="26" width="6.140625" style="22" customWidth="1"/>
    <col min="27" max="16384" width="9.140625" style="23"/>
  </cols>
  <sheetData>
    <row r="1" spans="1:26" s="14" customFormat="1" hidden="1" x14ac:dyDescent="0.2">
      <c r="A1" s="1"/>
      <c r="B1" s="2"/>
      <c r="C1" s="3"/>
      <c r="D1" s="4"/>
      <c r="E1" s="5"/>
      <c r="F1" s="6" t="e">
        <f>MID($G1,SEARCH("-",$G1)+1,5)&amp;MID($G1,SEARCH("-J",G$1)+1,3)</f>
        <v>#VALUE!</v>
      </c>
      <c r="G1" s="7"/>
      <c r="H1" s="6" t="str">
        <f>IF($G1="","",LEFT($G1,5)&amp;MID($G1,9,3))</f>
        <v/>
      </c>
      <c r="I1" s="6"/>
      <c r="J1" s="8" t="e">
        <f t="shared" ref="J1" si="0">MID($G1,SEARCH("-",$G1)+1,5)&amp;MID($G1,SEARCH("-J",$G1)+1,3)</f>
        <v>#VALUE!</v>
      </c>
      <c r="K1" s="9"/>
      <c r="L1" s="10"/>
      <c r="M1" s="10"/>
      <c r="N1" s="10"/>
      <c r="O1" s="10"/>
      <c r="P1" s="11"/>
      <c r="Q1" s="11"/>
      <c r="R1" s="12"/>
      <c r="S1" s="13"/>
      <c r="T1" s="12"/>
      <c r="U1" s="12"/>
      <c r="V1" s="12"/>
      <c r="W1" s="12"/>
      <c r="X1" s="12"/>
      <c r="Y1" s="4"/>
      <c r="Z1" s="6"/>
    </row>
    <row r="2" spans="1:26" s="14" customFormat="1" hidden="1" x14ac:dyDescent="0.2">
      <c r="A2" s="1"/>
      <c r="B2" s="2"/>
      <c r="C2" s="3"/>
      <c r="D2" s="4"/>
      <c r="E2" s="10"/>
      <c r="F2" s="10"/>
      <c r="G2" s="15" t="s">
        <v>0</v>
      </c>
      <c r="H2" s="10">
        <f ca="1">IF($H2="","",VLOOKUP($H2,'[2]GIA CA'!$G:$H,2,0))</f>
        <v>0</v>
      </c>
      <c r="I2" s="10"/>
      <c r="J2" s="10" t="str">
        <f ca="1">IF($H2="","",VLOOKUP($H2,'[2]GIA CA'!$I:$K,3,0))</f>
        <v/>
      </c>
      <c r="K2" s="9" t="str">
        <f ca="1">IF($H2="","",VLOOKUP($H2,'[2]GIA CA'!$J:$K,2,0))</f>
        <v/>
      </c>
      <c r="L2" s="16" t="s">
        <v>1</v>
      </c>
      <c r="M2" s="16" t="str">
        <f ca="1">IF($H2="","",VLOOKUP($H2,'[2]GIA HS'!$A:$D,4,0))</f>
        <v/>
      </c>
      <c r="N2" s="16"/>
      <c r="O2" s="17"/>
      <c r="P2" s="17"/>
      <c r="Q2" s="17"/>
      <c r="R2" s="12"/>
      <c r="S2" s="13"/>
      <c r="T2" s="12"/>
      <c r="U2" s="12"/>
      <c r="V2" s="12"/>
      <c r="W2" s="12"/>
      <c r="X2" s="12"/>
      <c r="Y2" s="4"/>
      <c r="Z2" s="6"/>
    </row>
    <row r="3" spans="1:26" s="14" customFormat="1" hidden="1" x14ac:dyDescent="0.2">
      <c r="A3" s="1"/>
      <c r="B3" s="2"/>
      <c r="C3" s="3"/>
      <c r="D3" s="4"/>
      <c r="E3" s="2"/>
      <c r="F3" s="2"/>
      <c r="G3" s="18" t="s">
        <v>2</v>
      </c>
      <c r="H3" s="19"/>
      <c r="I3" s="19"/>
      <c r="J3" s="10"/>
      <c r="K3" s="9" t="str">
        <f>IF($H3="","",VLOOKUP($H3,'[2]giá mỹ từ 6.8.2025'!$B:$C,2,0))</f>
        <v/>
      </c>
      <c r="L3" s="16" t="s">
        <v>3</v>
      </c>
      <c r="M3" s="16" t="str">
        <f>IF($H3="","",VLOOKUP($H3,'[2]giá ngoài mỹ 6.8.2025 (final)'!$B:$AZ,51,0))</f>
        <v/>
      </c>
      <c r="N3" s="10" t="str">
        <f>IF($H3="","",VLOOKUP($H3,'[2]giá ngoài mỹ 6.8.2025'!$B:$AZ,51,0))</f>
        <v/>
      </c>
      <c r="O3" s="15"/>
      <c r="P3" s="17"/>
      <c r="Q3" s="17"/>
      <c r="R3" s="12"/>
      <c r="S3" s="13"/>
      <c r="T3" s="12"/>
      <c r="U3" s="12"/>
      <c r="V3" s="12"/>
      <c r="W3" s="12"/>
      <c r="X3" s="12"/>
      <c r="Y3" s="4"/>
      <c r="Z3" s="6"/>
    </row>
    <row r="4" spans="1:26" s="73" customFormat="1" ht="15.75" x14ac:dyDescent="0.25">
      <c r="A4" s="64" t="s">
        <v>2160</v>
      </c>
      <c r="B4" s="65"/>
      <c r="C4" s="66"/>
      <c r="D4" s="65"/>
      <c r="E4" s="67"/>
      <c r="F4" s="67"/>
      <c r="G4" s="67"/>
      <c r="H4" s="67"/>
      <c r="I4" s="67"/>
      <c r="J4" s="68"/>
      <c r="K4" s="69"/>
      <c r="L4" s="70"/>
      <c r="M4" s="70"/>
      <c r="N4" s="70"/>
      <c r="O4" s="70"/>
      <c r="P4" s="67"/>
      <c r="Q4" s="67"/>
      <c r="R4" s="65"/>
      <c r="S4" s="65"/>
      <c r="T4" s="65"/>
      <c r="U4" s="65"/>
      <c r="V4" s="65"/>
      <c r="W4" s="65"/>
      <c r="X4" s="65"/>
      <c r="Y4" s="71"/>
      <c r="Z4" s="72"/>
    </row>
    <row r="5" spans="1:26" s="73" customFormat="1" ht="15.75" x14ac:dyDescent="0.25">
      <c r="A5" s="74" t="s">
        <v>2159</v>
      </c>
      <c r="B5" s="65"/>
      <c r="C5" s="75"/>
      <c r="D5" s="65"/>
      <c r="E5" s="67"/>
      <c r="F5" s="67"/>
      <c r="G5" s="67"/>
      <c r="H5" s="67"/>
      <c r="I5" s="67"/>
      <c r="J5" s="68"/>
      <c r="K5" s="69"/>
      <c r="L5" s="70"/>
      <c r="M5" s="70"/>
      <c r="N5" s="70"/>
      <c r="O5" s="70"/>
      <c r="P5" s="67"/>
      <c r="Q5" s="67"/>
      <c r="R5" s="65"/>
      <c r="S5" s="65"/>
      <c r="T5" s="65"/>
      <c r="U5" s="65"/>
      <c r="V5" s="65"/>
      <c r="W5" s="65"/>
      <c r="X5" s="65"/>
      <c r="Y5" s="71"/>
      <c r="Z5" s="72"/>
    </row>
    <row r="6" spans="1:26" s="22" customFormat="1" ht="12.75" customHeight="1" x14ac:dyDescent="0.2">
      <c r="A6" s="24">
        <v>2</v>
      </c>
      <c r="B6" s="25">
        <v>3</v>
      </c>
      <c r="C6" s="25">
        <v>5</v>
      </c>
      <c r="D6" s="25">
        <v>6</v>
      </c>
      <c r="E6" s="26"/>
      <c r="F6" s="25"/>
      <c r="G6" s="25"/>
      <c r="H6" s="25"/>
      <c r="I6" s="25"/>
      <c r="J6" s="27"/>
      <c r="K6" s="28"/>
      <c r="L6" s="27"/>
      <c r="M6" s="27">
        <v>14</v>
      </c>
      <c r="N6" s="27">
        <v>15</v>
      </c>
      <c r="O6" s="25">
        <v>16</v>
      </c>
      <c r="P6" s="25">
        <v>17</v>
      </c>
      <c r="Q6" s="25">
        <v>18</v>
      </c>
      <c r="R6" s="25">
        <v>19</v>
      </c>
      <c r="S6" s="25">
        <v>20</v>
      </c>
      <c r="T6" s="25">
        <v>21</v>
      </c>
      <c r="U6" s="25">
        <v>22</v>
      </c>
      <c r="V6" s="25">
        <v>23</v>
      </c>
      <c r="W6" s="25">
        <v>24</v>
      </c>
      <c r="X6" s="25"/>
      <c r="Y6" s="24">
        <v>26</v>
      </c>
    </row>
    <row r="7" spans="1:26" s="56" customFormat="1" ht="20.25" x14ac:dyDescent="0.3">
      <c r="A7" s="55" t="s">
        <v>2170</v>
      </c>
      <c r="C7" s="57"/>
      <c r="E7" s="58"/>
      <c r="F7" s="58"/>
      <c r="G7" s="58"/>
      <c r="H7" s="58"/>
      <c r="I7" s="58"/>
      <c r="J7" s="59"/>
      <c r="K7" s="60"/>
      <c r="L7" s="61"/>
      <c r="M7" s="61"/>
      <c r="N7" s="61"/>
      <c r="O7" s="61"/>
      <c r="P7" s="58"/>
      <c r="Q7" s="58"/>
      <c r="Y7" s="62"/>
      <c r="Z7" s="63"/>
    </row>
    <row r="8" spans="1:26" s="73" customFormat="1" ht="15.75" x14ac:dyDescent="0.25">
      <c r="A8" s="76" t="s">
        <v>2163</v>
      </c>
      <c r="B8" s="77"/>
      <c r="C8" s="78"/>
      <c r="D8" s="77"/>
      <c r="E8" s="79"/>
      <c r="F8" s="77"/>
      <c r="G8" s="77"/>
      <c r="H8" s="80"/>
      <c r="I8" s="80"/>
      <c r="J8" s="81"/>
      <c r="K8" s="82"/>
      <c r="L8" s="83"/>
      <c r="M8" s="84"/>
      <c r="N8" s="83"/>
      <c r="O8" s="81"/>
      <c r="P8" s="77"/>
      <c r="Q8" s="81"/>
      <c r="R8" s="85"/>
      <c r="S8" s="85"/>
      <c r="T8" s="85"/>
      <c r="U8" s="85"/>
      <c r="V8" s="85"/>
      <c r="W8" s="85"/>
      <c r="X8" s="77"/>
      <c r="Y8" s="86"/>
      <c r="Z8" s="72"/>
    </row>
    <row r="9" spans="1:26" x14ac:dyDescent="0.2">
      <c r="A9" s="47"/>
      <c r="B9" s="48"/>
      <c r="C9" s="49"/>
      <c r="D9" s="48"/>
      <c r="E9" s="50"/>
      <c r="F9" s="48"/>
      <c r="G9" s="48"/>
      <c r="I9" s="113"/>
      <c r="J9" s="51"/>
      <c r="K9" s="88"/>
      <c r="L9" s="52"/>
      <c r="M9" s="87"/>
      <c r="N9" s="52"/>
      <c r="O9" s="51"/>
      <c r="P9" s="48"/>
      <c r="Q9" s="51"/>
      <c r="R9" s="31"/>
      <c r="S9" s="31"/>
      <c r="T9" s="31"/>
      <c r="U9" s="31"/>
      <c r="V9" s="31"/>
      <c r="W9" s="31"/>
      <c r="X9" s="48"/>
      <c r="Y9" s="53"/>
    </row>
    <row r="10" spans="1:26" ht="21.75" customHeight="1" x14ac:dyDescent="0.2">
      <c r="A10" s="116" t="s">
        <v>2164</v>
      </c>
      <c r="B10" s="120" t="s">
        <v>2162</v>
      </c>
      <c r="C10" s="118" t="s">
        <v>4</v>
      </c>
      <c r="D10" s="122" t="s">
        <v>5</v>
      </c>
      <c r="E10" s="120" t="s">
        <v>6</v>
      </c>
      <c r="F10" s="120" t="s">
        <v>7</v>
      </c>
      <c r="G10" s="120" t="s">
        <v>2167</v>
      </c>
      <c r="H10" s="118" t="s">
        <v>8</v>
      </c>
      <c r="I10" s="124" t="s">
        <v>2165</v>
      </c>
      <c r="J10" s="114" t="s">
        <v>9</v>
      </c>
      <c r="K10" s="114" t="s">
        <v>10</v>
      </c>
      <c r="L10" s="114" t="s">
        <v>11</v>
      </c>
      <c r="M10" s="114" t="s">
        <v>12</v>
      </c>
      <c r="N10" s="114" t="s">
        <v>2168</v>
      </c>
      <c r="O10" s="114" t="s">
        <v>13</v>
      </c>
      <c r="P10" s="120" t="s">
        <v>14</v>
      </c>
      <c r="Q10" s="120" t="s">
        <v>15</v>
      </c>
      <c r="R10" s="128" t="s">
        <v>2169</v>
      </c>
      <c r="S10" s="129"/>
      <c r="T10" s="129"/>
      <c r="U10" s="129"/>
      <c r="V10" s="129"/>
      <c r="W10" s="130"/>
      <c r="X10" s="126" t="s">
        <v>16</v>
      </c>
      <c r="Y10" s="126" t="s">
        <v>2161</v>
      </c>
    </row>
    <row r="11" spans="1:26" s="20" customFormat="1" ht="45" customHeight="1" x14ac:dyDescent="0.2">
      <c r="A11" s="117"/>
      <c r="B11" s="121"/>
      <c r="C11" s="119"/>
      <c r="D11" s="123"/>
      <c r="E11" s="121"/>
      <c r="F11" s="121"/>
      <c r="G11" s="121"/>
      <c r="H11" s="119"/>
      <c r="I11" s="125"/>
      <c r="J11" s="115"/>
      <c r="K11" s="115"/>
      <c r="L11" s="115"/>
      <c r="M11" s="115"/>
      <c r="N11" s="115"/>
      <c r="O11" s="115"/>
      <c r="P11" s="121"/>
      <c r="Q11" s="121"/>
      <c r="R11" s="33" t="s">
        <v>17</v>
      </c>
      <c r="S11" s="37" t="s">
        <v>18</v>
      </c>
      <c r="T11" s="37" t="s">
        <v>19</v>
      </c>
      <c r="U11" s="37" t="s">
        <v>20</v>
      </c>
      <c r="V11" s="37" t="s">
        <v>21</v>
      </c>
      <c r="W11" s="37" t="s">
        <v>22</v>
      </c>
      <c r="X11" s="127"/>
      <c r="Y11" s="127"/>
      <c r="Z11" s="54"/>
    </row>
    <row r="12" spans="1:26" ht="57" hidden="1" x14ac:dyDescent="0.2">
      <c r="A12" s="32" t="s">
        <v>2150</v>
      </c>
      <c r="B12" s="33" t="s">
        <v>2149</v>
      </c>
      <c r="C12" s="35" t="s">
        <v>2148</v>
      </c>
      <c r="D12" s="35" t="s">
        <v>2147</v>
      </c>
      <c r="E12" s="34" t="s">
        <v>23</v>
      </c>
      <c r="F12" s="33" t="s">
        <v>2151</v>
      </c>
      <c r="G12" s="33" t="s">
        <v>2152</v>
      </c>
      <c r="H12" s="34" t="s">
        <v>2152</v>
      </c>
      <c r="I12" s="34"/>
      <c r="J12" s="36" t="s">
        <v>2153</v>
      </c>
      <c r="K12" s="36" t="s">
        <v>2154</v>
      </c>
      <c r="L12" s="36" t="s">
        <v>2155</v>
      </c>
      <c r="M12" s="36" t="s">
        <v>2156</v>
      </c>
      <c r="N12" s="36" t="s">
        <v>2157</v>
      </c>
      <c r="O12" s="36" t="s">
        <v>2158</v>
      </c>
      <c r="P12" s="33"/>
      <c r="Q12" s="33"/>
      <c r="R12" s="33"/>
      <c r="S12" s="37"/>
      <c r="T12" s="37"/>
      <c r="U12" s="37"/>
      <c r="V12" s="37"/>
      <c r="W12" s="37"/>
      <c r="X12" s="38"/>
      <c r="Y12" s="39"/>
    </row>
    <row r="13" spans="1:26" s="100" customFormat="1" ht="12.75" customHeight="1" x14ac:dyDescent="0.2">
      <c r="A13" s="92">
        <v>46235</v>
      </c>
      <c r="B13" s="90" t="s">
        <v>24</v>
      </c>
      <c r="C13" s="93" t="s">
        <v>25</v>
      </c>
      <c r="D13" s="94" t="s">
        <v>26</v>
      </c>
      <c r="E13" s="90" t="s">
        <v>27</v>
      </c>
      <c r="F13" s="90" t="s">
        <v>28</v>
      </c>
      <c r="G13" s="90" t="s">
        <v>29</v>
      </c>
      <c r="H13" s="95" t="str">
        <f>IF(LEN(G13)=13,LEFT(G13,5)&amp;MID(G13,SEARCH("-J",G13)+1,3),LEFT(G13,5)&amp;"J20")</f>
        <v>F4001J20</v>
      </c>
      <c r="I13" s="95" t="s">
        <v>2166</v>
      </c>
      <c r="J13" s="89">
        <v>109</v>
      </c>
      <c r="K13" s="89">
        <f>IF(D13="CAESARSTONE LTD",VLOOKUP(H13,'[2]GIA CA'!G:H,2,0),IF(OR(D13="STONE FACINGS LIMITED",D13="NORDIA SA",D13="INVICTUS STONE COUNTERTOPS INC",D13="QUARTZTOP LLC"),VLOOKUP(H13,'[2] Giá ngoài Mỹ - SI-GR'!$B$5:$AZ$84,51,0),IF(OR(D13="HYUNDAI L&amp;C CANADA INC",D13="Hyundai L&amp; C USA LLC"),VLOOKUP(H13,'[2]GIA HS'!A:D,4,0),IF(Y13="Mỹ",VLOOKUP(H13,'[2]giá mỹ từ 6.8.2025'!B:I,2,0),VLOOKUP(H13,'[2]giá ngoài mỹ 6.8.2025 (final)'!B:BP,51,0)))))</f>
        <v>58</v>
      </c>
      <c r="L13" s="89">
        <v>68.75</v>
      </c>
      <c r="M13" s="89">
        <f t="shared" ref="M13:M76" si="1">L13-K13</f>
        <v>10.75</v>
      </c>
      <c r="N13" s="89">
        <v>61</v>
      </c>
      <c r="O13" s="89">
        <v>6649</v>
      </c>
      <c r="P13" s="96">
        <v>26120</v>
      </c>
      <c r="Q13" s="96">
        <v>173671880</v>
      </c>
      <c r="R13" s="93" t="s">
        <v>30</v>
      </c>
      <c r="S13" s="97"/>
      <c r="T13" s="98"/>
      <c r="U13" s="98"/>
      <c r="V13" s="93"/>
      <c r="W13" s="98"/>
      <c r="X13" s="98"/>
      <c r="Y13" s="99" t="s">
        <v>31</v>
      </c>
    </row>
    <row r="14" spans="1:26" s="100" customFormat="1" x14ac:dyDescent="0.2">
      <c r="A14" s="92">
        <v>46235</v>
      </c>
      <c r="B14" s="90" t="s">
        <v>24</v>
      </c>
      <c r="C14" s="93" t="s">
        <v>25</v>
      </c>
      <c r="D14" s="94" t="s">
        <v>26</v>
      </c>
      <c r="E14" s="90" t="s">
        <v>27</v>
      </c>
      <c r="F14" s="90" t="s">
        <v>32</v>
      </c>
      <c r="G14" s="90" t="s">
        <v>33</v>
      </c>
      <c r="H14" s="95" t="str">
        <f t="shared" ref="H14:H77" si="2">IF(LEN(G14)=13,LEFT(G14,5)&amp;MID(G14,SEARCH("-J",G14)+1,3),LEFT(G14,5)&amp;"J20")</f>
        <v>F4001J30</v>
      </c>
      <c r="I14" s="95" t="s">
        <v>2166</v>
      </c>
      <c r="J14" s="89">
        <v>114.45</v>
      </c>
      <c r="K14" s="89">
        <f>IF(D14="CAESARSTONE LTD",VLOOKUP(H14,'[2]GIA CA'!G:H,2,0),IF(OR(D14="STONE FACINGS LIMITED",D14="NORDIA SA",D14="INVICTUS STONE COUNTERTOPS INC",D14="QUARTZTOP LLC"),VLOOKUP(H14,'[2] Giá ngoài Mỹ - SI-GR'!$B$5:$AZ$84,51,0),IF(OR(D14="HYUNDAI L&amp;C CANADA INC",D14="Hyundai L&amp; C USA LLC"),VLOOKUP(H14,'[2]GIA HS'!A:D,4,0),IF(Y14="Mỹ",VLOOKUP(H14,'[2]giá mỹ từ 6.8.2025'!B:I,2,0),VLOOKUP(H14,'[2]giá ngoài mỹ 6.8.2025 (final)'!B:BP,51,0)))))</f>
        <v>72.5</v>
      </c>
      <c r="L14" s="89">
        <v>72.2</v>
      </c>
      <c r="M14" s="89">
        <f t="shared" si="1"/>
        <v>-0.29999999999999716</v>
      </c>
      <c r="N14" s="89">
        <v>76</v>
      </c>
      <c r="O14" s="89">
        <v>8698.2000000000007</v>
      </c>
      <c r="P14" s="96">
        <v>26120</v>
      </c>
      <c r="Q14" s="96">
        <v>227196984</v>
      </c>
      <c r="R14" s="93" t="s">
        <v>30</v>
      </c>
      <c r="S14" s="97"/>
      <c r="T14" s="98"/>
      <c r="U14" s="98"/>
      <c r="V14" s="93"/>
      <c r="W14" s="98"/>
      <c r="X14" s="98"/>
      <c r="Y14" s="99" t="s">
        <v>31</v>
      </c>
      <c r="Z14" s="100" t="str">
        <f>MID(E14,4,2)</f>
        <v>CA</v>
      </c>
    </row>
    <row r="15" spans="1:26" s="100" customFormat="1" x14ac:dyDescent="0.2">
      <c r="A15" s="92">
        <v>46235</v>
      </c>
      <c r="B15" s="90" t="s">
        <v>24</v>
      </c>
      <c r="C15" s="93" t="s">
        <v>25</v>
      </c>
      <c r="D15" s="94" t="s">
        <v>26</v>
      </c>
      <c r="E15" s="90" t="s">
        <v>27</v>
      </c>
      <c r="F15" s="90" t="s">
        <v>34</v>
      </c>
      <c r="G15" s="90" t="s">
        <v>35</v>
      </c>
      <c r="H15" s="95" t="str">
        <f t="shared" si="2"/>
        <v>F5003J20</v>
      </c>
      <c r="I15" s="95" t="s">
        <v>2166</v>
      </c>
      <c r="J15" s="89">
        <v>109</v>
      </c>
      <c r="K15" s="89">
        <f>+L15</f>
        <v>77.400000000000006</v>
      </c>
      <c r="L15" s="89">
        <v>77.400000000000006</v>
      </c>
      <c r="M15" s="89">
        <f t="shared" si="1"/>
        <v>0</v>
      </c>
      <c r="N15" s="89">
        <v>63</v>
      </c>
      <c r="O15" s="89">
        <v>6867</v>
      </c>
      <c r="P15" s="96">
        <v>26120</v>
      </c>
      <c r="Q15" s="96">
        <v>179366040</v>
      </c>
      <c r="R15" s="93" t="s">
        <v>30</v>
      </c>
      <c r="S15" s="97"/>
      <c r="T15" s="98"/>
      <c r="U15" s="98"/>
      <c r="V15" s="93"/>
      <c r="W15" s="98"/>
      <c r="X15" s="98"/>
      <c r="Y15" s="99" t="s">
        <v>31</v>
      </c>
      <c r="Z15" s="100" t="str">
        <f>MID(E15,4,2)</f>
        <v>CA</v>
      </c>
    </row>
    <row r="16" spans="1:26" s="100" customFormat="1" x14ac:dyDescent="0.2">
      <c r="A16" s="92">
        <v>46235</v>
      </c>
      <c r="B16" s="90" t="s">
        <v>24</v>
      </c>
      <c r="C16" s="93" t="s">
        <v>25</v>
      </c>
      <c r="D16" s="94" t="s">
        <v>26</v>
      </c>
      <c r="E16" s="90" t="s">
        <v>27</v>
      </c>
      <c r="F16" s="90" t="s">
        <v>36</v>
      </c>
      <c r="G16" s="90" t="s">
        <v>37</v>
      </c>
      <c r="H16" s="95" t="str">
        <f t="shared" si="2"/>
        <v>F5105J30</v>
      </c>
      <c r="I16" s="95" t="s">
        <v>2166</v>
      </c>
      <c r="J16" s="89">
        <v>38.15</v>
      </c>
      <c r="K16" s="89">
        <f>IF(D16="CAESARSTONE LTD",VLOOKUP(H16,'[2]GIA CA'!G:H,2,0),IF(OR(D16="STONE FACINGS LIMITED",D16="NORDIA SA",D16="INVICTUS STONE COUNTERTOPS INC",D16="QUARTZTOP LLC"),VLOOKUP(H16,'[2] Giá ngoài Mỹ - SI-GR'!$B$5:$AZ$84,51,0),IF(OR(D16="HYUNDAI L&amp;C CANADA INC",D16="Hyundai L&amp; C USA LLC"),VLOOKUP(H16,'[2]GIA HS'!A:D,4,0),IF(Y16="Mỹ",VLOOKUP(H16,'[2]giá mỹ từ 6.8.2025'!B:I,2,0),VLOOKUP(H16,'[2]giá ngoài mỹ 6.8.2025 (final)'!B:BP,51,0)))))</f>
        <v>85</v>
      </c>
      <c r="L16" s="89">
        <f>+N16</f>
        <v>89.02</v>
      </c>
      <c r="M16" s="89">
        <f t="shared" si="1"/>
        <v>4.019999999999996</v>
      </c>
      <c r="N16" s="89">
        <v>89.02</v>
      </c>
      <c r="O16" s="89">
        <v>3396.23</v>
      </c>
      <c r="P16" s="96">
        <v>26120</v>
      </c>
      <c r="Q16" s="96">
        <v>88709528</v>
      </c>
      <c r="R16" s="93" t="s">
        <v>30</v>
      </c>
      <c r="S16" s="97"/>
      <c r="T16" s="98"/>
      <c r="U16" s="98"/>
      <c r="V16" s="93"/>
      <c r="W16" s="98"/>
      <c r="X16" s="98"/>
      <c r="Y16" s="99" t="s">
        <v>31</v>
      </c>
      <c r="Z16" s="100" t="str">
        <f>MID(E16,4,2)</f>
        <v>CA</v>
      </c>
    </row>
    <row r="17" spans="1:26" s="100" customFormat="1" x14ac:dyDescent="0.2">
      <c r="A17" s="92">
        <v>46235</v>
      </c>
      <c r="B17" s="90" t="s">
        <v>24</v>
      </c>
      <c r="C17" s="93" t="s">
        <v>25</v>
      </c>
      <c r="D17" s="94" t="s">
        <v>26</v>
      </c>
      <c r="E17" s="90" t="s">
        <v>27</v>
      </c>
      <c r="F17" s="90" t="s">
        <v>38</v>
      </c>
      <c r="G17" s="90" t="s">
        <v>39</v>
      </c>
      <c r="H17" s="95" t="str">
        <f t="shared" si="2"/>
        <v>F5143J30</v>
      </c>
      <c r="I17" s="95" t="s">
        <v>2166</v>
      </c>
      <c r="J17" s="89">
        <v>38.15</v>
      </c>
      <c r="K17" s="89">
        <f>IF(D17="CAESARSTONE LTD",VLOOKUP(H17,'[2]GIA CA'!G:H,2,0),IF(OR(D17="STONE FACINGS LIMITED",D17="NORDIA SA",D17="INVICTUS STONE COUNTERTOPS INC",D17="QUARTZTOP LLC"),VLOOKUP(H17,'[2] Giá ngoài Mỹ - SI-GR'!$B$5:$AZ$84,51,0),IF(OR(D17="HYUNDAI L&amp;C CANADA INC",D17="Hyundai L&amp; C USA LLC"),VLOOKUP(H17,'[2]GIA HS'!A:D,4,0),IF(Y17="Mỹ",VLOOKUP(H17,'[2]giá mỹ từ 6.8.2025'!B:I,2,0),VLOOKUP(H17,'[2]giá ngoài mỹ 6.8.2025 (final)'!B:BP,51,0)))))</f>
        <v>77.5</v>
      </c>
      <c r="L17" s="89">
        <v>77.400000000000006</v>
      </c>
      <c r="M17" s="89">
        <f t="shared" si="1"/>
        <v>-9.9999999999994316E-2</v>
      </c>
      <c r="N17" s="89">
        <v>81</v>
      </c>
      <c r="O17" s="96">
        <v>3090.15</v>
      </c>
      <c r="P17" s="96">
        <v>26120</v>
      </c>
      <c r="Q17" s="96">
        <v>80714718</v>
      </c>
      <c r="R17" s="93" t="s">
        <v>30</v>
      </c>
      <c r="S17" s="97"/>
      <c r="T17" s="98"/>
      <c r="U17" s="98"/>
      <c r="V17" s="93"/>
      <c r="W17" s="98"/>
      <c r="X17" s="98"/>
      <c r="Y17" s="99" t="s">
        <v>31</v>
      </c>
      <c r="Z17" s="100" t="str">
        <f>MID(E17,4,2)</f>
        <v>CA</v>
      </c>
    </row>
    <row r="18" spans="1:26" s="100" customFormat="1" x14ac:dyDescent="0.2">
      <c r="A18" s="92">
        <v>46235</v>
      </c>
      <c r="B18" s="90" t="s">
        <v>40</v>
      </c>
      <c r="C18" s="93" t="s">
        <v>41</v>
      </c>
      <c r="D18" s="94" t="s">
        <v>26</v>
      </c>
      <c r="E18" s="90" t="s">
        <v>42</v>
      </c>
      <c r="F18" s="90" t="s">
        <v>43</v>
      </c>
      <c r="G18" s="90" t="s">
        <v>44</v>
      </c>
      <c r="H18" s="95" t="str">
        <f t="shared" si="2"/>
        <v>F5141J30</v>
      </c>
      <c r="I18" s="95" t="s">
        <v>2166</v>
      </c>
      <c r="J18" s="89">
        <v>327</v>
      </c>
      <c r="K18" s="89">
        <f>IF(D18="CAESARSTONE LTD",VLOOKUP(H18,'[2]GIA CA'!G:H,2,0),IF(OR(D18="STONE FACINGS LIMITED",D18="NORDIA SA",D18="INVICTUS STONE COUNTERTOPS INC",D18="QUARTZTOP LLC"),VLOOKUP(H18,'[2] Giá ngoài Mỹ - SI-GR'!$B$5:$AZ$84,51,0),IF(OR(D18="HYUNDAI L&amp;C CANADA INC",D18="Hyundai L&amp; C USA LLC"),VLOOKUP(H18,'[2]GIA HS'!A:D,4,0),IF(Y18="Mỹ",VLOOKUP(H18,'[2]giá mỹ từ 6.8.2025'!B:I,2,0),VLOOKUP(H18,'[2]giá ngoài mỹ 6.8.2025 (final)'!B:BP,51,0)))))</f>
        <v>72.5</v>
      </c>
      <c r="L18" s="89">
        <v>76.09</v>
      </c>
      <c r="M18" s="89">
        <f t="shared" si="1"/>
        <v>3.5900000000000034</v>
      </c>
      <c r="N18" s="89">
        <v>76.03</v>
      </c>
      <c r="O18" s="96">
        <v>24861.599999999999</v>
      </c>
      <c r="P18" s="96">
        <v>26120</v>
      </c>
      <c r="Q18" s="96">
        <v>649384992</v>
      </c>
      <c r="R18" s="93" t="s">
        <v>30</v>
      </c>
      <c r="S18" s="97"/>
      <c r="T18" s="98"/>
      <c r="U18" s="98"/>
      <c r="V18" s="93"/>
      <c r="W18" s="98"/>
      <c r="X18" s="98"/>
      <c r="Y18" s="99" t="s">
        <v>31</v>
      </c>
      <c r="Z18" s="100" t="str">
        <f>MID(E18,4,2)</f>
        <v>CA</v>
      </c>
    </row>
    <row r="19" spans="1:26" s="100" customFormat="1" x14ac:dyDescent="0.2">
      <c r="A19" s="92">
        <v>46235</v>
      </c>
      <c r="B19" s="90" t="s">
        <v>45</v>
      </c>
      <c r="C19" s="93" t="s">
        <v>46</v>
      </c>
      <c r="D19" s="94" t="s">
        <v>47</v>
      </c>
      <c r="E19" s="90" t="s">
        <v>48</v>
      </c>
      <c r="F19" s="90" t="s">
        <v>49</v>
      </c>
      <c r="G19" s="90" t="s">
        <v>50</v>
      </c>
      <c r="H19" s="95" t="str">
        <f t="shared" si="2"/>
        <v>C4246J30</v>
      </c>
      <c r="I19" s="95" t="s">
        <v>2166</v>
      </c>
      <c r="J19" s="89">
        <v>10.9</v>
      </c>
      <c r="K19" s="89">
        <f>IF(D19="CAESARSTONE LTD",VLOOKUP(H19,'[2]GIA CA'!G:H,2,0),IF(OR(D19="STONE FACINGS LIMITED",D19="NORDIA SA",D19="INVICTUS STONE COUNTERTOPS INC",D19="QUARTZTOP LLC"),VLOOKUP(H19,'[2] Giá ngoài Mỹ - SI-GR'!$B$5:$AZ$84,51,0),IF(OR(D19="HYUNDAI L&amp;C CANADA INC",D19="Hyundai L&amp; C USA LLC"),VLOOKUP(H19,'[2]GIA HS'!A:D,4,0),IF(Y19="Mỹ",VLOOKUP(H19,'[2]giá mỹ từ 6.8.2025'!B:I,2,0),VLOOKUP(H19,'[2]giá ngoài mỹ 6.8.2025 (final)'!B:BP,51,0)))))</f>
        <v>73</v>
      </c>
      <c r="L19" s="89">
        <v>78</v>
      </c>
      <c r="M19" s="89">
        <f t="shared" si="1"/>
        <v>5</v>
      </c>
      <c r="N19" s="89">
        <v>77.63</v>
      </c>
      <c r="O19" s="96">
        <v>846.16</v>
      </c>
      <c r="P19" s="96">
        <v>26120</v>
      </c>
      <c r="Q19" s="96">
        <v>22101699</v>
      </c>
      <c r="R19" s="93" t="s">
        <v>30</v>
      </c>
      <c r="S19" s="97"/>
      <c r="T19" s="98"/>
      <c r="U19" s="98"/>
      <c r="V19" s="93"/>
      <c r="W19" s="98"/>
      <c r="X19" s="98"/>
      <c r="Y19" s="99" t="s">
        <v>31</v>
      </c>
      <c r="Z19" s="100" t="str">
        <f>MID(E19,4,2)</f>
        <v>AT</v>
      </c>
    </row>
    <row r="20" spans="1:26" s="100" customFormat="1" x14ac:dyDescent="0.2">
      <c r="A20" s="92">
        <v>46235</v>
      </c>
      <c r="B20" s="90" t="s">
        <v>45</v>
      </c>
      <c r="C20" s="93" t="s">
        <v>46</v>
      </c>
      <c r="D20" s="94" t="s">
        <v>47</v>
      </c>
      <c r="E20" s="90" t="s">
        <v>48</v>
      </c>
      <c r="F20" s="90" t="s">
        <v>51</v>
      </c>
      <c r="G20" s="90" t="s">
        <v>50</v>
      </c>
      <c r="H20" s="95" t="str">
        <f t="shared" si="2"/>
        <v>C4246J30</v>
      </c>
      <c r="I20" s="95" t="s">
        <v>2166</v>
      </c>
      <c r="J20" s="89">
        <v>283.39999999999998</v>
      </c>
      <c r="K20" s="89">
        <f>IF(D20="CAESARSTONE LTD",VLOOKUP(H20,'[2]GIA CA'!G:H,2,0),IF(OR(D20="STONE FACINGS LIMITED",D20="NORDIA SA",D20="INVICTUS STONE COUNTERTOPS INC",D20="QUARTZTOP LLC"),VLOOKUP(H20,'[2] Giá ngoài Mỹ - SI-GR'!$B$5:$AZ$84,51,0),IF(OR(D20="HYUNDAI L&amp;C CANADA INC",D20="Hyundai L&amp; C USA LLC"),VLOOKUP(H20,'[2]GIA HS'!A:D,4,0),IF(Y20="Mỹ",VLOOKUP(H20,'[2]giá mỹ từ 6.8.2025'!B:I,2,0),VLOOKUP(H20,'[2]giá ngoài mỹ 6.8.2025 (final)'!B:BP,51,0)))))</f>
        <v>73</v>
      </c>
      <c r="L20" s="89">
        <v>78</v>
      </c>
      <c r="M20" s="89">
        <f t="shared" si="1"/>
        <v>5</v>
      </c>
      <c r="N20" s="89">
        <v>77.63</v>
      </c>
      <c r="O20" s="96">
        <v>22000.16</v>
      </c>
      <c r="P20" s="96">
        <v>26120</v>
      </c>
      <c r="Q20" s="96">
        <v>574644179</v>
      </c>
      <c r="R20" s="93" t="s">
        <v>30</v>
      </c>
      <c r="S20" s="97"/>
      <c r="T20" s="98"/>
      <c r="U20" s="98"/>
      <c r="V20" s="93"/>
      <c r="W20" s="98"/>
      <c r="X20" s="98"/>
      <c r="Y20" s="99" t="s">
        <v>31</v>
      </c>
      <c r="Z20" s="100" t="str">
        <f>MID(E20,4,2)</f>
        <v>AT</v>
      </c>
    </row>
    <row r="21" spans="1:26" s="100" customFormat="1" x14ac:dyDescent="0.2">
      <c r="A21" s="92">
        <v>46235</v>
      </c>
      <c r="B21" s="90" t="s">
        <v>45</v>
      </c>
      <c r="C21" s="93" t="s">
        <v>46</v>
      </c>
      <c r="D21" s="94" t="s">
        <v>47</v>
      </c>
      <c r="E21" s="90" t="s">
        <v>48</v>
      </c>
      <c r="F21" s="90" t="s">
        <v>52</v>
      </c>
      <c r="G21" s="90" t="s">
        <v>50</v>
      </c>
      <c r="H21" s="95" t="str">
        <f t="shared" si="2"/>
        <v>C4246J30</v>
      </c>
      <c r="I21" s="95" t="s">
        <v>2166</v>
      </c>
      <c r="J21" s="89">
        <v>81.75</v>
      </c>
      <c r="K21" s="89">
        <f>IF(D21="CAESARSTONE LTD",VLOOKUP(H21,'[2]GIA CA'!G:H,2,0),IF(OR(D21="STONE FACINGS LIMITED",D21="NORDIA SA",D21="INVICTUS STONE COUNTERTOPS INC",D21="QUARTZTOP LLC"),VLOOKUP(H21,'[2] Giá ngoài Mỹ - SI-GR'!$B$5:$AZ$84,51,0),IF(OR(D21="HYUNDAI L&amp;C CANADA INC",D21="Hyundai L&amp; C USA LLC"),VLOOKUP(H21,'[2]GIA HS'!A:D,4,0),IF(Y21="Mỹ",VLOOKUP(H21,'[2]giá mỹ từ 6.8.2025'!B:I,2,0),VLOOKUP(H21,'[2]giá ngoài mỹ 6.8.2025 (final)'!B:BP,51,0)))))</f>
        <v>73</v>
      </c>
      <c r="L21" s="89">
        <v>78</v>
      </c>
      <c r="M21" s="89">
        <f t="shared" si="1"/>
        <v>5</v>
      </c>
      <c r="N21" s="89">
        <v>77.63</v>
      </c>
      <c r="O21" s="96">
        <v>6346.2</v>
      </c>
      <c r="P21" s="96">
        <v>26120</v>
      </c>
      <c r="Q21" s="96">
        <v>165762744</v>
      </c>
      <c r="R21" s="93" t="s">
        <v>30</v>
      </c>
      <c r="S21" s="97"/>
      <c r="T21" s="98"/>
      <c r="U21" s="98"/>
      <c r="V21" s="93"/>
      <c r="W21" s="98"/>
      <c r="X21" s="98"/>
      <c r="Y21" s="99" t="s">
        <v>31</v>
      </c>
      <c r="Z21" s="100" t="str">
        <f>MID(E21,4,2)</f>
        <v>AT</v>
      </c>
    </row>
    <row r="22" spans="1:26" s="100" customFormat="1" x14ac:dyDescent="0.2">
      <c r="A22" s="92">
        <v>46235</v>
      </c>
      <c r="B22" s="90" t="s">
        <v>53</v>
      </c>
      <c r="C22" s="93" t="s">
        <v>54</v>
      </c>
      <c r="D22" s="94" t="s">
        <v>47</v>
      </c>
      <c r="E22" s="90" t="s">
        <v>55</v>
      </c>
      <c r="F22" s="90" t="s">
        <v>56</v>
      </c>
      <c r="G22" s="90" t="s">
        <v>57</v>
      </c>
      <c r="H22" s="95" t="str">
        <f t="shared" si="2"/>
        <v>C4342J20</v>
      </c>
      <c r="I22" s="95" t="s">
        <v>2166</v>
      </c>
      <c r="J22" s="89">
        <v>474.15</v>
      </c>
      <c r="K22" s="89">
        <f>IF(D22="CAESARSTONE LTD",VLOOKUP(H22,'[2]GIA CA'!G:H,2,0),IF(OR(D22="STONE FACINGS LIMITED",D22="NORDIA SA",D22="INVICTUS STONE COUNTERTOPS INC",D22="QUARTZTOP LLC"),VLOOKUP(H22,'[2] Giá ngoài Mỹ - SI-GR'!$B$5:$AZ$84,51,0),IF(OR(D22="HYUNDAI L&amp;C CANADA INC",D22="Hyundai L&amp; C USA LLC"),VLOOKUP(H22,'[2]GIA HS'!A:D,4,0),IF(Y22="Mỹ",VLOOKUP(H22,'[2]giá mỹ từ 6.8.2025'!B:I,2,0),VLOOKUP(H22,'[2]giá ngoài mỹ 6.8.2025 (final)'!B:BP,51,0)))))</f>
        <v>64</v>
      </c>
      <c r="L22" s="89">
        <v>70.3</v>
      </c>
      <c r="M22" s="89">
        <f t="shared" si="1"/>
        <v>6.2999999999999972</v>
      </c>
      <c r="N22" s="89">
        <v>70.290000000000006</v>
      </c>
      <c r="O22" s="96">
        <v>33326.22</v>
      </c>
      <c r="P22" s="96">
        <v>26120</v>
      </c>
      <c r="Q22" s="96">
        <v>870480866</v>
      </c>
      <c r="R22" s="93" t="s">
        <v>30</v>
      </c>
      <c r="S22" s="97"/>
      <c r="T22" s="98"/>
      <c r="U22" s="98"/>
      <c r="V22" s="93"/>
      <c r="W22" s="98"/>
      <c r="X22" s="98"/>
      <c r="Y22" s="99" t="s">
        <v>31</v>
      </c>
      <c r="Z22" s="100" t="str">
        <f>MID(E22,4,2)</f>
        <v>AT</v>
      </c>
    </row>
    <row r="23" spans="1:26" s="100" customFormat="1" x14ac:dyDescent="0.2">
      <c r="A23" s="92">
        <v>46235</v>
      </c>
      <c r="B23" s="90" t="s">
        <v>58</v>
      </c>
      <c r="C23" s="93" t="s">
        <v>59</v>
      </c>
      <c r="D23" s="94" t="s">
        <v>60</v>
      </c>
      <c r="E23" s="90" t="s">
        <v>61</v>
      </c>
      <c r="F23" s="90" t="s">
        <v>62</v>
      </c>
      <c r="G23" s="90" t="s">
        <v>63</v>
      </c>
      <c r="H23" s="95" t="str">
        <f t="shared" si="2"/>
        <v>C4255J30</v>
      </c>
      <c r="I23" s="95" t="s">
        <v>2166</v>
      </c>
      <c r="J23" s="89">
        <v>261.60000000000002</v>
      </c>
      <c r="K23" s="89">
        <f>IF(D23="CAESARSTONE LTD",VLOOKUP(H23,'[2]GIA CA'!G:H,2,0),IF(OR(D23="STONE FACINGS LIMITED",D23="NORDIA SA",D23="INVICTUS STONE COUNTERTOPS INC",D23="QUARTZTOP LLC"),VLOOKUP(H23,'[2] Giá ngoài Mỹ - SI-GR'!$B$5:$AZ$84,51,0),IF(OR(D23="HYUNDAI L&amp;C CANADA INC",D23="Hyundai L&amp; C USA LLC"),VLOOKUP(H23,'[2]GIA HS'!A:D,4,0),IF(Y23="Mỹ",VLOOKUP(H23,'[2]giá mỹ từ 6.8.2025'!B:I,2,0),VLOOKUP(H23,'[2]giá ngoài mỹ 6.8.2025 (final)'!B:BP,51,0)))))</f>
        <v>82</v>
      </c>
      <c r="L23" s="89">
        <v>86.1</v>
      </c>
      <c r="M23" s="89">
        <f t="shared" si="1"/>
        <v>4.0999999999999943</v>
      </c>
      <c r="N23" s="89">
        <v>86.02</v>
      </c>
      <c r="O23" s="96">
        <v>22503.09</v>
      </c>
      <c r="P23" s="96">
        <v>26120</v>
      </c>
      <c r="Q23" s="96">
        <v>587780711</v>
      </c>
      <c r="R23" s="93" t="s">
        <v>30</v>
      </c>
      <c r="S23" s="97"/>
      <c r="T23" s="98"/>
      <c r="U23" s="98"/>
      <c r="V23" s="93"/>
      <c r="W23" s="98"/>
      <c r="X23" s="98"/>
      <c r="Y23" s="99" t="s">
        <v>31</v>
      </c>
      <c r="Z23" s="100" t="str">
        <f>MID(E23,4,2)</f>
        <v>HS</v>
      </c>
    </row>
    <row r="24" spans="1:26" s="100" customFormat="1" x14ac:dyDescent="0.2">
      <c r="A24" s="92">
        <v>46235</v>
      </c>
      <c r="B24" s="90" t="s">
        <v>58</v>
      </c>
      <c r="C24" s="93" t="s">
        <v>59</v>
      </c>
      <c r="D24" s="94" t="s">
        <v>60</v>
      </c>
      <c r="E24" s="90" t="s">
        <v>61</v>
      </c>
      <c r="F24" s="90" t="s">
        <v>64</v>
      </c>
      <c r="G24" s="90" t="s">
        <v>63</v>
      </c>
      <c r="H24" s="95" t="str">
        <f t="shared" si="2"/>
        <v>C4255J30</v>
      </c>
      <c r="I24" s="95" t="s">
        <v>2166</v>
      </c>
      <c r="J24" s="89">
        <v>32.700000000000003</v>
      </c>
      <c r="K24" s="89">
        <f>IF(D24="CAESARSTONE LTD",VLOOKUP(H24,'[2]GIA CA'!G:H,2,0),IF(OR(D24="STONE FACINGS LIMITED",D24="NORDIA SA",D24="INVICTUS STONE COUNTERTOPS INC",D24="QUARTZTOP LLC"),VLOOKUP(H24,'[2] Giá ngoài Mỹ - SI-GR'!$B$5:$AZ$84,51,0),IF(OR(D24="HYUNDAI L&amp;C CANADA INC",D24="Hyundai L&amp; C USA LLC"),VLOOKUP(H24,'[2]GIA HS'!A:D,4,0),IF(Y24="Mỹ",VLOOKUP(H24,'[2]giá mỹ từ 6.8.2025'!B:I,2,0),VLOOKUP(H24,'[2]giá ngoài mỹ 6.8.2025 (final)'!B:BP,51,0)))))</f>
        <v>82</v>
      </c>
      <c r="L24" s="89">
        <v>86.1</v>
      </c>
      <c r="M24" s="89">
        <f t="shared" si="1"/>
        <v>4.0999999999999943</v>
      </c>
      <c r="N24" s="89">
        <v>86.02</v>
      </c>
      <c r="O24" s="96">
        <v>2812.89</v>
      </c>
      <c r="P24" s="96">
        <v>26120</v>
      </c>
      <c r="Q24" s="96">
        <v>73472687</v>
      </c>
      <c r="R24" s="93" t="s">
        <v>30</v>
      </c>
      <c r="S24" s="97"/>
      <c r="T24" s="98"/>
      <c r="U24" s="98"/>
      <c r="V24" s="93"/>
      <c r="W24" s="98"/>
      <c r="X24" s="98"/>
      <c r="Y24" s="99" t="s">
        <v>31</v>
      </c>
      <c r="Z24" s="100" t="str">
        <f>MID(E24,4,2)</f>
        <v>HS</v>
      </c>
    </row>
    <row r="25" spans="1:26" s="100" customFormat="1" x14ac:dyDescent="0.2">
      <c r="A25" s="92">
        <v>46235</v>
      </c>
      <c r="B25" s="90" t="s">
        <v>58</v>
      </c>
      <c r="C25" s="93" t="s">
        <v>59</v>
      </c>
      <c r="D25" s="94" t="s">
        <v>60</v>
      </c>
      <c r="E25" s="90" t="s">
        <v>61</v>
      </c>
      <c r="F25" s="90" t="s">
        <v>62</v>
      </c>
      <c r="G25" s="90" t="s">
        <v>63</v>
      </c>
      <c r="H25" s="95" t="str">
        <f t="shared" si="2"/>
        <v>C4255J30</v>
      </c>
      <c r="I25" s="95" t="s">
        <v>2166</v>
      </c>
      <c r="J25" s="89">
        <v>294.3</v>
      </c>
      <c r="K25" s="89">
        <f>IF(D25="CAESARSTONE LTD",VLOOKUP(H25,'[2]GIA CA'!G:H,2,0),IF(OR(D25="STONE FACINGS LIMITED",D25="NORDIA SA",D25="INVICTUS STONE COUNTERTOPS INC",D25="QUARTZTOP LLC"),VLOOKUP(H25,'[2] Giá ngoài Mỹ - SI-GR'!$B$5:$AZ$84,51,0),IF(OR(D25="HYUNDAI L&amp;C CANADA INC",D25="Hyundai L&amp; C USA LLC"),VLOOKUP(H25,'[2]GIA HS'!A:D,4,0),IF(Y25="Mỹ",VLOOKUP(H25,'[2]giá mỹ từ 6.8.2025'!B:I,2,0),VLOOKUP(H25,'[2]giá ngoài mỹ 6.8.2025 (final)'!B:BP,51,0)))))</f>
        <v>82</v>
      </c>
      <c r="L25" s="89">
        <v>86.1</v>
      </c>
      <c r="M25" s="89">
        <f t="shared" si="1"/>
        <v>4.0999999999999943</v>
      </c>
      <c r="N25" s="89">
        <v>86.02</v>
      </c>
      <c r="O25" s="96">
        <v>25315.98</v>
      </c>
      <c r="P25" s="96">
        <v>26120</v>
      </c>
      <c r="Q25" s="96">
        <v>661253398</v>
      </c>
      <c r="R25" s="93" t="s">
        <v>30</v>
      </c>
      <c r="S25" s="97"/>
      <c r="T25" s="98"/>
      <c r="U25" s="98"/>
      <c r="V25" s="93"/>
      <c r="W25" s="98"/>
      <c r="X25" s="98"/>
      <c r="Y25" s="99" t="s">
        <v>31</v>
      </c>
      <c r="Z25" s="100" t="str">
        <f>MID(E25,4,2)</f>
        <v>HS</v>
      </c>
    </row>
    <row r="26" spans="1:26" s="100" customFormat="1" x14ac:dyDescent="0.2">
      <c r="A26" s="92">
        <v>46235</v>
      </c>
      <c r="B26" s="90" t="s">
        <v>65</v>
      </c>
      <c r="C26" s="93" t="s">
        <v>66</v>
      </c>
      <c r="D26" s="94" t="s">
        <v>26</v>
      </c>
      <c r="E26" s="90" t="s">
        <v>67</v>
      </c>
      <c r="F26" s="90" t="s">
        <v>68</v>
      </c>
      <c r="G26" s="90" t="s">
        <v>69</v>
      </c>
      <c r="H26" s="95" t="str">
        <f t="shared" si="2"/>
        <v>C4004J30</v>
      </c>
      <c r="I26" s="95" t="s">
        <v>2166</v>
      </c>
      <c r="J26" s="89">
        <v>16.350000000000001</v>
      </c>
      <c r="K26" s="89">
        <f>IF(D26="CAESARSTONE LTD",VLOOKUP(H26,'[2]GIA CA'!G:H,2,0),IF(OR(D26="STONE FACINGS LIMITED",D26="NORDIA SA",D26="INVICTUS STONE COUNTERTOPS INC",D26="QUARTZTOP LLC"),VLOOKUP(H26,'[2] Giá ngoài Mỹ - SI-GR'!$B$5:$AZ$84,51,0),IF(OR(D26="HYUNDAI L&amp;C CANADA INC",D26="Hyundai L&amp; C USA LLC"),VLOOKUP(H26,'[2]GIA HS'!A:D,4,0),IF(Y26="Mỹ",VLOOKUP(H26,'[2]giá mỹ từ 6.8.2025'!B:I,2,0),VLOOKUP(H26,'[2]giá ngoài mỹ 6.8.2025 (final)'!B:BP,51,0)))))</f>
        <v>68.75</v>
      </c>
      <c r="L26" s="89">
        <f>+N26</f>
        <v>72</v>
      </c>
      <c r="M26" s="89">
        <f t="shared" si="1"/>
        <v>3.25</v>
      </c>
      <c r="N26" s="89">
        <v>72</v>
      </c>
      <c r="O26" s="96">
        <v>1177.2</v>
      </c>
      <c r="P26" s="96">
        <v>26120</v>
      </c>
      <c r="Q26" s="96">
        <v>30748464</v>
      </c>
      <c r="R26" s="93" t="s">
        <v>30</v>
      </c>
      <c r="S26" s="97"/>
      <c r="T26" s="98"/>
      <c r="U26" s="98"/>
      <c r="V26" s="93"/>
      <c r="W26" s="98"/>
      <c r="X26" s="98"/>
      <c r="Y26" s="99" t="s">
        <v>31</v>
      </c>
      <c r="Z26" s="100" t="str">
        <f>MID(E26,4,2)</f>
        <v>CA</v>
      </c>
    </row>
    <row r="27" spans="1:26" s="100" customFormat="1" x14ac:dyDescent="0.2">
      <c r="A27" s="92">
        <v>46235</v>
      </c>
      <c r="B27" s="90" t="s">
        <v>65</v>
      </c>
      <c r="C27" s="93" t="s">
        <v>66</v>
      </c>
      <c r="D27" s="94" t="s">
        <v>26</v>
      </c>
      <c r="E27" s="90" t="s">
        <v>67</v>
      </c>
      <c r="F27" s="90" t="s">
        <v>70</v>
      </c>
      <c r="G27" s="90" t="s">
        <v>71</v>
      </c>
      <c r="H27" s="95" t="str">
        <f t="shared" si="2"/>
        <v>C5116J30</v>
      </c>
      <c r="I27" s="95" t="s">
        <v>2166</v>
      </c>
      <c r="J27" s="89">
        <v>76.3</v>
      </c>
      <c r="K27" s="89">
        <f>IF(D27="CAESARSTONE LTD",VLOOKUP(H27,'[2]GIA CA'!G:H,2,0),IF(OR(D27="STONE FACINGS LIMITED",D27="NORDIA SA",D27="INVICTUS STONE COUNTERTOPS INC",D27="QUARTZTOP LLC"),VLOOKUP(H27,'[2] Giá ngoài Mỹ - SI-GR'!$B$5:$AZ$84,51,0),IF(OR(D27="HYUNDAI L&amp;C CANADA INC",D27="Hyundai L&amp; C USA LLC"),VLOOKUP(H27,'[2]GIA HS'!A:D,4,0),IF(Y27="Mỹ",VLOOKUP(H27,'[2]giá mỹ từ 6.8.2025'!B:I,2,0),VLOOKUP(H27,'[2]giá ngoài mỹ 6.8.2025 (final)'!B:BP,51,0)))))</f>
        <v>81.25</v>
      </c>
      <c r="L27" s="89">
        <v>81.400000000000006</v>
      </c>
      <c r="M27" s="89">
        <f t="shared" si="1"/>
        <v>0.15000000000000568</v>
      </c>
      <c r="N27" s="89">
        <v>83</v>
      </c>
      <c r="O27" s="89">
        <v>6332.9</v>
      </c>
      <c r="P27" s="96">
        <v>26120</v>
      </c>
      <c r="Q27" s="96">
        <v>165415348</v>
      </c>
      <c r="R27" s="93" t="s">
        <v>30</v>
      </c>
      <c r="S27" s="97"/>
      <c r="T27" s="98"/>
      <c r="U27" s="98"/>
      <c r="V27" s="93"/>
      <c r="W27" s="98"/>
      <c r="X27" s="98"/>
      <c r="Y27" s="99" t="s">
        <v>31</v>
      </c>
      <c r="Z27" s="100" t="str">
        <f>MID(E27,4,2)</f>
        <v>CA</v>
      </c>
    </row>
    <row r="28" spans="1:26" s="100" customFormat="1" x14ac:dyDescent="0.2">
      <c r="A28" s="92">
        <v>46235</v>
      </c>
      <c r="B28" s="90" t="s">
        <v>65</v>
      </c>
      <c r="C28" s="93" t="s">
        <v>66</v>
      </c>
      <c r="D28" s="94" t="s">
        <v>26</v>
      </c>
      <c r="E28" s="90" t="s">
        <v>67</v>
      </c>
      <c r="F28" s="90" t="s">
        <v>72</v>
      </c>
      <c r="G28" s="90" t="s">
        <v>73</v>
      </c>
      <c r="H28" s="95" t="str">
        <f t="shared" si="2"/>
        <v>C5143J30</v>
      </c>
      <c r="I28" s="95" t="s">
        <v>2166</v>
      </c>
      <c r="J28" s="89">
        <v>38.15</v>
      </c>
      <c r="K28" s="89">
        <f>IF(D28="CAESARSTONE LTD",VLOOKUP(H28,'[2]GIA CA'!G:H,2,0),IF(OR(D28="STONE FACINGS LIMITED",D28="NORDIA SA",D28="INVICTUS STONE COUNTERTOPS INC",D28="QUARTZTOP LLC"),VLOOKUP(H28,'[2] Giá ngoài Mỹ - SI-GR'!$B$5:$AZ$84,51,0),IF(OR(D28="HYUNDAI L&amp;C CANADA INC",D28="Hyundai L&amp; C USA LLC"),VLOOKUP(H28,'[2]GIA HS'!A:D,4,0),IF(Y28="Mỹ",VLOOKUP(H28,'[2]giá mỹ từ 6.8.2025'!B:I,2,0),VLOOKUP(H28,'[2]giá ngoài mỹ 6.8.2025 (final)'!B:BP,51,0)))))</f>
        <v>73.75</v>
      </c>
      <c r="L28" s="89">
        <f t="shared" ref="L28:L30" si="3">+N28</f>
        <v>74</v>
      </c>
      <c r="M28" s="89">
        <f t="shared" si="1"/>
        <v>0.25</v>
      </c>
      <c r="N28" s="89">
        <v>74</v>
      </c>
      <c r="O28" s="89">
        <v>2823.1</v>
      </c>
      <c r="P28" s="96">
        <v>26120</v>
      </c>
      <c r="Q28" s="96">
        <v>73739372</v>
      </c>
      <c r="R28" s="93" t="s">
        <v>30</v>
      </c>
      <c r="S28" s="97"/>
      <c r="T28" s="98"/>
      <c r="U28" s="98"/>
      <c r="V28" s="93"/>
      <c r="W28" s="98"/>
      <c r="X28" s="98"/>
      <c r="Y28" s="99" t="s">
        <v>31</v>
      </c>
      <c r="Z28" s="100" t="str">
        <f>MID(E28,4,2)</f>
        <v>CA</v>
      </c>
    </row>
    <row r="29" spans="1:26" s="100" customFormat="1" x14ac:dyDescent="0.2">
      <c r="A29" s="92">
        <v>46235</v>
      </c>
      <c r="B29" s="90" t="s">
        <v>65</v>
      </c>
      <c r="C29" s="93" t="s">
        <v>66</v>
      </c>
      <c r="D29" s="94" t="s">
        <v>26</v>
      </c>
      <c r="E29" s="90" t="s">
        <v>67</v>
      </c>
      <c r="F29" s="90" t="s">
        <v>74</v>
      </c>
      <c r="G29" s="90" t="s">
        <v>75</v>
      </c>
      <c r="H29" s="95" t="str">
        <f t="shared" si="2"/>
        <v>C5151J30</v>
      </c>
      <c r="I29" s="95" t="s">
        <v>2166</v>
      </c>
      <c r="J29" s="89">
        <v>27.25</v>
      </c>
      <c r="K29" s="89">
        <f>IF(D29="CAESARSTONE LTD",VLOOKUP(H29,'[2]GIA CA'!G:H,2,0),IF(OR(D29="STONE FACINGS LIMITED",D29="NORDIA SA",D29="INVICTUS STONE COUNTERTOPS INC",D29="QUARTZTOP LLC"),VLOOKUP(H29,'[2] Giá ngoài Mỹ - SI-GR'!$B$5:$AZ$84,51,0),IF(OR(D29="HYUNDAI L&amp;C CANADA INC",D29="Hyundai L&amp; C USA LLC"),VLOOKUP(H29,'[2]GIA HS'!A:D,4,0),IF(Y29="Mỹ",VLOOKUP(H29,'[2]giá mỹ từ 6.8.2025'!B:I,2,0),VLOOKUP(H29,'[2]giá ngoài mỹ 6.8.2025 (final)'!B:BP,51,0)))))</f>
        <v>81.25</v>
      </c>
      <c r="L29" s="89">
        <f t="shared" si="3"/>
        <v>85</v>
      </c>
      <c r="M29" s="89">
        <f t="shared" si="1"/>
        <v>3.75</v>
      </c>
      <c r="N29" s="89">
        <v>85</v>
      </c>
      <c r="O29" s="89">
        <v>2316.25</v>
      </c>
      <c r="P29" s="96">
        <v>26120</v>
      </c>
      <c r="Q29" s="96">
        <v>60500450</v>
      </c>
      <c r="R29" s="93" t="s">
        <v>30</v>
      </c>
      <c r="S29" s="97"/>
      <c r="T29" s="98"/>
      <c r="U29" s="98"/>
      <c r="V29" s="93"/>
      <c r="W29" s="98"/>
      <c r="X29" s="98"/>
      <c r="Y29" s="99" t="s">
        <v>31</v>
      </c>
      <c r="Z29" s="100" t="str">
        <f>MID(E29,4,2)</f>
        <v>CA</v>
      </c>
    </row>
    <row r="30" spans="1:26" s="100" customFormat="1" x14ac:dyDescent="0.2">
      <c r="A30" s="92">
        <v>46235</v>
      </c>
      <c r="B30" s="90" t="s">
        <v>65</v>
      </c>
      <c r="C30" s="93" t="s">
        <v>66</v>
      </c>
      <c r="D30" s="94" t="s">
        <v>26</v>
      </c>
      <c r="E30" s="90" t="s">
        <v>67</v>
      </c>
      <c r="F30" s="90" t="s">
        <v>76</v>
      </c>
      <c r="G30" s="90" t="s">
        <v>75</v>
      </c>
      <c r="H30" s="95" t="str">
        <f t="shared" si="2"/>
        <v>C5151J30</v>
      </c>
      <c r="I30" s="95" t="s">
        <v>2166</v>
      </c>
      <c r="J30" s="89">
        <v>10.9</v>
      </c>
      <c r="K30" s="89">
        <f>IF(D30="CAESARSTONE LTD",VLOOKUP(H30,'[2]GIA CA'!G:H,2,0),IF(OR(D30="STONE FACINGS LIMITED",D30="NORDIA SA",D30="INVICTUS STONE COUNTERTOPS INC",D30="QUARTZTOP LLC"),VLOOKUP(H30,'[2] Giá ngoài Mỹ - SI-GR'!$B$5:$AZ$84,51,0),IF(OR(D30="HYUNDAI L&amp;C CANADA INC",D30="Hyundai L&amp; C USA LLC"),VLOOKUP(H30,'[2]GIA HS'!A:D,4,0),IF(Y30="Mỹ",VLOOKUP(H30,'[2]giá mỹ từ 6.8.2025'!B:I,2,0),VLOOKUP(H30,'[2]giá ngoài mỹ 6.8.2025 (final)'!B:BP,51,0)))))</f>
        <v>81.25</v>
      </c>
      <c r="L30" s="89">
        <f t="shared" si="3"/>
        <v>85</v>
      </c>
      <c r="M30" s="89">
        <f t="shared" si="1"/>
        <v>3.75</v>
      </c>
      <c r="N30" s="89">
        <v>85</v>
      </c>
      <c r="O30" s="89">
        <v>926.5</v>
      </c>
      <c r="P30" s="96">
        <v>26120</v>
      </c>
      <c r="Q30" s="96">
        <v>24200180</v>
      </c>
      <c r="R30" s="93" t="s">
        <v>30</v>
      </c>
      <c r="S30" s="97"/>
      <c r="T30" s="98"/>
      <c r="U30" s="98"/>
      <c r="V30" s="93"/>
      <c r="W30" s="98"/>
      <c r="X30" s="98"/>
      <c r="Y30" s="99" t="s">
        <v>31</v>
      </c>
      <c r="Z30" s="100" t="str">
        <f>MID(E30,4,2)</f>
        <v>CA</v>
      </c>
    </row>
    <row r="31" spans="1:26" s="100" customFormat="1" x14ac:dyDescent="0.2">
      <c r="A31" s="92">
        <v>46235</v>
      </c>
      <c r="B31" s="90" t="s">
        <v>65</v>
      </c>
      <c r="C31" s="93" t="s">
        <v>66</v>
      </c>
      <c r="D31" s="94" t="s">
        <v>26</v>
      </c>
      <c r="E31" s="90" t="s">
        <v>67</v>
      </c>
      <c r="F31" s="90" t="s">
        <v>77</v>
      </c>
      <c r="G31" s="90" t="s">
        <v>78</v>
      </c>
      <c r="H31" s="95" t="str">
        <f t="shared" si="2"/>
        <v>C5212J30</v>
      </c>
      <c r="I31" s="95" t="s">
        <v>2166</v>
      </c>
      <c r="J31" s="89">
        <v>38.15</v>
      </c>
      <c r="K31" s="89">
        <f>IF(D31="CAESARSTONE LTD",VLOOKUP(H31,'[2]GIA CA'!G:H,2,0),IF(OR(D31="STONE FACINGS LIMITED",D31="NORDIA SA",D31="INVICTUS STONE COUNTERTOPS INC",D31="QUARTZTOP LLC"),VLOOKUP(H31,'[2] Giá ngoài Mỹ - SI-GR'!$B$5:$AZ$84,51,0),IF(OR(D31="HYUNDAI L&amp;C CANADA INC",D31="Hyundai L&amp; C USA LLC"),VLOOKUP(H31,'[2]GIA HS'!A:D,4,0),IF(Y31="Mỹ",VLOOKUP(H31,'[2]giá mỹ từ 6.8.2025'!B:I,2,0),VLOOKUP(H31,'[2]giá ngoài mỹ 6.8.2025 (final)'!B:BP,51,0)))))</f>
        <v>73.75</v>
      </c>
      <c r="L31" s="89">
        <v>97.1</v>
      </c>
      <c r="M31" s="89">
        <f t="shared" si="1"/>
        <v>23.349999999999994</v>
      </c>
      <c r="N31" s="89">
        <v>78.06</v>
      </c>
      <c r="O31" s="89">
        <v>2977.82</v>
      </c>
      <c r="P31" s="96">
        <v>26120</v>
      </c>
      <c r="Q31" s="96">
        <v>77780658</v>
      </c>
      <c r="R31" s="93" t="s">
        <v>30</v>
      </c>
      <c r="S31" s="97"/>
      <c r="T31" s="98"/>
      <c r="U31" s="98"/>
      <c r="V31" s="93"/>
      <c r="W31" s="98"/>
      <c r="X31" s="98"/>
      <c r="Y31" s="99" t="s">
        <v>31</v>
      </c>
      <c r="Z31" s="100" t="str">
        <f>MID(E31,4,2)</f>
        <v>CA</v>
      </c>
    </row>
    <row r="32" spans="1:26" s="100" customFormat="1" x14ac:dyDescent="0.2">
      <c r="A32" s="92">
        <v>46235</v>
      </c>
      <c r="B32" s="90" t="s">
        <v>65</v>
      </c>
      <c r="C32" s="93" t="s">
        <v>66</v>
      </c>
      <c r="D32" s="94" t="s">
        <v>26</v>
      </c>
      <c r="E32" s="90" t="s">
        <v>67</v>
      </c>
      <c r="F32" s="90" t="s">
        <v>79</v>
      </c>
      <c r="G32" s="90" t="s">
        <v>80</v>
      </c>
      <c r="H32" s="95" t="str">
        <f t="shared" si="2"/>
        <v>C6046J30</v>
      </c>
      <c r="I32" s="95" t="s">
        <v>2166</v>
      </c>
      <c r="J32" s="89">
        <v>38.15</v>
      </c>
      <c r="K32" s="89">
        <f>IF(D32="CAESARSTONE LTD",VLOOKUP(H32,'[2]GIA CA'!G:H,2,0),IF(OR(D32="STONE FACINGS LIMITED",D32="NORDIA SA",D32="INVICTUS STONE COUNTERTOPS INC",D32="QUARTZTOP LLC"),VLOOKUP(H32,'[2] Giá ngoài Mỹ - SI-GR'!$B$5:$AZ$84,51,0),IF(OR(D32="HYUNDAI L&amp;C CANADA INC",D32="Hyundai L&amp; C USA LLC"),VLOOKUP(H32,'[2]GIA HS'!A:D,4,0),IF(Y32="Mỹ",VLOOKUP(H32,'[2]giá mỹ từ 6.8.2025'!B:I,2,0),VLOOKUP(H32,'[2]giá ngoài mỹ 6.8.2025 (final)'!B:BP,51,0)))))</f>
        <v>73.75</v>
      </c>
      <c r="L32" s="89">
        <f>+N32</f>
        <v>77</v>
      </c>
      <c r="M32" s="89">
        <f t="shared" si="1"/>
        <v>3.25</v>
      </c>
      <c r="N32" s="89">
        <v>77</v>
      </c>
      <c r="O32" s="89">
        <v>2937.55</v>
      </c>
      <c r="P32" s="96">
        <v>26120</v>
      </c>
      <c r="Q32" s="96">
        <v>76728806</v>
      </c>
      <c r="R32" s="93" t="s">
        <v>30</v>
      </c>
      <c r="S32" s="97"/>
      <c r="T32" s="98"/>
      <c r="U32" s="98"/>
      <c r="V32" s="93"/>
      <c r="W32" s="98"/>
      <c r="X32" s="98"/>
      <c r="Y32" s="99" t="s">
        <v>31</v>
      </c>
      <c r="Z32" s="100" t="str">
        <f>MID(E32,4,2)</f>
        <v>CA</v>
      </c>
    </row>
    <row r="33" spans="1:26" s="100" customFormat="1" x14ac:dyDescent="0.2">
      <c r="A33" s="92">
        <v>46235</v>
      </c>
      <c r="B33" s="90" t="s">
        <v>65</v>
      </c>
      <c r="C33" s="93" t="s">
        <v>66</v>
      </c>
      <c r="D33" s="94" t="s">
        <v>26</v>
      </c>
      <c r="E33" s="90" t="s">
        <v>67</v>
      </c>
      <c r="F33" s="90" t="s">
        <v>43</v>
      </c>
      <c r="G33" s="90" t="s">
        <v>44</v>
      </c>
      <c r="H33" s="95" t="str">
        <f t="shared" si="2"/>
        <v>F5141J30</v>
      </c>
      <c r="I33" s="95" t="s">
        <v>2166</v>
      </c>
      <c r="J33" s="89">
        <v>38.15</v>
      </c>
      <c r="K33" s="89">
        <f>IF(D33="CAESARSTONE LTD",VLOOKUP(H33,'[2]GIA CA'!G:H,2,0),IF(OR(D33="STONE FACINGS LIMITED",D33="NORDIA SA",D33="INVICTUS STONE COUNTERTOPS INC",D33="QUARTZTOP LLC"),VLOOKUP(H33,'[2] Giá ngoài Mỹ - SI-GR'!$B$5:$AZ$84,51,0),IF(OR(D33="HYUNDAI L&amp;C CANADA INC",D33="Hyundai L&amp; C USA LLC"),VLOOKUP(H33,'[2]GIA HS'!A:D,4,0),IF(Y33="Mỹ",VLOOKUP(H33,'[2]giá mỹ từ 6.8.2025'!B:I,2,0),VLOOKUP(H33,'[2]giá ngoài mỹ 6.8.2025 (final)'!B:BP,51,0)))))</f>
        <v>72.5</v>
      </c>
      <c r="L33" s="89">
        <v>81.400000000000006</v>
      </c>
      <c r="M33" s="89">
        <f t="shared" si="1"/>
        <v>8.9000000000000057</v>
      </c>
      <c r="N33" s="89">
        <v>76</v>
      </c>
      <c r="O33" s="96">
        <v>2899.4</v>
      </c>
      <c r="P33" s="96">
        <v>26120</v>
      </c>
      <c r="Q33" s="96">
        <v>75732328</v>
      </c>
      <c r="R33" s="93" t="s">
        <v>30</v>
      </c>
      <c r="S33" s="97"/>
      <c r="T33" s="98"/>
      <c r="U33" s="98"/>
      <c r="V33" s="93"/>
      <c r="W33" s="98"/>
      <c r="X33" s="98"/>
      <c r="Y33" s="99" t="s">
        <v>31</v>
      </c>
      <c r="Z33" s="100" t="str">
        <f>MID(E33,4,2)</f>
        <v>CA</v>
      </c>
    </row>
    <row r="34" spans="1:26" s="100" customFormat="1" x14ac:dyDescent="0.2">
      <c r="A34" s="92">
        <v>46235</v>
      </c>
      <c r="B34" s="90" t="s">
        <v>81</v>
      </c>
      <c r="C34" s="93" t="s">
        <v>82</v>
      </c>
      <c r="D34" s="94" t="s">
        <v>26</v>
      </c>
      <c r="E34" s="90" t="s">
        <v>83</v>
      </c>
      <c r="F34" s="90" t="s">
        <v>84</v>
      </c>
      <c r="G34" s="90" t="s">
        <v>85</v>
      </c>
      <c r="H34" s="95" t="str">
        <f t="shared" si="2"/>
        <v>C4001J30</v>
      </c>
      <c r="I34" s="95" t="s">
        <v>2166</v>
      </c>
      <c r="J34" s="89">
        <v>76.3</v>
      </c>
      <c r="K34" s="89">
        <f>IF(D34="CAESARSTONE LTD",VLOOKUP(H34,'[2]GIA CA'!G:H,2,0),IF(OR(D34="STONE FACINGS LIMITED",D34="NORDIA SA",D34="INVICTUS STONE COUNTERTOPS INC",D34="QUARTZTOP LLC"),VLOOKUP(H34,'[2] Giá ngoài Mỹ - SI-GR'!$B$5:$AZ$84,51,0),IF(OR(D34="HYUNDAI L&amp;C CANADA INC",D34="Hyundai L&amp; C USA LLC"),VLOOKUP(H34,'[2]GIA HS'!A:D,4,0),IF(Y34="Mỹ",VLOOKUP(H34,'[2]giá mỹ từ 6.8.2025'!B:I,2,0),VLOOKUP(H34,'[2]giá ngoài mỹ 6.8.2025 (final)'!B:BP,51,0)))))</f>
        <v>68.75</v>
      </c>
      <c r="L34" s="89">
        <v>81.400000000000006</v>
      </c>
      <c r="M34" s="89">
        <f t="shared" si="1"/>
        <v>12.650000000000006</v>
      </c>
      <c r="N34" s="89">
        <v>72</v>
      </c>
      <c r="O34" s="96">
        <v>5493.6</v>
      </c>
      <c r="P34" s="96">
        <v>26120</v>
      </c>
      <c r="Q34" s="96">
        <v>143492832</v>
      </c>
      <c r="R34" s="93" t="s">
        <v>30</v>
      </c>
      <c r="S34" s="97"/>
      <c r="T34" s="98"/>
      <c r="U34" s="98"/>
      <c r="V34" s="93"/>
      <c r="W34" s="98"/>
      <c r="X34" s="98"/>
      <c r="Y34" s="99" t="s">
        <v>31</v>
      </c>
      <c r="Z34" s="100" t="str">
        <f>MID(E34,4,2)</f>
        <v>CA</v>
      </c>
    </row>
    <row r="35" spans="1:26" s="100" customFormat="1" x14ac:dyDescent="0.2">
      <c r="A35" s="92">
        <v>46235</v>
      </c>
      <c r="B35" s="90" t="s">
        <v>81</v>
      </c>
      <c r="C35" s="93" t="s">
        <v>82</v>
      </c>
      <c r="D35" s="94" t="s">
        <v>26</v>
      </c>
      <c r="E35" s="90" t="s">
        <v>83</v>
      </c>
      <c r="F35" s="90" t="s">
        <v>86</v>
      </c>
      <c r="G35" s="90" t="s">
        <v>87</v>
      </c>
      <c r="H35" s="95" t="str">
        <f t="shared" si="2"/>
        <v>C4033J30</v>
      </c>
      <c r="I35" s="95" t="s">
        <v>2166</v>
      </c>
      <c r="J35" s="89">
        <v>38.15</v>
      </c>
      <c r="K35" s="89">
        <f>+L35</f>
        <v>78.8</v>
      </c>
      <c r="L35" s="89">
        <v>78.8</v>
      </c>
      <c r="M35" s="89">
        <f t="shared" si="1"/>
        <v>0</v>
      </c>
      <c r="N35" s="89">
        <v>75</v>
      </c>
      <c r="O35" s="96">
        <v>2861.25</v>
      </c>
      <c r="P35" s="96">
        <v>26120</v>
      </c>
      <c r="Q35" s="96">
        <v>74735850</v>
      </c>
      <c r="R35" s="93" t="s">
        <v>30</v>
      </c>
      <c r="S35" s="97"/>
      <c r="T35" s="98"/>
      <c r="U35" s="98"/>
      <c r="V35" s="93"/>
      <c r="W35" s="98"/>
      <c r="X35" s="98"/>
      <c r="Y35" s="99" t="s">
        <v>31</v>
      </c>
      <c r="Z35" s="100" t="str">
        <f>MID(E35,4,2)</f>
        <v>CA</v>
      </c>
    </row>
    <row r="36" spans="1:26" s="100" customFormat="1" x14ac:dyDescent="0.2">
      <c r="A36" s="92">
        <v>46235</v>
      </c>
      <c r="B36" s="90" t="s">
        <v>81</v>
      </c>
      <c r="C36" s="93" t="s">
        <v>82</v>
      </c>
      <c r="D36" s="94" t="s">
        <v>26</v>
      </c>
      <c r="E36" s="90" t="s">
        <v>83</v>
      </c>
      <c r="F36" s="90" t="s">
        <v>36</v>
      </c>
      <c r="G36" s="90" t="s">
        <v>37</v>
      </c>
      <c r="H36" s="95" t="str">
        <f t="shared" si="2"/>
        <v>F5105J30</v>
      </c>
      <c r="I36" s="95" t="s">
        <v>2166</v>
      </c>
      <c r="J36" s="89">
        <v>38.15</v>
      </c>
      <c r="K36" s="89">
        <f>IF(D36="CAESARSTONE LTD",VLOOKUP(H36,'[2]GIA CA'!G:H,2,0),IF(OR(D36="STONE FACINGS LIMITED",D36="NORDIA SA",D36="INVICTUS STONE COUNTERTOPS INC",D36="QUARTZTOP LLC"),VLOOKUP(H36,'[2] Giá ngoài Mỹ - SI-GR'!$B$5:$AZ$84,51,0),IF(OR(D36="HYUNDAI L&amp;C CANADA INC",D36="Hyundai L&amp; C USA LLC"),VLOOKUP(H36,'[2]GIA HS'!A:D,4,0),IF(Y36="Mỹ",VLOOKUP(H36,'[2]giá mỹ từ 6.8.2025'!B:I,2,0),VLOOKUP(H36,'[2]giá ngoài mỹ 6.8.2025 (final)'!B:BP,51,0)))))</f>
        <v>85</v>
      </c>
      <c r="L36" s="89">
        <f>+N36</f>
        <v>89</v>
      </c>
      <c r="M36" s="89">
        <f t="shared" si="1"/>
        <v>4</v>
      </c>
      <c r="N36" s="89">
        <v>89</v>
      </c>
      <c r="O36" s="96">
        <v>3395.35</v>
      </c>
      <c r="P36" s="96">
        <v>26120</v>
      </c>
      <c r="Q36" s="96">
        <v>88686542</v>
      </c>
      <c r="R36" s="93" t="s">
        <v>30</v>
      </c>
      <c r="S36" s="97"/>
      <c r="T36" s="98"/>
      <c r="U36" s="98"/>
      <c r="V36" s="93"/>
      <c r="W36" s="98"/>
      <c r="X36" s="98"/>
      <c r="Y36" s="99" t="s">
        <v>31</v>
      </c>
      <c r="Z36" s="100" t="str">
        <f>MID(E36,4,2)</f>
        <v>CA</v>
      </c>
    </row>
    <row r="37" spans="1:26" s="100" customFormat="1" x14ac:dyDescent="0.2">
      <c r="A37" s="92">
        <v>46235</v>
      </c>
      <c r="B37" s="90" t="s">
        <v>81</v>
      </c>
      <c r="C37" s="93" t="s">
        <v>82</v>
      </c>
      <c r="D37" s="94" t="s">
        <v>26</v>
      </c>
      <c r="E37" s="90" t="s">
        <v>83</v>
      </c>
      <c r="F37" s="90" t="s">
        <v>88</v>
      </c>
      <c r="G37" s="90" t="s">
        <v>89</v>
      </c>
      <c r="H37" s="95" t="str">
        <f t="shared" si="2"/>
        <v>F5131J20</v>
      </c>
      <c r="I37" s="95" t="s">
        <v>2166</v>
      </c>
      <c r="J37" s="89">
        <v>54.5</v>
      </c>
      <c r="K37" s="89">
        <f>IF(D37="CAESARSTONE LTD",VLOOKUP(H37,'[2]GIA CA'!G:H,2,0),IF(OR(D37="STONE FACINGS LIMITED",D37="NORDIA SA",D37="INVICTUS STONE COUNTERTOPS INC",D37="QUARTZTOP LLC"),VLOOKUP(H37,'[2] Giá ngoài Mỹ - SI-GR'!$B$5:$AZ$84,51,0),IF(OR(D37="HYUNDAI L&amp;C CANADA INC",D37="Hyundai L&amp; C USA LLC"),VLOOKUP(H37,'[2]GIA HS'!A:D,4,0),IF(Y37="Mỹ",VLOOKUP(H37,'[2]giá mỹ từ 6.8.2025'!B:I,2,0),VLOOKUP(H37,'[2]giá ngoài mỹ 6.8.2025 (final)'!B:BP,51,0)))))</f>
        <v>60</v>
      </c>
      <c r="L37" s="89">
        <v>77.400000000000006</v>
      </c>
      <c r="M37" s="89">
        <f t="shared" si="1"/>
        <v>17.400000000000006</v>
      </c>
      <c r="N37" s="89">
        <v>62.75</v>
      </c>
      <c r="O37" s="89">
        <v>3419.97</v>
      </c>
      <c r="P37" s="96">
        <v>26120</v>
      </c>
      <c r="Q37" s="96">
        <v>89329616</v>
      </c>
      <c r="R37" s="93" t="s">
        <v>30</v>
      </c>
      <c r="S37" s="97"/>
      <c r="T37" s="98"/>
      <c r="U37" s="98"/>
      <c r="V37" s="93"/>
      <c r="W37" s="98"/>
      <c r="X37" s="98"/>
      <c r="Y37" s="99" t="s">
        <v>31</v>
      </c>
      <c r="Z37" s="100" t="str">
        <f>MID(E37,4,2)</f>
        <v>CA</v>
      </c>
    </row>
    <row r="38" spans="1:26" s="100" customFormat="1" x14ac:dyDescent="0.2">
      <c r="A38" s="92">
        <v>46235</v>
      </c>
      <c r="B38" s="90" t="s">
        <v>81</v>
      </c>
      <c r="C38" s="93" t="s">
        <v>82</v>
      </c>
      <c r="D38" s="94" t="s">
        <v>26</v>
      </c>
      <c r="E38" s="90" t="s">
        <v>83</v>
      </c>
      <c r="F38" s="90" t="s">
        <v>38</v>
      </c>
      <c r="G38" s="90" t="s">
        <v>39</v>
      </c>
      <c r="H38" s="95" t="str">
        <f t="shared" si="2"/>
        <v>F5143J30</v>
      </c>
      <c r="I38" s="95" t="s">
        <v>2166</v>
      </c>
      <c r="J38" s="89">
        <v>76.3</v>
      </c>
      <c r="K38" s="89">
        <f>IF(D38="CAESARSTONE LTD",VLOOKUP(H38,'[2]GIA CA'!G:H,2,0),IF(OR(D38="STONE FACINGS LIMITED",D38="NORDIA SA",D38="INVICTUS STONE COUNTERTOPS INC",D38="QUARTZTOP LLC"),VLOOKUP(H38,'[2] Giá ngoài Mỹ - SI-GR'!$B$5:$AZ$84,51,0),IF(OR(D38="HYUNDAI L&amp;C CANADA INC",D38="Hyundai L&amp; C USA LLC"),VLOOKUP(H38,'[2]GIA HS'!A:D,4,0),IF(Y38="Mỹ",VLOOKUP(H38,'[2]giá mỹ từ 6.8.2025'!B:I,2,0),VLOOKUP(H38,'[2]giá ngoài mỹ 6.8.2025 (final)'!B:BP,51,0)))))</f>
        <v>77.5</v>
      </c>
      <c r="L38" s="89">
        <f>+N38</f>
        <v>81</v>
      </c>
      <c r="M38" s="89">
        <f t="shared" si="1"/>
        <v>3.5</v>
      </c>
      <c r="N38" s="89">
        <v>81</v>
      </c>
      <c r="O38" s="96">
        <v>6180.3</v>
      </c>
      <c r="P38" s="96">
        <v>26120</v>
      </c>
      <c r="Q38" s="96">
        <v>161429436</v>
      </c>
      <c r="R38" s="93" t="s">
        <v>30</v>
      </c>
      <c r="S38" s="97"/>
      <c r="T38" s="98"/>
      <c r="U38" s="98"/>
      <c r="V38" s="93"/>
      <c r="W38" s="98"/>
      <c r="X38" s="98"/>
      <c r="Y38" s="99" t="s">
        <v>31</v>
      </c>
      <c r="Z38" s="100" t="str">
        <f>MID(E38,4,2)</f>
        <v>CA</v>
      </c>
    </row>
    <row r="39" spans="1:26" s="100" customFormat="1" x14ac:dyDescent="0.2">
      <c r="A39" s="92">
        <v>46235</v>
      </c>
      <c r="B39" s="90" t="s">
        <v>81</v>
      </c>
      <c r="C39" s="93" t="s">
        <v>82</v>
      </c>
      <c r="D39" s="94" t="s">
        <v>26</v>
      </c>
      <c r="E39" s="90" t="s">
        <v>83</v>
      </c>
      <c r="F39" s="90" t="s">
        <v>90</v>
      </c>
      <c r="G39" s="90" t="s">
        <v>91</v>
      </c>
      <c r="H39" s="95" t="str">
        <f t="shared" si="2"/>
        <v>F6131J30</v>
      </c>
      <c r="I39" s="95" t="s">
        <v>2166</v>
      </c>
      <c r="J39" s="89">
        <v>76.3</v>
      </c>
      <c r="K39" s="89">
        <f>IF(D39="CAESARSTONE LTD",VLOOKUP(H39,'[2]GIA CA'!G:H,2,0),IF(OR(D39="STONE FACINGS LIMITED",D39="NORDIA SA",D39="INVICTUS STONE COUNTERTOPS INC",D39="QUARTZTOP LLC"),VLOOKUP(H39,'[2] Giá ngoài Mỹ - SI-GR'!$B$5:$AZ$84,51,0),IF(OR(D39="HYUNDAI L&amp;C CANADA INC",D39="Hyundai L&amp; C USA LLC"),VLOOKUP(H39,'[2]GIA HS'!A:D,4,0),IF(Y39="Mỹ",VLOOKUP(H39,'[2]giá mỹ từ 6.8.2025'!B:I,2,0),VLOOKUP(H39,'[2]giá ngoài mỹ 6.8.2025 (final)'!B:BP,51,0)))))</f>
        <v>77.5</v>
      </c>
      <c r="L39" s="89">
        <v>97.1</v>
      </c>
      <c r="M39" s="89">
        <f t="shared" si="1"/>
        <v>19.599999999999994</v>
      </c>
      <c r="N39" s="89">
        <v>78</v>
      </c>
      <c r="O39" s="96">
        <v>5951.4</v>
      </c>
      <c r="P39" s="96">
        <v>26120</v>
      </c>
      <c r="Q39" s="96">
        <v>155450568</v>
      </c>
      <c r="R39" s="93" t="s">
        <v>30</v>
      </c>
      <c r="S39" s="97"/>
      <c r="T39" s="98"/>
      <c r="U39" s="98"/>
      <c r="V39" s="93"/>
      <c r="W39" s="98"/>
      <c r="X39" s="98"/>
      <c r="Y39" s="99" t="s">
        <v>31</v>
      </c>
      <c r="Z39" s="100" t="str">
        <f>MID(E39,4,2)</f>
        <v>CA</v>
      </c>
    </row>
    <row r="40" spans="1:26" s="100" customFormat="1" x14ac:dyDescent="0.2">
      <c r="A40" s="92">
        <v>46235</v>
      </c>
      <c r="B40" s="90" t="s">
        <v>92</v>
      </c>
      <c r="C40" s="93" t="s">
        <v>93</v>
      </c>
      <c r="D40" s="94" t="s">
        <v>26</v>
      </c>
      <c r="E40" s="90" t="s">
        <v>94</v>
      </c>
      <c r="F40" s="90" t="s">
        <v>95</v>
      </c>
      <c r="G40" s="90" t="s">
        <v>96</v>
      </c>
      <c r="H40" s="95" t="str">
        <f t="shared" si="2"/>
        <v>C5212J20</v>
      </c>
      <c r="I40" s="95" t="s">
        <v>2166</v>
      </c>
      <c r="J40" s="89">
        <v>1.56</v>
      </c>
      <c r="K40" s="89">
        <f>IF(D40="CAESARSTONE LTD",VLOOKUP(H40,'[2]GIA CA'!G:H,2,0),IF(OR(D40="STONE FACINGS LIMITED",D40="NORDIA SA",D40="INVICTUS STONE COUNTERTOPS INC",D40="QUARTZTOP LLC"),VLOOKUP(H40,'[2] Giá ngoài Mỹ - SI-GR'!$B$5:$AZ$84,51,0),IF(OR(D40="HYUNDAI L&amp;C CANADA INC",D40="Hyundai L&amp; C USA LLC"),VLOOKUP(H40,'[2]GIA HS'!A:D,4,0),IF(Y40="Mỹ",VLOOKUP(H40,'[2]giá mỹ từ 6.8.2025'!B:I,2,0),VLOOKUP(H40,'[2]giá ngoài mỹ 6.8.2025 (final)'!B:BP,51,0)))))</f>
        <v>59</v>
      </c>
      <c r="L40" s="89">
        <v>94.87</v>
      </c>
      <c r="M40" s="89">
        <f t="shared" si="1"/>
        <v>35.870000000000005</v>
      </c>
      <c r="N40" s="89">
        <v>95</v>
      </c>
      <c r="O40" s="96">
        <v>148.19999999999999</v>
      </c>
      <c r="P40" s="96">
        <v>26120</v>
      </c>
      <c r="Q40" s="96">
        <v>3870984</v>
      </c>
      <c r="R40" s="93"/>
      <c r="S40" s="97"/>
      <c r="T40" s="98" t="s">
        <v>30</v>
      </c>
      <c r="U40" s="98"/>
      <c r="V40" s="93"/>
      <c r="W40" s="98"/>
      <c r="X40" s="98"/>
      <c r="Y40" s="99" t="s">
        <v>97</v>
      </c>
      <c r="Z40" s="100" t="str">
        <f>MID(E40,4,2)</f>
        <v>CA</v>
      </c>
    </row>
    <row r="41" spans="1:26" s="100" customFormat="1" x14ac:dyDescent="0.2">
      <c r="A41" s="92">
        <v>46235</v>
      </c>
      <c r="B41" s="90" t="s">
        <v>92</v>
      </c>
      <c r="C41" s="93" t="s">
        <v>93</v>
      </c>
      <c r="D41" s="94" t="s">
        <v>26</v>
      </c>
      <c r="E41" s="90" t="s">
        <v>94</v>
      </c>
      <c r="F41" s="90" t="s">
        <v>95</v>
      </c>
      <c r="G41" s="90" t="s">
        <v>96</v>
      </c>
      <c r="H41" s="95" t="str">
        <f t="shared" si="2"/>
        <v>C5212J20</v>
      </c>
      <c r="I41" s="95" t="s">
        <v>2166</v>
      </c>
      <c r="J41" s="89">
        <v>3.13</v>
      </c>
      <c r="K41" s="89">
        <f>IF(D41="CAESARSTONE LTD",VLOOKUP(H41,'[2]GIA CA'!G:H,2,0),IF(OR(D41="STONE FACINGS LIMITED",D41="NORDIA SA",D41="INVICTUS STONE COUNTERTOPS INC",D41="QUARTZTOP LLC"),VLOOKUP(H41,'[2] Giá ngoài Mỹ - SI-GR'!$B$5:$AZ$84,51,0),IF(OR(D41="HYUNDAI L&amp;C CANADA INC",D41="Hyundai L&amp; C USA LLC"),VLOOKUP(H41,'[2]GIA HS'!A:D,4,0),IF(Y41="Mỹ",VLOOKUP(H41,'[2]giá mỹ từ 6.8.2025'!B:I,2,0),VLOOKUP(H41,'[2]giá ngoài mỹ 6.8.2025 (final)'!B:BP,51,0)))))</f>
        <v>59</v>
      </c>
      <c r="L41" s="89">
        <v>94.57</v>
      </c>
      <c r="M41" s="89">
        <f t="shared" si="1"/>
        <v>35.569999999999993</v>
      </c>
      <c r="N41" s="89">
        <v>95</v>
      </c>
      <c r="O41" s="89">
        <v>297.35000000000002</v>
      </c>
      <c r="P41" s="96">
        <v>26120</v>
      </c>
      <c r="Q41" s="96">
        <v>7766782</v>
      </c>
      <c r="R41" s="93"/>
      <c r="S41" s="97"/>
      <c r="T41" s="98" t="s">
        <v>30</v>
      </c>
      <c r="U41" s="98"/>
      <c r="V41" s="93"/>
      <c r="W41" s="98"/>
      <c r="X41" s="98"/>
      <c r="Y41" s="99" t="s">
        <v>97</v>
      </c>
      <c r="Z41" s="100" t="str">
        <f>MID(E41,4,2)</f>
        <v>CA</v>
      </c>
    </row>
    <row r="42" spans="1:26" s="100" customFormat="1" x14ac:dyDescent="0.2">
      <c r="A42" s="92">
        <v>46235</v>
      </c>
      <c r="B42" s="90" t="s">
        <v>92</v>
      </c>
      <c r="C42" s="93" t="s">
        <v>93</v>
      </c>
      <c r="D42" s="94" t="s">
        <v>26</v>
      </c>
      <c r="E42" s="90" t="s">
        <v>94</v>
      </c>
      <c r="F42" s="90" t="s">
        <v>98</v>
      </c>
      <c r="G42" s="90" t="s">
        <v>99</v>
      </c>
      <c r="H42" s="95" t="str">
        <f t="shared" si="2"/>
        <v>C5820J20</v>
      </c>
      <c r="I42" s="95" t="s">
        <v>2166</v>
      </c>
      <c r="J42" s="89">
        <v>2.5</v>
      </c>
      <c r="K42" s="89">
        <f>L42</f>
        <v>94.72</v>
      </c>
      <c r="L42" s="89">
        <v>94.72</v>
      </c>
      <c r="M42" s="89">
        <f t="shared" si="1"/>
        <v>0</v>
      </c>
      <c r="N42" s="89">
        <v>95</v>
      </c>
      <c r="O42" s="96">
        <v>237.5</v>
      </c>
      <c r="P42" s="96">
        <v>26120</v>
      </c>
      <c r="Q42" s="96">
        <v>6203500</v>
      </c>
      <c r="R42" s="93"/>
      <c r="S42" s="97"/>
      <c r="T42" s="98" t="s">
        <v>30</v>
      </c>
      <c r="U42" s="98"/>
      <c r="V42" s="93"/>
      <c r="W42" s="98"/>
      <c r="X42" s="98"/>
      <c r="Y42" s="99" t="s">
        <v>97</v>
      </c>
      <c r="Z42" s="100" t="str">
        <f>MID(E42,4,2)</f>
        <v>CA</v>
      </c>
    </row>
    <row r="43" spans="1:26" s="100" customFormat="1" x14ac:dyDescent="0.2">
      <c r="A43" s="92">
        <v>46235</v>
      </c>
      <c r="B43" s="90" t="s">
        <v>92</v>
      </c>
      <c r="C43" s="93" t="s">
        <v>93</v>
      </c>
      <c r="D43" s="94" t="s">
        <v>26</v>
      </c>
      <c r="E43" s="90" t="s">
        <v>94</v>
      </c>
      <c r="F43" s="90" t="s">
        <v>98</v>
      </c>
      <c r="G43" s="90" t="s">
        <v>99</v>
      </c>
      <c r="H43" s="95" t="str">
        <f t="shared" si="2"/>
        <v>C5820J20</v>
      </c>
      <c r="I43" s="95" t="s">
        <v>2166</v>
      </c>
      <c r="J43" s="89">
        <v>2.19</v>
      </c>
      <c r="K43" s="89">
        <f>+L43</f>
        <v>94.61</v>
      </c>
      <c r="L43" s="89">
        <v>94.61</v>
      </c>
      <c r="M43" s="89">
        <f t="shared" si="1"/>
        <v>0</v>
      </c>
      <c r="N43" s="89">
        <v>95</v>
      </c>
      <c r="O43" s="96">
        <v>208.05</v>
      </c>
      <c r="P43" s="96">
        <v>26120</v>
      </c>
      <c r="Q43" s="96">
        <v>5434266</v>
      </c>
      <c r="R43" s="93"/>
      <c r="S43" s="97"/>
      <c r="T43" s="98" t="s">
        <v>30</v>
      </c>
      <c r="U43" s="98"/>
      <c r="V43" s="93"/>
      <c r="W43" s="98"/>
      <c r="X43" s="98"/>
      <c r="Y43" s="99" t="s">
        <v>97</v>
      </c>
      <c r="Z43" s="100" t="str">
        <f>MID(E43,4,2)</f>
        <v>CA</v>
      </c>
    </row>
    <row r="44" spans="1:26" s="100" customFormat="1" x14ac:dyDescent="0.2">
      <c r="A44" s="92">
        <v>46235</v>
      </c>
      <c r="B44" s="90" t="s">
        <v>92</v>
      </c>
      <c r="C44" s="93" t="s">
        <v>93</v>
      </c>
      <c r="D44" s="94" t="s">
        <v>26</v>
      </c>
      <c r="E44" s="90" t="s">
        <v>94</v>
      </c>
      <c r="F44" s="90" t="s">
        <v>100</v>
      </c>
      <c r="G44" s="90" t="s">
        <v>101</v>
      </c>
      <c r="H44" s="95" t="str">
        <f t="shared" si="2"/>
        <v>F4004J20</v>
      </c>
      <c r="I44" s="95" t="s">
        <v>2166</v>
      </c>
      <c r="J44" s="89">
        <v>4</v>
      </c>
      <c r="K44" s="89">
        <f>IF(D44="CAESARSTONE LTD",VLOOKUP(H44,'[2]GIA CA'!G:H,2,0),IF(OR(D44="STONE FACINGS LIMITED",D44="NORDIA SA",D44="INVICTUS STONE COUNTERTOPS INC",D44="QUARTZTOP LLC"),VLOOKUP(H44,'[2] Giá ngoài Mỹ - SI-GR'!$B$5:$AZ$84,51,0),IF(OR(D44="HYUNDAI L&amp;C CANADA INC",D44="Hyundai L&amp; C USA LLC"),VLOOKUP(H44,'[2]GIA HS'!A:D,4,0),IF(Y44="Mỹ",VLOOKUP(H44,'[2]giá mỹ từ 6.8.2025'!B:I,2,0),VLOOKUP(H44,'[2]giá ngoài mỹ 6.8.2025 (final)'!B:BP,51,0)))))</f>
        <v>58</v>
      </c>
      <c r="L44" s="89">
        <v>94.72</v>
      </c>
      <c r="M44" s="89">
        <f t="shared" si="1"/>
        <v>36.72</v>
      </c>
      <c r="N44" s="89">
        <v>95</v>
      </c>
      <c r="O44" s="96">
        <v>380</v>
      </c>
      <c r="P44" s="96">
        <v>26120</v>
      </c>
      <c r="Q44" s="96">
        <v>9925600</v>
      </c>
      <c r="R44" s="93"/>
      <c r="S44" s="97"/>
      <c r="T44" s="98" t="s">
        <v>30</v>
      </c>
      <c r="U44" s="98"/>
      <c r="V44" s="93"/>
      <c r="W44" s="98"/>
      <c r="X44" s="98"/>
      <c r="Y44" s="99" t="s">
        <v>97</v>
      </c>
      <c r="Z44" s="100" t="str">
        <f>MID(E44,4,2)</f>
        <v>CA</v>
      </c>
    </row>
    <row r="45" spans="1:26" s="100" customFormat="1" x14ac:dyDescent="0.2">
      <c r="A45" s="92">
        <v>46235</v>
      </c>
      <c r="B45" s="90" t="s">
        <v>92</v>
      </c>
      <c r="C45" s="93" t="s">
        <v>93</v>
      </c>
      <c r="D45" s="94" t="s">
        <v>26</v>
      </c>
      <c r="E45" s="90" t="s">
        <v>94</v>
      </c>
      <c r="F45" s="90" t="s">
        <v>100</v>
      </c>
      <c r="G45" s="90" t="s">
        <v>101</v>
      </c>
      <c r="H45" s="95" t="str">
        <f t="shared" si="2"/>
        <v>F4004J20</v>
      </c>
      <c r="I45" s="95" t="s">
        <v>2166</v>
      </c>
      <c r="J45" s="89">
        <v>4</v>
      </c>
      <c r="K45" s="89">
        <f>IF(D45="CAESARSTONE LTD",VLOOKUP(H45,'[2]GIA CA'!G:H,2,0),IF(OR(D45="STONE FACINGS LIMITED",D45="NORDIA SA",D45="INVICTUS STONE COUNTERTOPS INC",D45="QUARTZTOP LLC"),VLOOKUP(H45,'[2] Giá ngoài Mỹ - SI-GR'!$B$5:$AZ$84,51,0),IF(OR(D45="HYUNDAI L&amp;C CANADA INC",D45="Hyundai L&amp; C USA LLC"),VLOOKUP(H45,'[2]GIA HS'!A:D,4,0),IF(Y45="Mỹ",VLOOKUP(H45,'[2]giá mỹ từ 6.8.2025'!B:I,2,0),VLOOKUP(H45,'[2]giá ngoài mỹ 6.8.2025 (final)'!B:BP,51,0)))))</f>
        <v>58</v>
      </c>
      <c r="L45" s="89">
        <v>94.72</v>
      </c>
      <c r="M45" s="89">
        <f t="shared" si="1"/>
        <v>36.72</v>
      </c>
      <c r="N45" s="89">
        <v>95</v>
      </c>
      <c r="O45" s="96">
        <v>380</v>
      </c>
      <c r="P45" s="96">
        <v>26120</v>
      </c>
      <c r="Q45" s="96">
        <v>9925600</v>
      </c>
      <c r="R45" s="93"/>
      <c r="S45" s="97"/>
      <c r="T45" s="98" t="s">
        <v>30</v>
      </c>
      <c r="U45" s="98"/>
      <c r="V45" s="93"/>
      <c r="W45" s="98"/>
      <c r="X45" s="98"/>
      <c r="Y45" s="99" t="s">
        <v>97</v>
      </c>
      <c r="Z45" s="100" t="str">
        <f>MID(E45,4,2)</f>
        <v>CA</v>
      </c>
    </row>
    <row r="46" spans="1:26" s="100" customFormat="1" x14ac:dyDescent="0.2">
      <c r="A46" s="92">
        <v>46235</v>
      </c>
      <c r="B46" s="90" t="s">
        <v>92</v>
      </c>
      <c r="C46" s="93" t="s">
        <v>93</v>
      </c>
      <c r="D46" s="94" t="s">
        <v>26</v>
      </c>
      <c r="E46" s="90" t="s">
        <v>94</v>
      </c>
      <c r="F46" s="90" t="s">
        <v>102</v>
      </c>
      <c r="G46" s="90" t="s">
        <v>103</v>
      </c>
      <c r="H46" s="95" t="str">
        <f t="shared" si="2"/>
        <v>F5144J20</v>
      </c>
      <c r="I46" s="95" t="s">
        <v>2166</v>
      </c>
      <c r="J46" s="89">
        <v>4</v>
      </c>
      <c r="K46" s="89">
        <f>IF(D46="CAESARSTONE LTD",VLOOKUP(H46,'[2]GIA CA'!G:H,2,0),IF(OR(D46="STONE FACINGS LIMITED",D46="NORDIA SA",D46="INVICTUS STONE COUNTERTOPS INC",D46="QUARTZTOP LLC"),VLOOKUP(H46,'[2] Giá ngoài Mỹ - SI-GR'!$B$5:$AZ$84,51,0),IF(OR(D46="HYUNDAI L&amp;C CANADA INC",D46="Hyundai L&amp; C USA LLC"),VLOOKUP(H46,'[2]GIA HS'!A:D,4,0),IF(Y46="Mỹ",VLOOKUP(H46,'[2]giá mỹ từ 6.8.2025'!B:I,2,0),VLOOKUP(H46,'[2]giá ngoài mỹ 6.8.2025 (final)'!B:BP,51,0)))))</f>
        <v>62</v>
      </c>
      <c r="L46" s="89">
        <v>94.72</v>
      </c>
      <c r="M46" s="89">
        <f t="shared" si="1"/>
        <v>32.72</v>
      </c>
      <c r="N46" s="89">
        <v>95</v>
      </c>
      <c r="O46" s="89">
        <v>380</v>
      </c>
      <c r="P46" s="96">
        <v>26120</v>
      </c>
      <c r="Q46" s="96">
        <v>9925600</v>
      </c>
      <c r="R46" s="93"/>
      <c r="S46" s="97"/>
      <c r="T46" s="98" t="s">
        <v>30</v>
      </c>
      <c r="U46" s="98"/>
      <c r="V46" s="93"/>
      <c r="W46" s="98"/>
      <c r="X46" s="98"/>
      <c r="Y46" s="99" t="s">
        <v>97</v>
      </c>
      <c r="Z46" s="100" t="str">
        <f>MID(E46,4,2)</f>
        <v>CA</v>
      </c>
    </row>
    <row r="47" spans="1:26" s="100" customFormat="1" x14ac:dyDescent="0.2">
      <c r="A47" s="92">
        <v>46235</v>
      </c>
      <c r="B47" s="90" t="s">
        <v>92</v>
      </c>
      <c r="C47" s="93" t="s">
        <v>93</v>
      </c>
      <c r="D47" s="94" t="s">
        <v>26</v>
      </c>
      <c r="E47" s="90" t="s">
        <v>94</v>
      </c>
      <c r="F47" s="90" t="s">
        <v>104</v>
      </c>
      <c r="G47" s="90" t="s">
        <v>105</v>
      </c>
      <c r="H47" s="95" t="str">
        <f t="shared" si="2"/>
        <v>C1111J20</v>
      </c>
      <c r="I47" s="95" t="s">
        <v>2166</v>
      </c>
      <c r="J47" s="89">
        <v>1.56</v>
      </c>
      <c r="K47" s="89">
        <f>IF(D47="CAESARSTONE LTD",VLOOKUP(H47,'[2]GIA CA'!G:H,2,0),IF(OR(D47="STONE FACINGS LIMITED",D47="NORDIA SA",D47="INVICTUS STONE COUNTERTOPS INC",D47="QUARTZTOP LLC"),VLOOKUP(H47,'[2] Giá ngoài Mỹ - SI-GR'!$B$5:$AZ$84,51,0),IF(OR(D47="HYUNDAI L&amp;C CANADA INC",D47="Hyundai L&amp; C USA LLC"),VLOOKUP(H47,'[2]GIA HS'!A:D,4,0),IF(Y47="Mỹ",VLOOKUP(H47,'[2]giá mỹ từ 6.8.2025'!B:I,2,0),VLOOKUP(H47,'[2]giá ngoài mỹ 6.8.2025 (final)'!B:BP,51,0)))))</f>
        <v>57</v>
      </c>
      <c r="L47" s="89">
        <v>94.87</v>
      </c>
      <c r="M47" s="89">
        <f t="shared" si="1"/>
        <v>37.870000000000005</v>
      </c>
      <c r="N47" s="89">
        <v>95</v>
      </c>
      <c r="O47" s="89">
        <v>148.19999999999999</v>
      </c>
      <c r="P47" s="96">
        <v>26120</v>
      </c>
      <c r="Q47" s="96">
        <v>3870984</v>
      </c>
      <c r="R47" s="93"/>
      <c r="S47" s="97"/>
      <c r="T47" s="98" t="s">
        <v>30</v>
      </c>
      <c r="U47" s="98"/>
      <c r="V47" s="93"/>
      <c r="W47" s="98"/>
      <c r="X47" s="98"/>
      <c r="Y47" s="99" t="s">
        <v>97</v>
      </c>
      <c r="Z47" s="100" t="str">
        <f>MID(E47,4,2)</f>
        <v>CA</v>
      </c>
    </row>
    <row r="48" spans="1:26" s="100" customFormat="1" x14ac:dyDescent="0.2">
      <c r="A48" s="92">
        <v>46235</v>
      </c>
      <c r="B48" s="90" t="s">
        <v>92</v>
      </c>
      <c r="C48" s="93" t="s">
        <v>93</v>
      </c>
      <c r="D48" s="94" t="s">
        <v>26</v>
      </c>
      <c r="E48" s="90" t="s">
        <v>94</v>
      </c>
      <c r="F48" s="90" t="s">
        <v>102</v>
      </c>
      <c r="G48" s="90" t="s">
        <v>103</v>
      </c>
      <c r="H48" s="95" t="str">
        <f t="shared" si="2"/>
        <v>F5144J20</v>
      </c>
      <c r="I48" s="95" t="s">
        <v>2166</v>
      </c>
      <c r="J48" s="89">
        <v>4</v>
      </c>
      <c r="K48" s="89">
        <f>IF(D48="CAESARSTONE LTD",VLOOKUP(H48,'[2]GIA CA'!G:H,2,0),IF(OR(D48="STONE FACINGS LIMITED",D48="NORDIA SA",D48="INVICTUS STONE COUNTERTOPS INC",D48="QUARTZTOP LLC"),VLOOKUP(H48,'[2] Giá ngoài Mỹ - SI-GR'!$B$5:$AZ$84,51,0),IF(OR(D48="HYUNDAI L&amp;C CANADA INC",D48="Hyundai L&amp; C USA LLC"),VLOOKUP(H48,'[2]GIA HS'!A:D,4,0),IF(Y48="Mỹ",VLOOKUP(H48,'[2]giá mỹ từ 6.8.2025'!B:I,2,0),VLOOKUP(H48,'[2]giá ngoài mỹ 6.8.2025 (final)'!B:BP,51,0)))))</f>
        <v>62</v>
      </c>
      <c r="L48" s="89">
        <v>94.72</v>
      </c>
      <c r="M48" s="89">
        <f t="shared" si="1"/>
        <v>32.72</v>
      </c>
      <c r="N48" s="89">
        <v>95</v>
      </c>
      <c r="O48" s="89">
        <v>380</v>
      </c>
      <c r="P48" s="96">
        <v>26120</v>
      </c>
      <c r="Q48" s="96">
        <v>9925600</v>
      </c>
      <c r="R48" s="93"/>
      <c r="S48" s="97"/>
      <c r="T48" s="98" t="s">
        <v>30</v>
      </c>
      <c r="U48" s="98"/>
      <c r="V48" s="93"/>
      <c r="W48" s="98"/>
      <c r="X48" s="98"/>
      <c r="Y48" s="99" t="s">
        <v>97</v>
      </c>
      <c r="Z48" s="100" t="str">
        <f>MID(E48,4,2)</f>
        <v>CA</v>
      </c>
    </row>
    <row r="49" spans="1:26" s="100" customFormat="1" x14ac:dyDescent="0.2">
      <c r="A49" s="92">
        <v>46235</v>
      </c>
      <c r="B49" s="90" t="s">
        <v>92</v>
      </c>
      <c r="C49" s="93" t="s">
        <v>93</v>
      </c>
      <c r="D49" s="94" t="s">
        <v>26</v>
      </c>
      <c r="E49" s="90" t="s">
        <v>94</v>
      </c>
      <c r="F49" s="90" t="s">
        <v>106</v>
      </c>
      <c r="G49" s="90" t="s">
        <v>107</v>
      </c>
      <c r="H49" s="95" t="str">
        <f t="shared" si="2"/>
        <v>F5152J20</v>
      </c>
      <c r="I49" s="95" t="s">
        <v>2166</v>
      </c>
      <c r="J49" s="89">
        <v>4</v>
      </c>
      <c r="K49" s="89">
        <f>IF(D49="CAESARSTONE LTD",VLOOKUP(H49,'[2]GIA CA'!G:H,2,0),IF(OR(D49="STONE FACINGS LIMITED",D49="NORDIA SA",D49="INVICTUS STONE COUNTERTOPS INC",D49="QUARTZTOP LLC"),VLOOKUP(H49,'[2] Giá ngoài Mỹ - SI-GR'!$B$5:$AZ$84,51,0),IF(OR(D49="HYUNDAI L&amp;C CANADA INC",D49="Hyundai L&amp; C USA LLC"),VLOOKUP(H49,'[2]GIA HS'!A:D,4,0),IF(Y49="Mỹ",VLOOKUP(H49,'[2]giá mỹ từ 6.8.2025'!B:I,2,0),VLOOKUP(H49,'[2]giá ngoài mỹ 6.8.2025 (final)'!B:BP,51,0)))))</f>
        <v>62</v>
      </c>
      <c r="L49" s="89">
        <v>129.28</v>
      </c>
      <c r="M49" s="89">
        <f t="shared" si="1"/>
        <v>67.28</v>
      </c>
      <c r="N49" s="89">
        <v>129</v>
      </c>
      <c r="O49" s="89">
        <v>516</v>
      </c>
      <c r="P49" s="96">
        <v>26120</v>
      </c>
      <c r="Q49" s="96">
        <v>13477920</v>
      </c>
      <c r="R49" s="93"/>
      <c r="S49" s="97"/>
      <c r="T49" s="98" t="s">
        <v>30</v>
      </c>
      <c r="U49" s="98"/>
      <c r="V49" s="93"/>
      <c r="W49" s="98"/>
      <c r="X49" s="98"/>
      <c r="Y49" s="99" t="s">
        <v>97</v>
      </c>
      <c r="Z49" s="100" t="str">
        <f>MID(E49,4,2)</f>
        <v>CA</v>
      </c>
    </row>
    <row r="50" spans="1:26" s="100" customFormat="1" x14ac:dyDescent="0.2">
      <c r="A50" s="92">
        <v>46235</v>
      </c>
      <c r="B50" s="90" t="s">
        <v>92</v>
      </c>
      <c r="C50" s="93" t="s">
        <v>93</v>
      </c>
      <c r="D50" s="94" t="s">
        <v>26</v>
      </c>
      <c r="E50" s="90" t="s">
        <v>94</v>
      </c>
      <c r="F50" s="90" t="s">
        <v>106</v>
      </c>
      <c r="G50" s="90" t="s">
        <v>107</v>
      </c>
      <c r="H50" s="95" t="str">
        <f t="shared" si="2"/>
        <v>F5152J20</v>
      </c>
      <c r="I50" s="95"/>
      <c r="J50" s="89">
        <v>4</v>
      </c>
      <c r="K50" s="89">
        <f>IF(D50="CAESARSTONE LTD",VLOOKUP(H50,'[2]GIA CA'!G:H,2,0),IF(OR(D50="STONE FACINGS LIMITED",D50="NORDIA SA",D50="INVICTUS STONE COUNTERTOPS INC",D50="QUARTZTOP LLC"),VLOOKUP(H50,'[2] Giá ngoài Mỹ - SI-GR'!$B$5:$AZ$84,51,0),IF(OR(D50="HYUNDAI L&amp;C CANADA INC",D50="Hyundai L&amp; C USA LLC"),VLOOKUP(H50,'[2]GIA HS'!A:D,4,0),IF(Y50="Mỹ",VLOOKUP(H50,'[2]giá mỹ từ 6.8.2025'!B:I,2,0),VLOOKUP(H50,'[2]giá ngoài mỹ 6.8.2025 (final)'!B:BP,51,0)))))</f>
        <v>62</v>
      </c>
      <c r="L50" s="89">
        <v>129.28</v>
      </c>
      <c r="M50" s="89">
        <f t="shared" si="1"/>
        <v>67.28</v>
      </c>
      <c r="N50" s="89">
        <v>129</v>
      </c>
      <c r="O50" s="96">
        <v>516</v>
      </c>
      <c r="P50" s="96">
        <v>26120</v>
      </c>
      <c r="Q50" s="96">
        <v>13477920</v>
      </c>
      <c r="R50" s="93"/>
      <c r="S50" s="97"/>
      <c r="T50" s="98" t="s">
        <v>30</v>
      </c>
      <c r="U50" s="98"/>
      <c r="V50" s="93"/>
      <c r="W50" s="98"/>
      <c r="X50" s="98"/>
      <c r="Y50" s="99" t="s">
        <v>97</v>
      </c>
      <c r="Z50" s="100" t="str">
        <f>MID(E50,4,2)</f>
        <v>CA</v>
      </c>
    </row>
    <row r="51" spans="1:26" s="100" customFormat="1" x14ac:dyDescent="0.2">
      <c r="A51" s="92">
        <v>46235</v>
      </c>
      <c r="B51" s="90" t="s">
        <v>92</v>
      </c>
      <c r="C51" s="93" t="s">
        <v>93</v>
      </c>
      <c r="D51" s="94" t="s">
        <v>26</v>
      </c>
      <c r="E51" s="90" t="s">
        <v>94</v>
      </c>
      <c r="F51" s="90" t="s">
        <v>108</v>
      </c>
      <c r="G51" s="90" t="s">
        <v>109</v>
      </c>
      <c r="H51" s="95" t="str">
        <f t="shared" si="2"/>
        <v>C4011J20</v>
      </c>
      <c r="I51" s="95"/>
      <c r="J51" s="89">
        <v>65.400000000000006</v>
      </c>
      <c r="K51" s="89">
        <f t="shared" ref="K51:K52" si="4">+L51</f>
        <v>59.85</v>
      </c>
      <c r="L51" s="89">
        <v>59.85</v>
      </c>
      <c r="M51" s="89">
        <f t="shared" si="1"/>
        <v>0</v>
      </c>
      <c r="N51" s="89">
        <v>60</v>
      </c>
      <c r="O51" s="96">
        <v>3924</v>
      </c>
      <c r="P51" s="96">
        <v>26120</v>
      </c>
      <c r="Q51" s="96">
        <v>102494880</v>
      </c>
      <c r="R51" s="93" t="s">
        <v>30</v>
      </c>
      <c r="S51" s="97"/>
      <c r="T51" s="98"/>
      <c r="U51" s="98"/>
      <c r="V51" s="93"/>
      <c r="W51" s="98"/>
      <c r="X51" s="98"/>
      <c r="Y51" s="99" t="s">
        <v>97</v>
      </c>
      <c r="Z51" s="100" t="str">
        <f>MID(E51,4,2)</f>
        <v>CA</v>
      </c>
    </row>
    <row r="52" spans="1:26" s="100" customFormat="1" x14ac:dyDescent="0.2">
      <c r="A52" s="92">
        <v>46235</v>
      </c>
      <c r="B52" s="90" t="s">
        <v>92</v>
      </c>
      <c r="C52" s="93" t="s">
        <v>93</v>
      </c>
      <c r="D52" s="94" t="s">
        <v>26</v>
      </c>
      <c r="E52" s="90" t="s">
        <v>94</v>
      </c>
      <c r="F52" s="90" t="s">
        <v>110</v>
      </c>
      <c r="G52" s="90" t="s">
        <v>111</v>
      </c>
      <c r="H52" s="95" t="str">
        <f t="shared" si="2"/>
        <v>C4023J20</v>
      </c>
      <c r="I52" s="95"/>
      <c r="J52" s="89">
        <v>436</v>
      </c>
      <c r="K52" s="89">
        <f t="shared" si="4"/>
        <v>59.85</v>
      </c>
      <c r="L52" s="89">
        <v>59.85</v>
      </c>
      <c r="M52" s="89">
        <f t="shared" si="1"/>
        <v>0</v>
      </c>
      <c r="N52" s="89">
        <v>60</v>
      </c>
      <c r="O52" s="96">
        <v>26160</v>
      </c>
      <c r="P52" s="96">
        <v>26120</v>
      </c>
      <c r="Q52" s="96">
        <v>683299200</v>
      </c>
      <c r="R52" s="93" t="s">
        <v>30</v>
      </c>
      <c r="S52" s="97"/>
      <c r="T52" s="98"/>
      <c r="U52" s="98"/>
      <c r="V52" s="93"/>
      <c r="W52" s="98"/>
      <c r="X52" s="98"/>
      <c r="Y52" s="99" t="s">
        <v>97</v>
      </c>
      <c r="Z52" s="100" t="str">
        <f>MID(E52,4,2)</f>
        <v>CA</v>
      </c>
    </row>
    <row r="53" spans="1:26" s="100" customFormat="1" x14ac:dyDescent="0.2">
      <c r="A53" s="92">
        <v>46235</v>
      </c>
      <c r="B53" s="90" t="s">
        <v>92</v>
      </c>
      <c r="C53" s="93" t="s">
        <v>93</v>
      </c>
      <c r="D53" s="94" t="s">
        <v>26</v>
      </c>
      <c r="E53" s="90" t="s">
        <v>94</v>
      </c>
      <c r="F53" s="90" t="s">
        <v>112</v>
      </c>
      <c r="G53" s="90" t="s">
        <v>113</v>
      </c>
      <c r="H53" s="95" t="str">
        <f t="shared" si="2"/>
        <v>C5212J20</v>
      </c>
      <c r="I53" s="95"/>
      <c r="J53" s="89">
        <v>16.350000000000001</v>
      </c>
      <c r="K53" s="89">
        <f>IF(D53="CAESARSTONE LTD",VLOOKUP(H53,'[2]GIA CA'!G:H,2,0),IF(OR(D53="STONE FACINGS LIMITED",D53="NORDIA SA",D53="INVICTUS STONE COUNTERTOPS INC",D53="QUARTZTOP LLC"),VLOOKUP(H53,'[2] Giá ngoài Mỹ - SI-GR'!$B$5:$AZ$84,51,0),IF(OR(D53="HYUNDAI L&amp;C CANADA INC",D53="Hyundai L&amp; C USA LLC"),VLOOKUP(H53,'[2]GIA HS'!A:D,4,0),IF(Y53="Mỹ",VLOOKUP(H53,'[2]giá mỹ từ 6.8.2025'!B:I,2,0),VLOOKUP(H53,'[2]giá ngoài mỹ 6.8.2025 (final)'!B:BP,51,0)))))</f>
        <v>59</v>
      </c>
      <c r="L53" s="89">
        <v>61.94</v>
      </c>
      <c r="M53" s="89">
        <f t="shared" si="1"/>
        <v>2.9399999999999977</v>
      </c>
      <c r="N53" s="89">
        <v>56.88</v>
      </c>
      <c r="O53" s="89">
        <v>929.95</v>
      </c>
      <c r="P53" s="96">
        <v>26120</v>
      </c>
      <c r="Q53" s="96">
        <v>24290294</v>
      </c>
      <c r="R53" s="93" t="s">
        <v>30</v>
      </c>
      <c r="S53" s="97"/>
      <c r="T53" s="98"/>
      <c r="U53" s="98"/>
      <c r="V53" s="93"/>
      <c r="W53" s="98"/>
      <c r="X53" s="98"/>
      <c r="Y53" s="99" t="s">
        <v>97</v>
      </c>
      <c r="Z53" s="100" t="str">
        <f>MID(E53,4,2)</f>
        <v>CA</v>
      </c>
    </row>
    <row r="54" spans="1:26" s="100" customFormat="1" x14ac:dyDescent="0.2">
      <c r="A54" s="92">
        <v>46235</v>
      </c>
      <c r="B54" s="90" t="s">
        <v>114</v>
      </c>
      <c r="C54" s="93" t="s">
        <v>115</v>
      </c>
      <c r="D54" s="94" t="s">
        <v>26</v>
      </c>
      <c r="E54" s="90" t="s">
        <v>116</v>
      </c>
      <c r="F54" s="90" t="s">
        <v>117</v>
      </c>
      <c r="G54" s="90" t="s">
        <v>118</v>
      </c>
      <c r="H54" s="95" t="str">
        <f t="shared" si="2"/>
        <v>C4011J20</v>
      </c>
      <c r="I54" s="95"/>
      <c r="J54" s="89">
        <v>0.32</v>
      </c>
      <c r="K54" s="89">
        <f t="shared" ref="K54:K56" si="5">+L54</f>
        <v>95</v>
      </c>
      <c r="L54" s="89">
        <v>95</v>
      </c>
      <c r="M54" s="89">
        <f t="shared" si="1"/>
        <v>0</v>
      </c>
      <c r="N54" s="89">
        <v>95</v>
      </c>
      <c r="O54" s="89">
        <v>30.4</v>
      </c>
      <c r="P54" s="96">
        <v>26120</v>
      </c>
      <c r="Q54" s="96">
        <v>794048</v>
      </c>
      <c r="R54" s="93"/>
      <c r="S54" s="97"/>
      <c r="T54" s="98" t="s">
        <v>30</v>
      </c>
      <c r="U54" s="98"/>
      <c r="V54" s="93"/>
      <c r="W54" s="98"/>
      <c r="X54" s="98"/>
      <c r="Y54" s="99" t="s">
        <v>119</v>
      </c>
      <c r="Z54" s="100" t="str">
        <f>MID(E54,4,2)</f>
        <v>CA</v>
      </c>
    </row>
    <row r="55" spans="1:26" s="100" customFormat="1" x14ac:dyDescent="0.2">
      <c r="A55" s="92">
        <v>46235</v>
      </c>
      <c r="B55" s="90" t="s">
        <v>114</v>
      </c>
      <c r="C55" s="93" t="s">
        <v>115</v>
      </c>
      <c r="D55" s="94" t="s">
        <v>26</v>
      </c>
      <c r="E55" s="90" t="s">
        <v>116</v>
      </c>
      <c r="F55" s="90" t="s">
        <v>120</v>
      </c>
      <c r="G55" s="90" t="s">
        <v>121</v>
      </c>
      <c r="H55" s="95" t="str">
        <f t="shared" si="2"/>
        <v>C5222J20</v>
      </c>
      <c r="I55" s="95"/>
      <c r="J55" s="89">
        <v>0.32</v>
      </c>
      <c r="K55" s="89">
        <f t="shared" si="5"/>
        <v>95</v>
      </c>
      <c r="L55" s="89">
        <v>95</v>
      </c>
      <c r="M55" s="89">
        <f t="shared" si="1"/>
        <v>0</v>
      </c>
      <c r="N55" s="89">
        <v>95</v>
      </c>
      <c r="O55" s="96">
        <v>30.4</v>
      </c>
      <c r="P55" s="96">
        <v>26120</v>
      </c>
      <c r="Q55" s="96">
        <v>794048</v>
      </c>
      <c r="R55" s="93"/>
      <c r="S55" s="97"/>
      <c r="T55" s="98" t="s">
        <v>30</v>
      </c>
      <c r="U55" s="98"/>
      <c r="V55" s="93"/>
      <c r="W55" s="98"/>
      <c r="X55" s="98"/>
      <c r="Y55" s="99" t="s">
        <v>119</v>
      </c>
      <c r="Z55" s="100" t="str">
        <f>MID(E55,4,2)</f>
        <v>CA</v>
      </c>
    </row>
    <row r="56" spans="1:26" s="100" customFormat="1" x14ac:dyDescent="0.2">
      <c r="A56" s="92">
        <v>46235</v>
      </c>
      <c r="B56" s="90" t="s">
        <v>114</v>
      </c>
      <c r="C56" s="93" t="s">
        <v>115</v>
      </c>
      <c r="D56" s="94" t="s">
        <v>26</v>
      </c>
      <c r="E56" s="90" t="s">
        <v>116</v>
      </c>
      <c r="F56" s="90" t="s">
        <v>110</v>
      </c>
      <c r="G56" s="90" t="s">
        <v>111</v>
      </c>
      <c r="H56" s="95" t="str">
        <f t="shared" si="2"/>
        <v>C4023J20</v>
      </c>
      <c r="I56" s="95"/>
      <c r="J56" s="89">
        <v>218</v>
      </c>
      <c r="K56" s="89">
        <f t="shared" si="5"/>
        <v>60</v>
      </c>
      <c r="L56" s="89">
        <v>60</v>
      </c>
      <c r="M56" s="89">
        <f t="shared" si="1"/>
        <v>0</v>
      </c>
      <c r="N56" s="89">
        <v>60</v>
      </c>
      <c r="O56" s="96">
        <v>13080</v>
      </c>
      <c r="P56" s="96">
        <v>26120</v>
      </c>
      <c r="Q56" s="96">
        <v>341649600</v>
      </c>
      <c r="R56" s="93" t="s">
        <v>30</v>
      </c>
      <c r="S56" s="97"/>
      <c r="T56" s="98"/>
      <c r="U56" s="98"/>
      <c r="V56" s="93"/>
      <c r="W56" s="98"/>
      <c r="X56" s="98"/>
      <c r="Y56" s="99" t="s">
        <v>119</v>
      </c>
      <c r="Z56" s="100" t="str">
        <f>MID(E56,4,2)</f>
        <v>CA</v>
      </c>
    </row>
    <row r="57" spans="1:26" s="100" customFormat="1" x14ac:dyDescent="0.2">
      <c r="A57" s="92">
        <v>46235</v>
      </c>
      <c r="B57" s="90" t="s">
        <v>114</v>
      </c>
      <c r="C57" s="93" t="s">
        <v>115</v>
      </c>
      <c r="D57" s="94" t="s">
        <v>26</v>
      </c>
      <c r="E57" s="90" t="s">
        <v>116</v>
      </c>
      <c r="F57" s="90" t="s">
        <v>122</v>
      </c>
      <c r="G57" s="90" t="s">
        <v>123</v>
      </c>
      <c r="H57" s="95" t="str">
        <f t="shared" si="2"/>
        <v>C5100J20</v>
      </c>
      <c r="I57" s="95"/>
      <c r="J57" s="89">
        <v>163.5</v>
      </c>
      <c r="K57" s="89">
        <f>IF(D57="CAESARSTONE LTD",VLOOKUP(H57,'[2]GIA CA'!G:H,2,0),IF(OR(D57="STONE FACINGS LIMITED",D57="NORDIA SA",D57="INVICTUS STONE COUNTERTOPS INC",D57="QUARTZTOP LLC"),VLOOKUP(H57,'[2] Giá ngoài Mỹ - SI-GR'!$B$5:$AZ$84,51,0),IF(OR(D57="HYUNDAI L&amp;C CANADA INC",D57="Hyundai L&amp; C USA LLC"),VLOOKUP(H57,'[2]GIA HS'!A:D,4,0),IF(Y57="Mỹ",VLOOKUP(H57,'[2]giá mỹ từ 6.8.2025'!B:I,2,0),VLOOKUP(H57,'[2]giá ngoài mỹ 6.8.2025 (final)'!B:BP,51,0)))))</f>
        <v>59</v>
      </c>
      <c r="L57" s="89">
        <v>62</v>
      </c>
      <c r="M57" s="89">
        <f t="shared" si="1"/>
        <v>3</v>
      </c>
      <c r="N57" s="89">
        <v>62</v>
      </c>
      <c r="O57" s="96">
        <v>10137</v>
      </c>
      <c r="P57" s="96">
        <v>26120</v>
      </c>
      <c r="Q57" s="96">
        <v>264778440</v>
      </c>
      <c r="R57" s="93" t="s">
        <v>30</v>
      </c>
      <c r="S57" s="97"/>
      <c r="T57" s="98"/>
      <c r="U57" s="98"/>
      <c r="V57" s="93"/>
      <c r="W57" s="98"/>
      <c r="X57" s="98"/>
      <c r="Y57" s="99" t="s">
        <v>119</v>
      </c>
      <c r="Z57" s="100" t="str">
        <f>MID(E57,4,2)</f>
        <v>CA</v>
      </c>
    </row>
    <row r="58" spans="1:26" s="100" customFormat="1" x14ac:dyDescent="0.2">
      <c r="A58" s="92">
        <v>46235</v>
      </c>
      <c r="B58" s="90" t="s">
        <v>114</v>
      </c>
      <c r="C58" s="93" t="s">
        <v>115</v>
      </c>
      <c r="D58" s="94" t="s">
        <v>26</v>
      </c>
      <c r="E58" s="90" t="s">
        <v>116</v>
      </c>
      <c r="F58" s="90" t="s">
        <v>124</v>
      </c>
      <c r="G58" s="90" t="s">
        <v>113</v>
      </c>
      <c r="H58" s="95" t="str">
        <f t="shared" si="2"/>
        <v>C5212J20</v>
      </c>
      <c r="I58" s="95"/>
      <c r="J58" s="89">
        <v>54.5</v>
      </c>
      <c r="K58" s="89">
        <f>IF(D58="CAESARSTONE LTD",VLOOKUP(H58,'[2]GIA CA'!G:H,2,0),IF(OR(D58="STONE FACINGS LIMITED",D58="NORDIA SA",D58="INVICTUS STONE COUNTERTOPS INC",D58="QUARTZTOP LLC"),VLOOKUP(H58,'[2] Giá ngoài Mỹ - SI-GR'!$B$5:$AZ$84,51,0),IF(OR(D58="HYUNDAI L&amp;C CANADA INC",D58="Hyundai L&amp; C USA LLC"),VLOOKUP(H58,'[2]GIA HS'!A:D,4,0),IF(Y58="Mỹ",VLOOKUP(H58,'[2]giá mỹ từ 6.8.2025'!B:I,2,0),VLOOKUP(H58,'[2]giá ngoài mỹ 6.8.2025 (final)'!B:BP,51,0)))))</f>
        <v>59</v>
      </c>
      <c r="L58" s="89">
        <v>62</v>
      </c>
      <c r="M58" s="89">
        <f t="shared" si="1"/>
        <v>3</v>
      </c>
      <c r="N58" s="89">
        <v>62</v>
      </c>
      <c r="O58" s="89">
        <v>3379</v>
      </c>
      <c r="P58" s="96">
        <v>26120</v>
      </c>
      <c r="Q58" s="96">
        <v>88259480</v>
      </c>
      <c r="R58" s="93" t="s">
        <v>30</v>
      </c>
      <c r="S58" s="97"/>
      <c r="T58" s="98"/>
      <c r="U58" s="98"/>
      <c r="V58" s="93"/>
      <c r="W58" s="98"/>
      <c r="X58" s="98"/>
      <c r="Y58" s="99" t="s">
        <v>119</v>
      </c>
      <c r="Z58" s="100" t="str">
        <f>MID(E58,4,2)</f>
        <v>CA</v>
      </c>
    </row>
    <row r="59" spans="1:26" s="100" customFormat="1" x14ac:dyDescent="0.2">
      <c r="A59" s="92">
        <v>46235</v>
      </c>
      <c r="B59" s="90" t="s">
        <v>114</v>
      </c>
      <c r="C59" s="93" t="s">
        <v>115</v>
      </c>
      <c r="D59" s="94" t="s">
        <v>26</v>
      </c>
      <c r="E59" s="90" t="s">
        <v>116</v>
      </c>
      <c r="F59" s="90" t="s">
        <v>125</v>
      </c>
      <c r="G59" s="90" t="s">
        <v>126</v>
      </c>
      <c r="H59" s="95" t="str">
        <f t="shared" si="2"/>
        <v>C6046J20</v>
      </c>
      <c r="I59" s="95"/>
      <c r="J59" s="89">
        <v>54.5</v>
      </c>
      <c r="K59" s="89">
        <f>IF(D59="CAESARSTONE LTD",VLOOKUP(H59,'[2]GIA CA'!G:H,2,0),IF(OR(D59="STONE FACINGS LIMITED",D59="NORDIA SA",D59="INVICTUS STONE COUNTERTOPS INC",D59="QUARTZTOP LLC"),VLOOKUP(H59,'[2] Giá ngoài Mỹ - SI-GR'!$B$5:$AZ$84,51,0),IF(OR(D59="HYUNDAI L&amp;C CANADA INC",D59="Hyundai L&amp; C USA LLC"),VLOOKUP(H59,'[2]GIA HS'!A:D,4,0),IF(Y59="Mỹ",VLOOKUP(H59,'[2]giá mỹ từ 6.8.2025'!B:I,2,0),VLOOKUP(H59,'[2]giá ngoài mỹ 6.8.2025 (final)'!B:BP,51,0)))))</f>
        <v>59</v>
      </c>
      <c r="L59" s="89">
        <v>61.1</v>
      </c>
      <c r="M59" s="89">
        <f t="shared" si="1"/>
        <v>2.1000000000000014</v>
      </c>
      <c r="N59" s="89">
        <v>61.1</v>
      </c>
      <c r="O59" s="89">
        <v>3330</v>
      </c>
      <c r="P59" s="96">
        <v>26120</v>
      </c>
      <c r="Q59" s="96">
        <v>86979600</v>
      </c>
      <c r="R59" s="93" t="s">
        <v>30</v>
      </c>
      <c r="S59" s="97"/>
      <c r="T59" s="98"/>
      <c r="U59" s="98"/>
      <c r="V59" s="93"/>
      <c r="W59" s="98"/>
      <c r="X59" s="98"/>
      <c r="Y59" s="99" t="s">
        <v>119</v>
      </c>
      <c r="Z59" s="100" t="str">
        <f>MID(E59,4,2)</f>
        <v>CA</v>
      </c>
    </row>
    <row r="60" spans="1:26" s="100" customFormat="1" x14ac:dyDescent="0.2">
      <c r="A60" s="92">
        <v>46235</v>
      </c>
      <c r="B60" s="90" t="s">
        <v>127</v>
      </c>
      <c r="C60" s="93" t="s">
        <v>128</v>
      </c>
      <c r="D60" s="94" t="s">
        <v>26</v>
      </c>
      <c r="E60" s="90" t="s">
        <v>129</v>
      </c>
      <c r="F60" s="90" t="s">
        <v>130</v>
      </c>
      <c r="G60" s="90" t="s">
        <v>131</v>
      </c>
      <c r="H60" s="95" t="str">
        <f t="shared" si="2"/>
        <v>F4011J20</v>
      </c>
      <c r="I60" s="95"/>
      <c r="J60" s="89">
        <v>0.16</v>
      </c>
      <c r="K60" s="89"/>
      <c r="L60" s="89">
        <v>0</v>
      </c>
      <c r="M60" s="89">
        <f t="shared" si="1"/>
        <v>0</v>
      </c>
      <c r="N60" s="89">
        <v>40</v>
      </c>
      <c r="O60" s="89">
        <v>6.4</v>
      </c>
      <c r="P60" s="96">
        <v>26120</v>
      </c>
      <c r="Q60" s="96">
        <v>167168</v>
      </c>
      <c r="R60" s="93"/>
      <c r="S60" s="97"/>
      <c r="T60" s="98"/>
      <c r="U60" s="98" t="s">
        <v>30</v>
      </c>
      <c r="V60" s="93"/>
      <c r="W60" s="98"/>
      <c r="X60" s="98"/>
      <c r="Y60" s="99" t="s">
        <v>132</v>
      </c>
      <c r="Z60" s="100" t="str">
        <f>MID(E60,4,2)</f>
        <v>CA</v>
      </c>
    </row>
    <row r="61" spans="1:26" s="100" customFormat="1" x14ac:dyDescent="0.2">
      <c r="A61" s="92">
        <v>46235</v>
      </c>
      <c r="B61" s="90" t="s">
        <v>127</v>
      </c>
      <c r="C61" s="93" t="s">
        <v>128</v>
      </c>
      <c r="D61" s="94" t="s">
        <v>26</v>
      </c>
      <c r="E61" s="90" t="s">
        <v>129</v>
      </c>
      <c r="F61" s="90" t="s">
        <v>133</v>
      </c>
      <c r="G61" s="90" t="s">
        <v>134</v>
      </c>
      <c r="H61" s="95" t="str">
        <f t="shared" si="2"/>
        <v>F4011J20</v>
      </c>
      <c r="I61" s="95"/>
      <c r="J61" s="89">
        <v>0.28999999999999998</v>
      </c>
      <c r="K61" s="89"/>
      <c r="L61" s="89">
        <v>0</v>
      </c>
      <c r="M61" s="89">
        <f t="shared" si="1"/>
        <v>0</v>
      </c>
      <c r="N61" s="89">
        <v>40</v>
      </c>
      <c r="O61" s="89">
        <v>11.6</v>
      </c>
      <c r="P61" s="96">
        <v>26120</v>
      </c>
      <c r="Q61" s="96">
        <v>302992</v>
      </c>
      <c r="R61" s="93"/>
      <c r="S61" s="97"/>
      <c r="T61" s="98"/>
      <c r="U61" s="98" t="s">
        <v>30</v>
      </c>
      <c r="V61" s="93"/>
      <c r="W61" s="98"/>
      <c r="X61" s="98"/>
      <c r="Y61" s="99" t="s">
        <v>132</v>
      </c>
      <c r="Z61" s="100" t="str">
        <f>MID(E61,4,2)</f>
        <v>CA</v>
      </c>
    </row>
    <row r="62" spans="1:26" s="100" customFormat="1" x14ac:dyDescent="0.2">
      <c r="A62" s="92">
        <v>46235</v>
      </c>
      <c r="B62" s="90" t="s">
        <v>127</v>
      </c>
      <c r="C62" s="93" t="s">
        <v>128</v>
      </c>
      <c r="D62" s="94" t="s">
        <v>26</v>
      </c>
      <c r="E62" s="90" t="s">
        <v>129</v>
      </c>
      <c r="F62" s="90" t="s">
        <v>135</v>
      </c>
      <c r="G62" s="90" t="s">
        <v>136</v>
      </c>
      <c r="H62" s="95" t="str">
        <f t="shared" si="2"/>
        <v>F4011J20</v>
      </c>
      <c r="I62" s="95"/>
      <c r="J62" s="89">
        <v>0.03</v>
      </c>
      <c r="K62" s="89"/>
      <c r="L62" s="89">
        <v>0</v>
      </c>
      <c r="M62" s="89">
        <f t="shared" si="1"/>
        <v>0</v>
      </c>
      <c r="N62" s="89">
        <v>40</v>
      </c>
      <c r="O62" s="96">
        <v>1.2</v>
      </c>
      <c r="P62" s="96">
        <v>26120</v>
      </c>
      <c r="Q62" s="96">
        <v>31344</v>
      </c>
      <c r="R62" s="93"/>
      <c r="S62" s="97"/>
      <c r="T62" s="98"/>
      <c r="U62" s="98" t="s">
        <v>30</v>
      </c>
      <c r="V62" s="93"/>
      <c r="W62" s="98"/>
      <c r="X62" s="98"/>
      <c r="Y62" s="99" t="s">
        <v>132</v>
      </c>
      <c r="Z62" s="100" t="str">
        <f>MID(E62,4,2)</f>
        <v>CA</v>
      </c>
    </row>
    <row r="63" spans="1:26" s="100" customFormat="1" x14ac:dyDescent="0.2">
      <c r="A63" s="92">
        <v>46235</v>
      </c>
      <c r="B63" s="90" t="s">
        <v>127</v>
      </c>
      <c r="C63" s="93" t="s">
        <v>128</v>
      </c>
      <c r="D63" s="94" t="s">
        <v>26</v>
      </c>
      <c r="E63" s="90" t="s">
        <v>129</v>
      </c>
      <c r="F63" s="90" t="s">
        <v>137</v>
      </c>
      <c r="G63" s="90" t="s">
        <v>138</v>
      </c>
      <c r="H63" s="95" t="str">
        <f t="shared" si="2"/>
        <v>F4011J20</v>
      </c>
      <c r="I63" s="95"/>
      <c r="J63" s="89">
        <v>1.8</v>
      </c>
      <c r="K63" s="89"/>
      <c r="L63" s="89">
        <v>0</v>
      </c>
      <c r="M63" s="89">
        <f t="shared" si="1"/>
        <v>0</v>
      </c>
      <c r="N63" s="89">
        <v>40</v>
      </c>
      <c r="O63" s="96">
        <v>72</v>
      </c>
      <c r="P63" s="96">
        <v>26120</v>
      </c>
      <c r="Q63" s="96">
        <v>1880640</v>
      </c>
      <c r="R63" s="93"/>
      <c r="S63" s="97"/>
      <c r="T63" s="98"/>
      <c r="U63" s="98" t="s">
        <v>30</v>
      </c>
      <c r="V63" s="93"/>
      <c r="W63" s="98"/>
      <c r="X63" s="98"/>
      <c r="Y63" s="99" t="s">
        <v>132</v>
      </c>
      <c r="Z63" s="100" t="str">
        <f>MID(E63,4,2)</f>
        <v>CA</v>
      </c>
    </row>
    <row r="64" spans="1:26" s="100" customFormat="1" x14ac:dyDescent="0.2">
      <c r="A64" s="92">
        <v>46235</v>
      </c>
      <c r="B64" s="90" t="s">
        <v>127</v>
      </c>
      <c r="C64" s="93" t="s">
        <v>128</v>
      </c>
      <c r="D64" s="94" t="s">
        <v>26</v>
      </c>
      <c r="E64" s="90" t="s">
        <v>129</v>
      </c>
      <c r="F64" s="90" t="s">
        <v>139</v>
      </c>
      <c r="G64" s="90" t="s">
        <v>140</v>
      </c>
      <c r="H64" s="95" t="str">
        <f t="shared" si="2"/>
        <v>C4023J20</v>
      </c>
      <c r="I64" s="95"/>
      <c r="J64" s="89">
        <v>0.16</v>
      </c>
      <c r="K64" s="89"/>
      <c r="L64" s="89">
        <v>0</v>
      </c>
      <c r="M64" s="89">
        <f t="shared" si="1"/>
        <v>0</v>
      </c>
      <c r="N64" s="89">
        <v>40</v>
      </c>
      <c r="O64" s="96">
        <v>6.4</v>
      </c>
      <c r="P64" s="96">
        <v>26120</v>
      </c>
      <c r="Q64" s="96">
        <v>167168</v>
      </c>
      <c r="R64" s="93"/>
      <c r="S64" s="97"/>
      <c r="T64" s="98"/>
      <c r="U64" s="98" t="s">
        <v>30</v>
      </c>
      <c r="V64" s="93"/>
      <c r="W64" s="98"/>
      <c r="X64" s="98"/>
      <c r="Y64" s="99" t="s">
        <v>132</v>
      </c>
      <c r="Z64" s="100" t="str">
        <f>MID(E64,4,2)</f>
        <v>CA</v>
      </c>
    </row>
    <row r="65" spans="1:26" s="100" customFormat="1" x14ac:dyDescent="0.2">
      <c r="A65" s="92">
        <v>46235</v>
      </c>
      <c r="B65" s="90" t="s">
        <v>127</v>
      </c>
      <c r="C65" s="93" t="s">
        <v>128</v>
      </c>
      <c r="D65" s="94" t="s">
        <v>26</v>
      </c>
      <c r="E65" s="90" t="s">
        <v>129</v>
      </c>
      <c r="F65" s="90" t="s">
        <v>141</v>
      </c>
      <c r="G65" s="90" t="s">
        <v>142</v>
      </c>
      <c r="H65" s="95" t="str">
        <f t="shared" si="2"/>
        <v>C4023J20</v>
      </c>
      <c r="I65" s="95"/>
      <c r="J65" s="89">
        <v>0.28999999999999998</v>
      </c>
      <c r="K65" s="89"/>
      <c r="L65" s="89">
        <v>0</v>
      </c>
      <c r="M65" s="89">
        <f t="shared" si="1"/>
        <v>0</v>
      </c>
      <c r="N65" s="89">
        <v>40</v>
      </c>
      <c r="O65" s="96">
        <v>11.6</v>
      </c>
      <c r="P65" s="96">
        <v>26120</v>
      </c>
      <c r="Q65" s="96">
        <v>302992</v>
      </c>
      <c r="R65" s="93"/>
      <c r="S65" s="97"/>
      <c r="T65" s="98"/>
      <c r="U65" s="98" t="s">
        <v>30</v>
      </c>
      <c r="V65" s="93"/>
      <c r="W65" s="98"/>
      <c r="X65" s="98"/>
      <c r="Y65" s="99" t="s">
        <v>132</v>
      </c>
      <c r="Z65" s="100" t="str">
        <f>MID(E65,4,2)</f>
        <v>CA</v>
      </c>
    </row>
    <row r="66" spans="1:26" s="100" customFormat="1" x14ac:dyDescent="0.2">
      <c r="A66" s="92">
        <v>46235</v>
      </c>
      <c r="B66" s="90" t="s">
        <v>127</v>
      </c>
      <c r="C66" s="93" t="s">
        <v>128</v>
      </c>
      <c r="D66" s="94" t="s">
        <v>26</v>
      </c>
      <c r="E66" s="90" t="s">
        <v>129</v>
      </c>
      <c r="F66" s="90" t="s">
        <v>143</v>
      </c>
      <c r="G66" s="90" t="s">
        <v>144</v>
      </c>
      <c r="H66" s="95" t="str">
        <f t="shared" si="2"/>
        <v>C4023J20</v>
      </c>
      <c r="I66" s="95"/>
      <c r="J66" s="89">
        <v>0.03</v>
      </c>
      <c r="K66" s="89"/>
      <c r="L66" s="89">
        <v>0</v>
      </c>
      <c r="M66" s="89">
        <f t="shared" si="1"/>
        <v>0</v>
      </c>
      <c r="N66" s="89">
        <v>40</v>
      </c>
      <c r="O66" s="96">
        <v>1.2</v>
      </c>
      <c r="P66" s="96">
        <v>26120</v>
      </c>
      <c r="Q66" s="96">
        <v>31344</v>
      </c>
      <c r="R66" s="93"/>
      <c r="S66" s="97"/>
      <c r="T66" s="98"/>
      <c r="U66" s="98" t="s">
        <v>30</v>
      </c>
      <c r="V66" s="93"/>
      <c r="W66" s="98"/>
      <c r="X66" s="98"/>
      <c r="Y66" s="99" t="s">
        <v>132</v>
      </c>
      <c r="Z66" s="100" t="str">
        <f>MID(E66,4,2)</f>
        <v>CA</v>
      </c>
    </row>
    <row r="67" spans="1:26" s="100" customFormat="1" x14ac:dyDescent="0.2">
      <c r="A67" s="92">
        <v>46235</v>
      </c>
      <c r="B67" s="90" t="s">
        <v>127</v>
      </c>
      <c r="C67" s="93" t="s">
        <v>128</v>
      </c>
      <c r="D67" s="94" t="s">
        <v>26</v>
      </c>
      <c r="E67" s="90" t="s">
        <v>129</v>
      </c>
      <c r="F67" s="90" t="s">
        <v>145</v>
      </c>
      <c r="G67" s="90" t="s">
        <v>146</v>
      </c>
      <c r="H67" s="95" t="str">
        <f t="shared" si="2"/>
        <v>C4023J20</v>
      </c>
      <c r="I67" s="95"/>
      <c r="J67" s="89">
        <v>1.8</v>
      </c>
      <c r="K67" s="89"/>
      <c r="L67" s="89">
        <v>0</v>
      </c>
      <c r="M67" s="89">
        <f t="shared" si="1"/>
        <v>0</v>
      </c>
      <c r="N67" s="89">
        <v>40</v>
      </c>
      <c r="O67" s="96">
        <v>72</v>
      </c>
      <c r="P67" s="96">
        <v>26120</v>
      </c>
      <c r="Q67" s="96">
        <v>1880640</v>
      </c>
      <c r="R67" s="93"/>
      <c r="S67" s="97"/>
      <c r="T67" s="98"/>
      <c r="U67" s="98" t="s">
        <v>30</v>
      </c>
      <c r="V67" s="93"/>
      <c r="W67" s="98"/>
      <c r="X67" s="98"/>
      <c r="Y67" s="99" t="s">
        <v>132</v>
      </c>
      <c r="Z67" s="100" t="str">
        <f>MID(E67,4,2)</f>
        <v>CA</v>
      </c>
    </row>
    <row r="68" spans="1:26" s="100" customFormat="1" x14ac:dyDescent="0.2">
      <c r="A68" s="92">
        <v>46235</v>
      </c>
      <c r="B68" s="90" t="s">
        <v>127</v>
      </c>
      <c r="C68" s="93" t="s">
        <v>128</v>
      </c>
      <c r="D68" s="94" t="s">
        <v>26</v>
      </c>
      <c r="E68" s="90" t="s">
        <v>129</v>
      </c>
      <c r="F68" s="90" t="s">
        <v>147</v>
      </c>
      <c r="G68" s="90" t="s">
        <v>148</v>
      </c>
      <c r="H68" s="95" t="str">
        <f t="shared" si="2"/>
        <v>C4043J20</v>
      </c>
      <c r="I68" s="95"/>
      <c r="J68" s="89">
        <v>0.16</v>
      </c>
      <c r="K68" s="89"/>
      <c r="L68" s="89">
        <v>0</v>
      </c>
      <c r="M68" s="89">
        <f t="shared" si="1"/>
        <v>0</v>
      </c>
      <c r="N68" s="89">
        <v>40</v>
      </c>
      <c r="O68" s="96">
        <v>6.4</v>
      </c>
      <c r="P68" s="96">
        <v>26120</v>
      </c>
      <c r="Q68" s="96">
        <v>167168</v>
      </c>
      <c r="R68" s="93"/>
      <c r="S68" s="97"/>
      <c r="T68" s="98"/>
      <c r="U68" s="98" t="s">
        <v>30</v>
      </c>
      <c r="V68" s="93"/>
      <c r="W68" s="98"/>
      <c r="X68" s="98"/>
      <c r="Y68" s="99" t="s">
        <v>132</v>
      </c>
      <c r="Z68" s="100" t="str">
        <f>MID(E68,4,2)</f>
        <v>CA</v>
      </c>
    </row>
    <row r="69" spans="1:26" s="100" customFormat="1" x14ac:dyDescent="0.2">
      <c r="A69" s="92">
        <v>46235</v>
      </c>
      <c r="B69" s="90" t="s">
        <v>127</v>
      </c>
      <c r="C69" s="93" t="s">
        <v>128</v>
      </c>
      <c r="D69" s="94" t="s">
        <v>26</v>
      </c>
      <c r="E69" s="90" t="s">
        <v>129</v>
      </c>
      <c r="F69" s="90" t="s">
        <v>149</v>
      </c>
      <c r="G69" s="90" t="s">
        <v>150</v>
      </c>
      <c r="H69" s="95" t="str">
        <f t="shared" si="2"/>
        <v>C4043J20</v>
      </c>
      <c r="I69" s="95"/>
      <c r="J69" s="89">
        <v>0.28999999999999998</v>
      </c>
      <c r="K69" s="89"/>
      <c r="L69" s="89">
        <v>0</v>
      </c>
      <c r="M69" s="89">
        <f t="shared" si="1"/>
        <v>0</v>
      </c>
      <c r="N69" s="89">
        <v>40</v>
      </c>
      <c r="O69" s="96">
        <v>11.6</v>
      </c>
      <c r="P69" s="96">
        <v>26120</v>
      </c>
      <c r="Q69" s="96">
        <v>302992</v>
      </c>
      <c r="R69" s="93"/>
      <c r="S69" s="97"/>
      <c r="T69" s="98"/>
      <c r="U69" s="98" t="s">
        <v>30</v>
      </c>
      <c r="V69" s="93"/>
      <c r="W69" s="98"/>
      <c r="X69" s="98"/>
      <c r="Y69" s="99" t="s">
        <v>132</v>
      </c>
      <c r="Z69" s="100" t="str">
        <f>MID(E69,4,2)</f>
        <v>CA</v>
      </c>
    </row>
    <row r="70" spans="1:26" s="100" customFormat="1" x14ac:dyDescent="0.2">
      <c r="A70" s="92">
        <v>46235</v>
      </c>
      <c r="B70" s="90" t="s">
        <v>127</v>
      </c>
      <c r="C70" s="93" t="s">
        <v>128</v>
      </c>
      <c r="D70" s="94" t="s">
        <v>26</v>
      </c>
      <c r="E70" s="90" t="s">
        <v>129</v>
      </c>
      <c r="F70" s="90" t="s">
        <v>151</v>
      </c>
      <c r="G70" s="90" t="s">
        <v>152</v>
      </c>
      <c r="H70" s="95" t="str">
        <f t="shared" si="2"/>
        <v>C4043J20</v>
      </c>
      <c r="I70" s="95"/>
      <c r="J70" s="89">
        <v>0.03</v>
      </c>
      <c r="K70" s="89"/>
      <c r="L70" s="89">
        <v>0</v>
      </c>
      <c r="M70" s="89">
        <f t="shared" si="1"/>
        <v>0</v>
      </c>
      <c r="N70" s="89">
        <v>40</v>
      </c>
      <c r="O70" s="96">
        <v>1.2</v>
      </c>
      <c r="P70" s="96">
        <v>26120</v>
      </c>
      <c r="Q70" s="96">
        <v>31344</v>
      </c>
      <c r="R70" s="93"/>
      <c r="S70" s="97"/>
      <c r="T70" s="98"/>
      <c r="U70" s="98" t="s">
        <v>30</v>
      </c>
      <c r="V70" s="93"/>
      <c r="W70" s="98"/>
      <c r="X70" s="98"/>
      <c r="Y70" s="99" t="s">
        <v>132</v>
      </c>
      <c r="Z70" s="100" t="str">
        <f>MID(E70,4,2)</f>
        <v>CA</v>
      </c>
    </row>
    <row r="71" spans="1:26" s="100" customFormat="1" x14ac:dyDescent="0.2">
      <c r="A71" s="92">
        <v>46235</v>
      </c>
      <c r="B71" s="90" t="s">
        <v>127</v>
      </c>
      <c r="C71" s="93" t="s">
        <v>128</v>
      </c>
      <c r="D71" s="94" t="s">
        <v>26</v>
      </c>
      <c r="E71" s="90" t="s">
        <v>129</v>
      </c>
      <c r="F71" s="90" t="s">
        <v>153</v>
      </c>
      <c r="G71" s="90" t="s">
        <v>154</v>
      </c>
      <c r="H71" s="95" t="str">
        <f t="shared" si="2"/>
        <v>C4043J20</v>
      </c>
      <c r="I71" s="95"/>
      <c r="J71" s="89">
        <v>1.8</v>
      </c>
      <c r="K71" s="89"/>
      <c r="L71" s="89">
        <v>0</v>
      </c>
      <c r="M71" s="89">
        <f t="shared" si="1"/>
        <v>0</v>
      </c>
      <c r="N71" s="89">
        <v>40</v>
      </c>
      <c r="O71" s="96">
        <v>72</v>
      </c>
      <c r="P71" s="96">
        <v>26120</v>
      </c>
      <c r="Q71" s="96">
        <v>1880640</v>
      </c>
      <c r="R71" s="93"/>
      <c r="S71" s="97"/>
      <c r="T71" s="98"/>
      <c r="U71" s="98" t="s">
        <v>30</v>
      </c>
      <c r="V71" s="93"/>
      <c r="W71" s="98"/>
      <c r="X71" s="98"/>
      <c r="Y71" s="99" t="s">
        <v>132</v>
      </c>
      <c r="Z71" s="100" t="str">
        <f>MID(E71,4,2)</f>
        <v>CA</v>
      </c>
    </row>
    <row r="72" spans="1:26" s="100" customFormat="1" x14ac:dyDescent="0.2">
      <c r="A72" s="92">
        <v>46235</v>
      </c>
      <c r="B72" s="90" t="s">
        <v>127</v>
      </c>
      <c r="C72" s="93" t="s">
        <v>128</v>
      </c>
      <c r="D72" s="94" t="s">
        <v>26</v>
      </c>
      <c r="E72" s="90" t="s">
        <v>129</v>
      </c>
      <c r="F72" s="90" t="s">
        <v>155</v>
      </c>
      <c r="G72" s="90" t="s">
        <v>156</v>
      </c>
      <c r="H72" s="95" t="str">
        <f t="shared" si="2"/>
        <v>F4033J20</v>
      </c>
      <c r="I72" s="95"/>
      <c r="J72" s="89">
        <v>0.16</v>
      </c>
      <c r="K72" s="89"/>
      <c r="L72" s="89">
        <v>0</v>
      </c>
      <c r="M72" s="89">
        <f t="shared" si="1"/>
        <v>0</v>
      </c>
      <c r="N72" s="89">
        <v>40</v>
      </c>
      <c r="O72" s="96">
        <v>6.4</v>
      </c>
      <c r="P72" s="96">
        <v>26120</v>
      </c>
      <c r="Q72" s="96">
        <v>167168</v>
      </c>
      <c r="R72" s="93"/>
      <c r="S72" s="97"/>
      <c r="T72" s="98"/>
      <c r="U72" s="98" t="s">
        <v>30</v>
      </c>
      <c r="V72" s="93"/>
      <c r="W72" s="98"/>
      <c r="X72" s="98"/>
      <c r="Y72" s="99" t="s">
        <v>132</v>
      </c>
      <c r="Z72" s="100" t="str">
        <f>MID(E72,4,2)</f>
        <v>CA</v>
      </c>
    </row>
    <row r="73" spans="1:26" s="100" customFormat="1" x14ac:dyDescent="0.2">
      <c r="A73" s="92">
        <v>46235</v>
      </c>
      <c r="B73" s="90" t="s">
        <v>127</v>
      </c>
      <c r="C73" s="93" t="s">
        <v>128</v>
      </c>
      <c r="D73" s="94" t="s">
        <v>26</v>
      </c>
      <c r="E73" s="90" t="s">
        <v>129</v>
      </c>
      <c r="F73" s="90" t="s">
        <v>157</v>
      </c>
      <c r="G73" s="90" t="s">
        <v>158</v>
      </c>
      <c r="H73" s="95" t="str">
        <f t="shared" si="2"/>
        <v>F4033J20</v>
      </c>
      <c r="I73" s="95"/>
      <c r="J73" s="89">
        <v>0.28999999999999998</v>
      </c>
      <c r="K73" s="89"/>
      <c r="L73" s="89">
        <v>0</v>
      </c>
      <c r="M73" s="89">
        <f t="shared" si="1"/>
        <v>0</v>
      </c>
      <c r="N73" s="89">
        <v>40</v>
      </c>
      <c r="O73" s="96">
        <v>11.6</v>
      </c>
      <c r="P73" s="96">
        <v>26120</v>
      </c>
      <c r="Q73" s="96">
        <v>302992</v>
      </c>
      <c r="R73" s="93"/>
      <c r="S73" s="97"/>
      <c r="T73" s="98"/>
      <c r="U73" s="98" t="s">
        <v>30</v>
      </c>
      <c r="V73" s="93"/>
      <c r="W73" s="98"/>
      <c r="X73" s="98"/>
      <c r="Y73" s="99" t="s">
        <v>132</v>
      </c>
      <c r="Z73" s="100" t="str">
        <f>MID(E73,4,2)</f>
        <v>CA</v>
      </c>
    </row>
    <row r="74" spans="1:26" s="100" customFormat="1" x14ac:dyDescent="0.2">
      <c r="A74" s="92">
        <v>46235</v>
      </c>
      <c r="B74" s="90" t="s">
        <v>127</v>
      </c>
      <c r="C74" s="93" t="s">
        <v>128</v>
      </c>
      <c r="D74" s="94" t="s">
        <v>26</v>
      </c>
      <c r="E74" s="90" t="s">
        <v>129</v>
      </c>
      <c r="F74" s="90" t="s">
        <v>159</v>
      </c>
      <c r="G74" s="90" t="s">
        <v>160</v>
      </c>
      <c r="H74" s="95" t="str">
        <f t="shared" si="2"/>
        <v>F4033J20</v>
      </c>
      <c r="I74" s="95"/>
      <c r="J74" s="89">
        <v>0.03</v>
      </c>
      <c r="K74" s="89"/>
      <c r="L74" s="89">
        <v>0</v>
      </c>
      <c r="M74" s="89">
        <f t="shared" si="1"/>
        <v>0</v>
      </c>
      <c r="N74" s="89">
        <v>40</v>
      </c>
      <c r="O74" s="96">
        <v>1.2</v>
      </c>
      <c r="P74" s="96">
        <v>26120</v>
      </c>
      <c r="Q74" s="96">
        <v>31344</v>
      </c>
      <c r="R74" s="93"/>
      <c r="S74" s="97"/>
      <c r="T74" s="98"/>
      <c r="U74" s="98" t="s">
        <v>30</v>
      </c>
      <c r="V74" s="93"/>
      <c r="W74" s="98"/>
      <c r="X74" s="98"/>
      <c r="Y74" s="99" t="s">
        <v>132</v>
      </c>
      <c r="Z74" s="100" t="str">
        <f>MID(E74,4,2)</f>
        <v>CA</v>
      </c>
    </row>
    <row r="75" spans="1:26" s="100" customFormat="1" x14ac:dyDescent="0.2">
      <c r="A75" s="92">
        <v>46235</v>
      </c>
      <c r="B75" s="90" t="s">
        <v>127</v>
      </c>
      <c r="C75" s="93" t="s">
        <v>128</v>
      </c>
      <c r="D75" s="94" t="s">
        <v>26</v>
      </c>
      <c r="E75" s="90" t="s">
        <v>129</v>
      </c>
      <c r="F75" s="90" t="s">
        <v>161</v>
      </c>
      <c r="G75" s="90" t="s">
        <v>162</v>
      </c>
      <c r="H75" s="95" t="str">
        <f t="shared" si="2"/>
        <v>F4033J20</v>
      </c>
      <c r="I75" s="95"/>
      <c r="J75" s="89">
        <v>1.8</v>
      </c>
      <c r="K75" s="89"/>
      <c r="L75" s="89">
        <v>0</v>
      </c>
      <c r="M75" s="89">
        <f t="shared" si="1"/>
        <v>0</v>
      </c>
      <c r="N75" s="89">
        <v>40</v>
      </c>
      <c r="O75" s="96">
        <v>72</v>
      </c>
      <c r="P75" s="96">
        <v>26120</v>
      </c>
      <c r="Q75" s="96">
        <v>1880640</v>
      </c>
      <c r="R75" s="93"/>
      <c r="S75" s="97"/>
      <c r="T75" s="98"/>
      <c r="U75" s="98" t="s">
        <v>30</v>
      </c>
      <c r="V75" s="93"/>
      <c r="W75" s="98"/>
      <c r="X75" s="98"/>
      <c r="Y75" s="99" t="s">
        <v>132</v>
      </c>
      <c r="Z75" s="100" t="str">
        <f>MID(E75,4,2)</f>
        <v>CA</v>
      </c>
    </row>
    <row r="76" spans="1:26" s="100" customFormat="1" x14ac:dyDescent="0.2">
      <c r="A76" s="92">
        <v>46235</v>
      </c>
      <c r="B76" s="90" t="s">
        <v>127</v>
      </c>
      <c r="C76" s="93" t="s">
        <v>128</v>
      </c>
      <c r="D76" s="94" t="s">
        <v>26</v>
      </c>
      <c r="E76" s="90" t="s">
        <v>129</v>
      </c>
      <c r="F76" s="90" t="s">
        <v>163</v>
      </c>
      <c r="G76" s="90" t="s">
        <v>164</v>
      </c>
      <c r="H76" s="95" t="str">
        <f t="shared" si="2"/>
        <v>C5222J20</v>
      </c>
      <c r="I76" s="95"/>
      <c r="J76" s="89">
        <v>0.16</v>
      </c>
      <c r="K76" s="89"/>
      <c r="L76" s="89">
        <v>0</v>
      </c>
      <c r="M76" s="89">
        <f t="shared" si="1"/>
        <v>0</v>
      </c>
      <c r="N76" s="89">
        <v>40</v>
      </c>
      <c r="O76" s="96">
        <v>6.4</v>
      </c>
      <c r="P76" s="96">
        <v>26120</v>
      </c>
      <c r="Q76" s="96">
        <v>167168</v>
      </c>
      <c r="R76" s="93"/>
      <c r="S76" s="97"/>
      <c r="T76" s="98"/>
      <c r="U76" s="98" t="s">
        <v>30</v>
      </c>
      <c r="V76" s="93"/>
      <c r="W76" s="98"/>
      <c r="X76" s="98"/>
      <c r="Y76" s="99" t="s">
        <v>132</v>
      </c>
      <c r="Z76" s="100" t="str">
        <f>MID(E76,4,2)</f>
        <v>CA</v>
      </c>
    </row>
    <row r="77" spans="1:26" s="100" customFormat="1" x14ac:dyDescent="0.2">
      <c r="A77" s="92">
        <v>46235</v>
      </c>
      <c r="B77" s="90" t="s">
        <v>127</v>
      </c>
      <c r="C77" s="93" t="s">
        <v>128</v>
      </c>
      <c r="D77" s="94" t="s">
        <v>26</v>
      </c>
      <c r="E77" s="90" t="s">
        <v>129</v>
      </c>
      <c r="F77" s="90" t="s">
        <v>165</v>
      </c>
      <c r="G77" s="90" t="s">
        <v>166</v>
      </c>
      <c r="H77" s="95" t="str">
        <f t="shared" si="2"/>
        <v>C5222J20</v>
      </c>
      <c r="I77" s="95"/>
      <c r="J77" s="89">
        <v>0.28999999999999998</v>
      </c>
      <c r="K77" s="89"/>
      <c r="L77" s="89">
        <v>0</v>
      </c>
      <c r="M77" s="89">
        <f t="shared" ref="M77:M140" si="6">L77-K77</f>
        <v>0</v>
      </c>
      <c r="N77" s="89">
        <v>40</v>
      </c>
      <c r="O77" s="96">
        <v>11.6</v>
      </c>
      <c r="P77" s="96">
        <v>26120</v>
      </c>
      <c r="Q77" s="96">
        <v>302992</v>
      </c>
      <c r="R77" s="93"/>
      <c r="S77" s="97"/>
      <c r="T77" s="98"/>
      <c r="U77" s="98" t="s">
        <v>30</v>
      </c>
      <c r="V77" s="93"/>
      <c r="W77" s="98"/>
      <c r="X77" s="98"/>
      <c r="Y77" s="99" t="s">
        <v>132</v>
      </c>
      <c r="Z77" s="100" t="str">
        <f>MID(E77,4,2)</f>
        <v>CA</v>
      </c>
    </row>
    <row r="78" spans="1:26" s="100" customFormat="1" x14ac:dyDescent="0.2">
      <c r="A78" s="92">
        <v>46235</v>
      </c>
      <c r="B78" s="90" t="s">
        <v>127</v>
      </c>
      <c r="C78" s="93" t="s">
        <v>128</v>
      </c>
      <c r="D78" s="94" t="s">
        <v>26</v>
      </c>
      <c r="E78" s="90" t="s">
        <v>129</v>
      </c>
      <c r="F78" s="90" t="s">
        <v>167</v>
      </c>
      <c r="G78" s="90" t="s">
        <v>168</v>
      </c>
      <c r="H78" s="95" t="str">
        <f t="shared" ref="H78:H141" si="7">IF(LEN(G78)=13,LEFT(G78,5)&amp;MID(G78,SEARCH("-J",G78)+1,3),LEFT(G78,5)&amp;"J20")</f>
        <v>C5222J20</v>
      </c>
      <c r="I78" s="95"/>
      <c r="J78" s="89">
        <v>0.03</v>
      </c>
      <c r="K78" s="89"/>
      <c r="L78" s="89">
        <v>0</v>
      </c>
      <c r="M78" s="89">
        <f t="shared" si="6"/>
        <v>0</v>
      </c>
      <c r="N78" s="89">
        <v>40</v>
      </c>
      <c r="O78" s="96">
        <v>1.2</v>
      </c>
      <c r="P78" s="96">
        <v>26120</v>
      </c>
      <c r="Q78" s="96">
        <v>31344</v>
      </c>
      <c r="R78" s="93"/>
      <c r="S78" s="97"/>
      <c r="T78" s="98"/>
      <c r="U78" s="98" t="s">
        <v>30</v>
      </c>
      <c r="V78" s="93"/>
      <c r="W78" s="98"/>
      <c r="X78" s="98"/>
      <c r="Y78" s="99" t="s">
        <v>132</v>
      </c>
      <c r="Z78" s="100" t="str">
        <f>MID(E78,4,2)</f>
        <v>CA</v>
      </c>
    </row>
    <row r="79" spans="1:26" s="100" customFormat="1" x14ac:dyDescent="0.2">
      <c r="A79" s="92">
        <v>46235</v>
      </c>
      <c r="B79" s="90" t="s">
        <v>127</v>
      </c>
      <c r="C79" s="93" t="s">
        <v>128</v>
      </c>
      <c r="D79" s="94" t="s">
        <v>26</v>
      </c>
      <c r="E79" s="90" t="s">
        <v>129</v>
      </c>
      <c r="F79" s="90" t="s">
        <v>169</v>
      </c>
      <c r="G79" s="90" t="s">
        <v>170</v>
      </c>
      <c r="H79" s="95" t="str">
        <f t="shared" si="7"/>
        <v>C5222J20</v>
      </c>
      <c r="I79" s="95"/>
      <c r="J79" s="89">
        <v>1.8</v>
      </c>
      <c r="K79" s="89"/>
      <c r="L79" s="89">
        <v>0</v>
      </c>
      <c r="M79" s="89">
        <f t="shared" si="6"/>
        <v>0</v>
      </c>
      <c r="N79" s="89">
        <v>40</v>
      </c>
      <c r="O79" s="96">
        <v>72</v>
      </c>
      <c r="P79" s="96">
        <v>26120</v>
      </c>
      <c r="Q79" s="96">
        <v>1880640</v>
      </c>
      <c r="R79" s="93"/>
      <c r="S79" s="97"/>
      <c r="T79" s="98"/>
      <c r="U79" s="98" t="s">
        <v>30</v>
      </c>
      <c r="V79" s="93"/>
      <c r="W79" s="98"/>
      <c r="X79" s="98"/>
      <c r="Y79" s="99" t="s">
        <v>132</v>
      </c>
      <c r="Z79" s="100" t="str">
        <f>MID(E79,4,2)</f>
        <v>CA</v>
      </c>
    </row>
    <row r="80" spans="1:26" s="100" customFormat="1" x14ac:dyDescent="0.2">
      <c r="A80" s="92">
        <v>46235</v>
      </c>
      <c r="B80" s="90" t="s">
        <v>127</v>
      </c>
      <c r="C80" s="93" t="s">
        <v>128</v>
      </c>
      <c r="D80" s="94" t="s">
        <v>26</v>
      </c>
      <c r="E80" s="90" t="s">
        <v>129</v>
      </c>
      <c r="F80" s="90" t="s">
        <v>171</v>
      </c>
      <c r="G80" s="90" t="s">
        <v>172</v>
      </c>
      <c r="H80" s="95" t="str">
        <f t="shared" si="7"/>
        <v>F4044J20</v>
      </c>
      <c r="I80" s="95"/>
      <c r="J80" s="89">
        <v>0.16</v>
      </c>
      <c r="K80" s="89"/>
      <c r="L80" s="89">
        <v>0</v>
      </c>
      <c r="M80" s="89">
        <f t="shared" si="6"/>
        <v>0</v>
      </c>
      <c r="N80" s="89">
        <v>40</v>
      </c>
      <c r="O80" s="89">
        <v>6.4</v>
      </c>
      <c r="P80" s="96">
        <v>26120</v>
      </c>
      <c r="Q80" s="96">
        <v>167168</v>
      </c>
      <c r="R80" s="93"/>
      <c r="S80" s="97"/>
      <c r="T80" s="98"/>
      <c r="U80" s="98" t="s">
        <v>30</v>
      </c>
      <c r="V80" s="93"/>
      <c r="W80" s="98"/>
      <c r="X80" s="98"/>
      <c r="Y80" s="99" t="s">
        <v>132</v>
      </c>
      <c r="Z80" s="100" t="str">
        <f>MID(E80,4,2)</f>
        <v>CA</v>
      </c>
    </row>
    <row r="81" spans="1:26" s="100" customFormat="1" x14ac:dyDescent="0.2">
      <c r="A81" s="92">
        <v>46235</v>
      </c>
      <c r="B81" s="90" t="s">
        <v>127</v>
      </c>
      <c r="C81" s="93" t="s">
        <v>128</v>
      </c>
      <c r="D81" s="94" t="s">
        <v>26</v>
      </c>
      <c r="E81" s="90" t="s">
        <v>129</v>
      </c>
      <c r="F81" s="90" t="s">
        <v>173</v>
      </c>
      <c r="G81" s="90" t="s">
        <v>174</v>
      </c>
      <c r="H81" s="95" t="str">
        <f t="shared" si="7"/>
        <v>F4044J20</v>
      </c>
      <c r="I81" s="95"/>
      <c r="J81" s="89">
        <v>0.28999999999999998</v>
      </c>
      <c r="K81" s="89"/>
      <c r="L81" s="89">
        <v>0</v>
      </c>
      <c r="M81" s="89">
        <f t="shared" si="6"/>
        <v>0</v>
      </c>
      <c r="N81" s="89">
        <v>40</v>
      </c>
      <c r="O81" s="96">
        <v>11.6</v>
      </c>
      <c r="P81" s="96">
        <v>26120</v>
      </c>
      <c r="Q81" s="96">
        <v>302992</v>
      </c>
      <c r="R81" s="93"/>
      <c r="S81" s="97"/>
      <c r="T81" s="98"/>
      <c r="U81" s="98" t="s">
        <v>30</v>
      </c>
      <c r="V81" s="93"/>
      <c r="W81" s="98"/>
      <c r="X81" s="98"/>
      <c r="Y81" s="99" t="s">
        <v>132</v>
      </c>
      <c r="Z81" s="100" t="str">
        <f>MID(E81,4,2)</f>
        <v>CA</v>
      </c>
    </row>
    <row r="82" spans="1:26" s="100" customFormat="1" x14ac:dyDescent="0.2">
      <c r="A82" s="92">
        <v>46235</v>
      </c>
      <c r="B82" s="90" t="s">
        <v>127</v>
      </c>
      <c r="C82" s="93" t="s">
        <v>128</v>
      </c>
      <c r="D82" s="94" t="s">
        <v>26</v>
      </c>
      <c r="E82" s="90" t="s">
        <v>129</v>
      </c>
      <c r="F82" s="90" t="s">
        <v>175</v>
      </c>
      <c r="G82" s="90" t="s">
        <v>176</v>
      </c>
      <c r="H82" s="95" t="str">
        <f t="shared" si="7"/>
        <v>F4044J20</v>
      </c>
      <c r="I82" s="95"/>
      <c r="J82" s="89">
        <v>0.03</v>
      </c>
      <c r="K82" s="89"/>
      <c r="L82" s="89">
        <v>0</v>
      </c>
      <c r="M82" s="89">
        <f t="shared" si="6"/>
        <v>0</v>
      </c>
      <c r="N82" s="89">
        <v>40</v>
      </c>
      <c r="O82" s="96">
        <v>1.2</v>
      </c>
      <c r="P82" s="96">
        <v>26120</v>
      </c>
      <c r="Q82" s="96">
        <v>31344</v>
      </c>
      <c r="R82" s="93"/>
      <c r="S82" s="97"/>
      <c r="T82" s="98"/>
      <c r="U82" s="98" t="s">
        <v>30</v>
      </c>
      <c r="V82" s="93"/>
      <c r="W82" s="98"/>
      <c r="X82" s="98"/>
      <c r="Y82" s="99" t="s">
        <v>132</v>
      </c>
      <c r="Z82" s="100" t="str">
        <f>MID(E82,4,2)</f>
        <v>CA</v>
      </c>
    </row>
    <row r="83" spans="1:26" s="100" customFormat="1" x14ac:dyDescent="0.2">
      <c r="A83" s="92">
        <v>46235</v>
      </c>
      <c r="B83" s="90" t="s">
        <v>127</v>
      </c>
      <c r="C83" s="93" t="s">
        <v>128</v>
      </c>
      <c r="D83" s="94" t="s">
        <v>26</v>
      </c>
      <c r="E83" s="90" t="s">
        <v>129</v>
      </c>
      <c r="F83" s="90" t="s">
        <v>177</v>
      </c>
      <c r="G83" s="90" t="s">
        <v>178</v>
      </c>
      <c r="H83" s="95" t="str">
        <f t="shared" si="7"/>
        <v>F4044J20</v>
      </c>
      <c r="I83" s="95"/>
      <c r="J83" s="89">
        <v>1.8</v>
      </c>
      <c r="K83" s="89"/>
      <c r="L83" s="89">
        <v>0</v>
      </c>
      <c r="M83" s="89">
        <f t="shared" si="6"/>
        <v>0</v>
      </c>
      <c r="N83" s="89">
        <v>40</v>
      </c>
      <c r="O83" s="96">
        <v>72</v>
      </c>
      <c r="P83" s="96">
        <v>26120</v>
      </c>
      <c r="Q83" s="96">
        <v>1880640</v>
      </c>
      <c r="R83" s="93"/>
      <c r="S83" s="97"/>
      <c r="T83" s="98"/>
      <c r="U83" s="98" t="s">
        <v>30</v>
      </c>
      <c r="V83" s="93"/>
      <c r="W83" s="98"/>
      <c r="X83" s="98"/>
      <c r="Y83" s="99" t="s">
        <v>132</v>
      </c>
      <c r="Z83" s="100" t="str">
        <f>MID(E83,4,2)</f>
        <v>CA</v>
      </c>
    </row>
    <row r="84" spans="1:26" s="100" customFormat="1" x14ac:dyDescent="0.2">
      <c r="A84" s="92">
        <v>46235</v>
      </c>
      <c r="B84" s="90" t="s">
        <v>127</v>
      </c>
      <c r="C84" s="93" t="s">
        <v>128</v>
      </c>
      <c r="D84" s="94" t="s">
        <v>26</v>
      </c>
      <c r="E84" s="90" t="s">
        <v>129</v>
      </c>
      <c r="F84" s="90" t="s">
        <v>110</v>
      </c>
      <c r="G84" s="90" t="s">
        <v>111</v>
      </c>
      <c r="H84" s="95" t="str">
        <f t="shared" si="7"/>
        <v>C4023J20</v>
      </c>
      <c r="I84" s="95"/>
      <c r="J84" s="89">
        <v>436</v>
      </c>
      <c r="K84" s="89">
        <f t="shared" ref="K84:K85" si="8">+L84</f>
        <v>59.9</v>
      </c>
      <c r="L84" s="89">
        <v>59.9</v>
      </c>
      <c r="M84" s="89">
        <f t="shared" si="6"/>
        <v>0</v>
      </c>
      <c r="N84" s="89">
        <v>59.22</v>
      </c>
      <c r="O84" s="96">
        <v>25819.200000000001</v>
      </c>
      <c r="P84" s="96">
        <v>26120</v>
      </c>
      <c r="Q84" s="96">
        <v>674397504</v>
      </c>
      <c r="R84" s="93" t="s">
        <v>30</v>
      </c>
      <c r="S84" s="97"/>
      <c r="T84" s="98"/>
      <c r="U84" s="98"/>
      <c r="V84" s="93"/>
      <c r="W84" s="98"/>
      <c r="X84" s="98"/>
      <c r="Y84" s="99" t="s">
        <v>132</v>
      </c>
      <c r="Z84" s="100" t="str">
        <f>MID(E84,4,2)</f>
        <v>CA</v>
      </c>
    </row>
    <row r="85" spans="1:26" s="100" customFormat="1" x14ac:dyDescent="0.2">
      <c r="A85" s="92">
        <v>46235</v>
      </c>
      <c r="B85" s="90" t="s">
        <v>127</v>
      </c>
      <c r="C85" s="93" t="s">
        <v>128</v>
      </c>
      <c r="D85" s="94" t="s">
        <v>26</v>
      </c>
      <c r="E85" s="90" t="s">
        <v>129</v>
      </c>
      <c r="F85" s="90" t="s">
        <v>110</v>
      </c>
      <c r="G85" s="90" t="s">
        <v>111</v>
      </c>
      <c r="H85" s="95" t="str">
        <f t="shared" si="7"/>
        <v>C4023J20</v>
      </c>
      <c r="I85" s="95"/>
      <c r="J85" s="89">
        <v>436</v>
      </c>
      <c r="K85" s="89">
        <f t="shared" si="8"/>
        <v>59.9</v>
      </c>
      <c r="L85" s="89">
        <v>59.9</v>
      </c>
      <c r="M85" s="89">
        <f t="shared" si="6"/>
        <v>0</v>
      </c>
      <c r="N85" s="89">
        <v>59.22</v>
      </c>
      <c r="O85" s="96">
        <v>25819.200000000001</v>
      </c>
      <c r="P85" s="96">
        <v>26120</v>
      </c>
      <c r="Q85" s="96">
        <v>674397504</v>
      </c>
      <c r="R85" s="93" t="s">
        <v>30</v>
      </c>
      <c r="S85" s="97"/>
      <c r="T85" s="98"/>
      <c r="U85" s="98"/>
      <c r="V85" s="93"/>
      <c r="W85" s="98"/>
      <c r="X85" s="98"/>
      <c r="Y85" s="99" t="s">
        <v>132</v>
      </c>
      <c r="Z85" s="100" t="str">
        <f>MID(E85,4,2)</f>
        <v>CA</v>
      </c>
    </row>
    <row r="86" spans="1:26" s="100" customFormat="1" x14ac:dyDescent="0.2">
      <c r="A86" s="92">
        <v>46235</v>
      </c>
      <c r="B86" s="90" t="s">
        <v>179</v>
      </c>
      <c r="C86" s="93" t="s">
        <v>180</v>
      </c>
      <c r="D86" s="94" t="s">
        <v>26</v>
      </c>
      <c r="E86" s="90" t="s">
        <v>181</v>
      </c>
      <c r="F86" s="90" t="s">
        <v>182</v>
      </c>
      <c r="G86" s="90" t="s">
        <v>183</v>
      </c>
      <c r="H86" s="95" t="str">
        <f t="shared" si="7"/>
        <v>F5131J20</v>
      </c>
      <c r="I86" s="95"/>
      <c r="J86" s="89">
        <v>4</v>
      </c>
      <c r="K86" s="89">
        <f>IF(D86="CAESARSTONE LTD",VLOOKUP(H86,'[2]GIA CA'!G:H,2,0),IF(OR(D86="STONE FACINGS LIMITED",D86="NORDIA SA",D86="INVICTUS STONE COUNTERTOPS INC",D86="QUARTZTOP LLC"),VLOOKUP(H86,'[2] Giá ngoài Mỹ - SI-GR'!$B$5:$AZ$84,51,0),IF(OR(D86="HYUNDAI L&amp;C CANADA INC",D86="Hyundai L&amp; C USA LLC"),VLOOKUP(H86,'[2]GIA HS'!A:D,4,0),IF(Y86="Mỹ",VLOOKUP(H86,'[2]giá mỹ từ 6.8.2025'!B:I,2,0),VLOOKUP(H86,'[2]giá ngoài mỹ 6.8.2025 (final)'!B:BP,51,0)))))</f>
        <v>60</v>
      </c>
      <c r="L86" s="89">
        <v>119.36</v>
      </c>
      <c r="M86" s="89">
        <f t="shared" si="6"/>
        <v>59.36</v>
      </c>
      <c r="N86" s="89">
        <v>119</v>
      </c>
      <c r="O86" s="96">
        <v>476</v>
      </c>
      <c r="P86" s="96">
        <v>26120</v>
      </c>
      <c r="Q86" s="96">
        <v>12433120</v>
      </c>
      <c r="R86" s="93"/>
      <c r="S86" s="97"/>
      <c r="T86" s="98" t="s">
        <v>30</v>
      </c>
      <c r="U86" s="98"/>
      <c r="V86" s="93"/>
      <c r="W86" s="98"/>
      <c r="X86" s="98"/>
      <c r="Y86" s="99" t="s">
        <v>97</v>
      </c>
      <c r="Z86" s="100" t="str">
        <f>MID(E86,4,2)</f>
        <v>CA</v>
      </c>
    </row>
    <row r="87" spans="1:26" s="100" customFormat="1" x14ac:dyDescent="0.2">
      <c r="A87" s="92">
        <v>46235</v>
      </c>
      <c r="B87" s="90" t="s">
        <v>179</v>
      </c>
      <c r="C87" s="93" t="s">
        <v>180</v>
      </c>
      <c r="D87" s="94" t="s">
        <v>26</v>
      </c>
      <c r="E87" s="90" t="s">
        <v>181</v>
      </c>
      <c r="F87" s="90" t="s">
        <v>182</v>
      </c>
      <c r="G87" s="90" t="s">
        <v>183</v>
      </c>
      <c r="H87" s="95" t="str">
        <f t="shared" si="7"/>
        <v>F5131J20</v>
      </c>
      <c r="I87" s="95"/>
      <c r="J87" s="89">
        <v>4</v>
      </c>
      <c r="K87" s="89">
        <f>IF(D87="CAESARSTONE LTD",VLOOKUP(H87,'[2]GIA CA'!G:H,2,0),IF(OR(D87="STONE FACINGS LIMITED",D87="NORDIA SA",D87="INVICTUS STONE COUNTERTOPS INC",D87="QUARTZTOP LLC"),VLOOKUP(H87,'[2] Giá ngoài Mỹ - SI-GR'!$B$5:$AZ$84,51,0),IF(OR(D87="HYUNDAI L&amp;C CANADA INC",D87="Hyundai L&amp; C USA LLC"),VLOOKUP(H87,'[2]GIA HS'!A:D,4,0),IF(Y87="Mỹ",VLOOKUP(H87,'[2]giá mỹ từ 6.8.2025'!B:I,2,0),VLOOKUP(H87,'[2]giá ngoài mỹ 6.8.2025 (final)'!B:BP,51,0)))))</f>
        <v>60</v>
      </c>
      <c r="L87" s="89">
        <v>119.36</v>
      </c>
      <c r="M87" s="89">
        <f t="shared" si="6"/>
        <v>59.36</v>
      </c>
      <c r="N87" s="89">
        <v>119</v>
      </c>
      <c r="O87" s="96">
        <v>476</v>
      </c>
      <c r="P87" s="96">
        <v>26120</v>
      </c>
      <c r="Q87" s="96">
        <v>12433120</v>
      </c>
      <c r="R87" s="93"/>
      <c r="S87" s="97"/>
      <c r="T87" s="98" t="s">
        <v>30</v>
      </c>
      <c r="U87" s="98"/>
      <c r="V87" s="93"/>
      <c r="W87" s="98"/>
      <c r="X87" s="98"/>
      <c r="Y87" s="99" t="s">
        <v>97</v>
      </c>
      <c r="Z87" s="100" t="str">
        <f>MID(E87,4,2)</f>
        <v>CA</v>
      </c>
    </row>
    <row r="88" spans="1:26" s="100" customFormat="1" x14ac:dyDescent="0.2">
      <c r="A88" s="92">
        <v>46235</v>
      </c>
      <c r="B88" s="90" t="s">
        <v>179</v>
      </c>
      <c r="C88" s="93" t="s">
        <v>180</v>
      </c>
      <c r="D88" s="94" t="s">
        <v>26</v>
      </c>
      <c r="E88" s="90" t="s">
        <v>181</v>
      </c>
      <c r="F88" s="90" t="s">
        <v>184</v>
      </c>
      <c r="G88" s="90" t="s">
        <v>185</v>
      </c>
      <c r="H88" s="95" t="str">
        <f t="shared" si="7"/>
        <v>C5100J20</v>
      </c>
      <c r="I88" s="95"/>
      <c r="J88" s="89">
        <v>3.13</v>
      </c>
      <c r="K88" s="89">
        <f>IF(D88="CAESARSTONE LTD",VLOOKUP(H88,'[2]GIA CA'!G:H,2,0),IF(OR(D88="STONE FACINGS LIMITED",D88="NORDIA SA",D88="INVICTUS STONE COUNTERTOPS INC",D88="QUARTZTOP LLC"),VLOOKUP(H88,'[2] Giá ngoài Mỹ - SI-GR'!$B$5:$AZ$84,51,0),IF(OR(D88="HYUNDAI L&amp;C CANADA INC",D88="Hyundai L&amp; C USA LLC"),VLOOKUP(H88,'[2]GIA HS'!A:D,4,0),IF(Y88="Mỹ",VLOOKUP(H88,'[2]giá mỹ từ 6.8.2025'!B:I,2,0),VLOOKUP(H88,'[2]giá ngoài mỹ 6.8.2025 (final)'!B:BP,51,0)))))</f>
        <v>59</v>
      </c>
      <c r="L88" s="89">
        <v>94.57</v>
      </c>
      <c r="M88" s="89">
        <f t="shared" si="6"/>
        <v>35.569999999999993</v>
      </c>
      <c r="N88" s="89">
        <v>95</v>
      </c>
      <c r="O88" s="96">
        <v>297.35000000000002</v>
      </c>
      <c r="P88" s="96">
        <v>26120</v>
      </c>
      <c r="Q88" s="96">
        <v>7766782</v>
      </c>
      <c r="R88" s="93"/>
      <c r="S88" s="97"/>
      <c r="T88" s="98" t="s">
        <v>30</v>
      </c>
      <c r="U88" s="98"/>
      <c r="V88" s="93"/>
      <c r="W88" s="98"/>
      <c r="X88" s="98"/>
      <c r="Y88" s="99" t="s">
        <v>97</v>
      </c>
      <c r="Z88" s="100" t="str">
        <f>MID(E88,4,2)</f>
        <v>CA</v>
      </c>
    </row>
    <row r="89" spans="1:26" s="100" customFormat="1" x14ac:dyDescent="0.2">
      <c r="A89" s="92">
        <v>46235</v>
      </c>
      <c r="B89" s="90" t="s">
        <v>179</v>
      </c>
      <c r="C89" s="93" t="s">
        <v>180</v>
      </c>
      <c r="D89" s="94" t="s">
        <v>26</v>
      </c>
      <c r="E89" s="90" t="s">
        <v>181</v>
      </c>
      <c r="F89" s="90" t="s">
        <v>184</v>
      </c>
      <c r="G89" s="90" t="s">
        <v>185</v>
      </c>
      <c r="H89" s="95" t="str">
        <f t="shared" si="7"/>
        <v>C5100J20</v>
      </c>
      <c r="I89" s="95"/>
      <c r="J89" s="89">
        <v>1.56</v>
      </c>
      <c r="K89" s="89">
        <f>IF(D89="CAESARSTONE LTD",VLOOKUP(H89,'[2]GIA CA'!G:H,2,0),IF(OR(D89="STONE FACINGS LIMITED",D89="NORDIA SA",D89="INVICTUS STONE COUNTERTOPS INC",D89="QUARTZTOP LLC"),VLOOKUP(H89,'[2] Giá ngoài Mỹ - SI-GR'!$B$5:$AZ$84,51,0),IF(OR(D89="HYUNDAI L&amp;C CANADA INC",D89="Hyundai L&amp; C USA LLC"),VLOOKUP(H89,'[2]GIA HS'!A:D,4,0),IF(Y89="Mỹ",VLOOKUP(H89,'[2]giá mỹ từ 6.8.2025'!B:I,2,0),VLOOKUP(H89,'[2]giá ngoài mỹ 6.8.2025 (final)'!B:BP,51,0)))))</f>
        <v>59</v>
      </c>
      <c r="L89" s="89">
        <v>94.87</v>
      </c>
      <c r="M89" s="89">
        <f t="shared" si="6"/>
        <v>35.870000000000005</v>
      </c>
      <c r="N89" s="89">
        <v>95</v>
      </c>
      <c r="O89" s="96">
        <v>148.19999999999999</v>
      </c>
      <c r="P89" s="96">
        <v>26120</v>
      </c>
      <c r="Q89" s="96">
        <v>3870984</v>
      </c>
      <c r="R89" s="93"/>
      <c r="S89" s="97"/>
      <c r="T89" s="98" t="s">
        <v>30</v>
      </c>
      <c r="U89" s="98"/>
      <c r="V89" s="93"/>
      <c r="W89" s="98"/>
      <c r="X89" s="98"/>
      <c r="Y89" s="99" t="s">
        <v>97</v>
      </c>
      <c r="Z89" s="100" t="str">
        <f>MID(E89,4,2)</f>
        <v>CA</v>
      </c>
    </row>
    <row r="90" spans="1:26" s="100" customFormat="1" x14ac:dyDescent="0.2">
      <c r="A90" s="92">
        <v>46235</v>
      </c>
      <c r="B90" s="90" t="s">
        <v>179</v>
      </c>
      <c r="C90" s="93" t="s">
        <v>180</v>
      </c>
      <c r="D90" s="94" t="s">
        <v>26</v>
      </c>
      <c r="E90" s="90" t="s">
        <v>181</v>
      </c>
      <c r="F90" s="90" t="s">
        <v>186</v>
      </c>
      <c r="G90" s="90" t="s">
        <v>187</v>
      </c>
      <c r="H90" s="95" t="str">
        <f t="shared" si="7"/>
        <v>C6131J20</v>
      </c>
      <c r="I90" s="95"/>
      <c r="J90" s="89">
        <v>1.56</v>
      </c>
      <c r="K90" s="89">
        <f>IF(D90="CAESARSTONE LTD",VLOOKUP(H90,'[2]GIA CA'!G:H,2,0),IF(OR(D90="STONE FACINGS LIMITED",D90="NORDIA SA",D90="INVICTUS STONE COUNTERTOPS INC",D90="QUARTZTOP LLC"),VLOOKUP(H90,'[2] Giá ngoài Mỹ - SI-GR'!$B$5:$AZ$84,51,0),IF(OR(D90="HYUNDAI L&amp;C CANADA INC",D90="Hyundai L&amp; C USA LLC"),VLOOKUP(H90,'[2]GIA HS'!A:D,4,0),IF(Y90="Mỹ",VLOOKUP(H90,'[2]giá mỹ từ 6.8.2025'!B:I,2,0),VLOOKUP(H90,'[2]giá ngoài mỹ 6.8.2025 (final)'!B:BP,51,0)))))</f>
        <v>59</v>
      </c>
      <c r="L90" s="89">
        <v>94.87</v>
      </c>
      <c r="M90" s="89">
        <f t="shared" si="6"/>
        <v>35.870000000000005</v>
      </c>
      <c r="N90" s="89">
        <v>95</v>
      </c>
      <c r="O90" s="96">
        <v>148.19999999999999</v>
      </c>
      <c r="P90" s="96">
        <v>26120</v>
      </c>
      <c r="Q90" s="96">
        <v>3870984</v>
      </c>
      <c r="R90" s="93"/>
      <c r="S90" s="97"/>
      <c r="T90" s="98" t="s">
        <v>30</v>
      </c>
      <c r="U90" s="98"/>
      <c r="V90" s="93"/>
      <c r="W90" s="98"/>
      <c r="X90" s="98"/>
      <c r="Y90" s="99" t="s">
        <v>97</v>
      </c>
      <c r="Z90" s="100" t="str">
        <f>MID(E90,4,2)</f>
        <v>CA</v>
      </c>
    </row>
    <row r="91" spans="1:26" s="100" customFormat="1" x14ac:dyDescent="0.2">
      <c r="A91" s="92">
        <v>46235</v>
      </c>
      <c r="B91" s="90" t="s">
        <v>179</v>
      </c>
      <c r="C91" s="93" t="s">
        <v>180</v>
      </c>
      <c r="D91" s="94" t="s">
        <v>26</v>
      </c>
      <c r="E91" s="90" t="s">
        <v>181</v>
      </c>
      <c r="F91" s="90" t="s">
        <v>186</v>
      </c>
      <c r="G91" s="90" t="s">
        <v>187</v>
      </c>
      <c r="H91" s="95" t="str">
        <f t="shared" si="7"/>
        <v>C6131J20</v>
      </c>
      <c r="I91" s="95"/>
      <c r="J91" s="89">
        <v>1.56</v>
      </c>
      <c r="K91" s="89">
        <f>IF(D91="CAESARSTONE LTD",VLOOKUP(H91,'[2]GIA CA'!G:H,2,0),IF(OR(D91="STONE FACINGS LIMITED",D91="NORDIA SA",D91="INVICTUS STONE COUNTERTOPS INC",D91="QUARTZTOP LLC"),VLOOKUP(H91,'[2] Giá ngoài Mỹ - SI-GR'!$B$5:$AZ$84,51,0),IF(OR(D91="HYUNDAI L&amp;C CANADA INC",D91="Hyundai L&amp; C USA LLC"),VLOOKUP(H91,'[2]GIA HS'!A:D,4,0),IF(Y91="Mỹ",VLOOKUP(H91,'[2]giá mỹ từ 6.8.2025'!B:I,2,0),VLOOKUP(H91,'[2]giá ngoài mỹ 6.8.2025 (final)'!B:BP,51,0)))))</f>
        <v>59</v>
      </c>
      <c r="L91" s="89">
        <v>94.87</v>
      </c>
      <c r="M91" s="89">
        <f t="shared" si="6"/>
        <v>35.870000000000005</v>
      </c>
      <c r="N91" s="89">
        <v>95</v>
      </c>
      <c r="O91" s="96">
        <v>148.19999999999999</v>
      </c>
      <c r="P91" s="96">
        <v>26120</v>
      </c>
      <c r="Q91" s="96">
        <v>3870984</v>
      </c>
      <c r="R91" s="93"/>
      <c r="S91" s="97"/>
      <c r="T91" s="98" t="s">
        <v>30</v>
      </c>
      <c r="U91" s="98"/>
      <c r="V91" s="93"/>
      <c r="W91" s="98"/>
      <c r="X91" s="98"/>
      <c r="Y91" s="99" t="s">
        <v>97</v>
      </c>
      <c r="Z91" s="100" t="str">
        <f>MID(E91,4,2)</f>
        <v>CA</v>
      </c>
    </row>
    <row r="92" spans="1:26" s="100" customFormat="1" x14ac:dyDescent="0.2">
      <c r="A92" s="92">
        <v>46235</v>
      </c>
      <c r="B92" s="90" t="s">
        <v>179</v>
      </c>
      <c r="C92" s="93" t="s">
        <v>180</v>
      </c>
      <c r="D92" s="94" t="s">
        <v>26</v>
      </c>
      <c r="E92" s="90" t="s">
        <v>181</v>
      </c>
      <c r="F92" s="90" t="s">
        <v>188</v>
      </c>
      <c r="G92" s="90" t="s">
        <v>189</v>
      </c>
      <c r="H92" s="95" t="str">
        <f t="shared" si="7"/>
        <v>C5133J20</v>
      </c>
      <c r="I92" s="95"/>
      <c r="J92" s="89">
        <v>3.13</v>
      </c>
      <c r="K92" s="89">
        <f>IF(D92="CAESARSTONE LTD",VLOOKUP(H92,'[2]GIA CA'!G:H,2,0),IF(OR(D92="STONE FACINGS LIMITED",D92="NORDIA SA",D92="INVICTUS STONE COUNTERTOPS INC",D92="QUARTZTOP LLC"),VLOOKUP(H92,'[2] Giá ngoài Mỹ - SI-GR'!$B$5:$AZ$84,51,0),IF(OR(D92="HYUNDAI L&amp;C CANADA INC",D92="Hyundai L&amp; C USA LLC"),VLOOKUP(H92,'[2]GIA HS'!A:D,4,0),IF(Y92="Mỹ",VLOOKUP(H92,'[2]giá mỹ từ 6.8.2025'!B:I,2,0),VLOOKUP(H92,'[2]giá ngoài mỹ 6.8.2025 (final)'!B:BP,51,0)))))</f>
        <v>59</v>
      </c>
      <c r="L92" s="89">
        <v>94.57</v>
      </c>
      <c r="M92" s="89">
        <f t="shared" si="6"/>
        <v>35.569999999999993</v>
      </c>
      <c r="N92" s="89">
        <v>95</v>
      </c>
      <c r="O92" s="96">
        <v>297.35000000000002</v>
      </c>
      <c r="P92" s="96">
        <v>26120</v>
      </c>
      <c r="Q92" s="96">
        <v>7766782</v>
      </c>
      <c r="R92" s="93"/>
      <c r="S92" s="97"/>
      <c r="T92" s="98" t="s">
        <v>30</v>
      </c>
      <c r="U92" s="98"/>
      <c r="V92" s="93"/>
      <c r="W92" s="98"/>
      <c r="X92" s="98"/>
      <c r="Y92" s="99" t="s">
        <v>97</v>
      </c>
      <c r="Z92" s="100" t="str">
        <f>MID(E92,4,2)</f>
        <v>CA</v>
      </c>
    </row>
    <row r="93" spans="1:26" s="100" customFormat="1" x14ac:dyDescent="0.2">
      <c r="A93" s="92">
        <v>46235</v>
      </c>
      <c r="B93" s="90" t="s">
        <v>179</v>
      </c>
      <c r="C93" s="93" t="s">
        <v>180</v>
      </c>
      <c r="D93" s="94" t="s">
        <v>26</v>
      </c>
      <c r="E93" s="90" t="s">
        <v>181</v>
      </c>
      <c r="F93" s="90" t="s">
        <v>190</v>
      </c>
      <c r="G93" s="90" t="s">
        <v>191</v>
      </c>
      <c r="H93" s="95" t="str">
        <f t="shared" si="7"/>
        <v>C6313J20</v>
      </c>
      <c r="I93" s="95"/>
      <c r="J93" s="89">
        <v>3.75</v>
      </c>
      <c r="K93" s="89">
        <f>IF(D93="CAESARSTONE LTD",VLOOKUP(H93,'[2]GIA CA'!G:H,2,0),IF(OR(D93="STONE FACINGS LIMITED",D93="NORDIA SA",D93="INVICTUS STONE COUNTERTOPS INC",D93="QUARTZTOP LLC"),VLOOKUP(H93,'[2] Giá ngoài Mỹ - SI-GR'!$B$5:$AZ$84,51,0),IF(OR(D93="HYUNDAI L&amp;C CANADA INC",D93="Hyundai L&amp; C USA LLC"),VLOOKUP(H93,'[2]GIA HS'!A:D,4,0),IF(Y93="Mỹ",VLOOKUP(H93,'[2]giá mỹ từ 6.8.2025'!B:I,2,0),VLOOKUP(H93,'[2]giá ngoài mỹ 6.8.2025 (final)'!B:BP,51,0)))))</f>
        <v>59</v>
      </c>
      <c r="L93" s="89">
        <v>77.5</v>
      </c>
      <c r="M93" s="89">
        <f t="shared" si="6"/>
        <v>18.5</v>
      </c>
      <c r="N93" s="89">
        <v>129</v>
      </c>
      <c r="O93" s="96">
        <v>483.75</v>
      </c>
      <c r="P93" s="96">
        <v>26120</v>
      </c>
      <c r="Q93" s="96">
        <v>12635550</v>
      </c>
      <c r="R93" s="93"/>
      <c r="S93" s="97"/>
      <c r="T93" s="98" t="s">
        <v>30</v>
      </c>
      <c r="U93" s="98"/>
      <c r="V93" s="93"/>
      <c r="W93" s="98"/>
      <c r="X93" s="98"/>
      <c r="Y93" s="99" t="s">
        <v>97</v>
      </c>
      <c r="Z93" s="100" t="str">
        <f>MID(E93,4,2)</f>
        <v>CA</v>
      </c>
    </row>
    <row r="94" spans="1:26" s="100" customFormat="1" x14ac:dyDescent="0.2">
      <c r="A94" s="92">
        <v>46235</v>
      </c>
      <c r="B94" s="90" t="s">
        <v>179</v>
      </c>
      <c r="C94" s="93" t="s">
        <v>180</v>
      </c>
      <c r="D94" s="94" t="s">
        <v>26</v>
      </c>
      <c r="E94" s="90" t="s">
        <v>181</v>
      </c>
      <c r="F94" s="90" t="s">
        <v>192</v>
      </c>
      <c r="G94" s="90" t="s">
        <v>193</v>
      </c>
      <c r="H94" s="95" t="str">
        <f t="shared" si="7"/>
        <v>C5212J20</v>
      </c>
      <c r="I94" s="95"/>
      <c r="J94" s="89">
        <v>1.56</v>
      </c>
      <c r="K94" s="89">
        <f>IF(D94="CAESARSTONE LTD",VLOOKUP(H94,'[2]GIA CA'!G:H,2,0),IF(OR(D94="STONE FACINGS LIMITED",D94="NORDIA SA",D94="INVICTUS STONE COUNTERTOPS INC",D94="QUARTZTOP LLC"),VLOOKUP(H94,'[2] Giá ngoài Mỹ - SI-GR'!$B$5:$AZ$84,51,0),IF(OR(D94="HYUNDAI L&amp;C CANADA INC",D94="Hyundai L&amp; C USA LLC"),VLOOKUP(H94,'[2]GIA HS'!A:D,4,0),IF(Y94="Mỹ",VLOOKUP(H94,'[2]giá mỹ từ 6.8.2025'!B:I,2,0),VLOOKUP(H94,'[2]giá ngoài mỹ 6.8.2025 (final)'!B:BP,51,0)))))</f>
        <v>59</v>
      </c>
      <c r="L94" s="89">
        <v>94.87</v>
      </c>
      <c r="M94" s="89">
        <f t="shared" si="6"/>
        <v>35.870000000000005</v>
      </c>
      <c r="N94" s="89">
        <v>95</v>
      </c>
      <c r="O94" s="89">
        <v>148.19999999999999</v>
      </c>
      <c r="P94" s="96">
        <v>26120</v>
      </c>
      <c r="Q94" s="96">
        <v>3870984</v>
      </c>
      <c r="R94" s="93"/>
      <c r="S94" s="97"/>
      <c r="T94" s="98" t="s">
        <v>30</v>
      </c>
      <c r="U94" s="98"/>
      <c r="V94" s="93"/>
      <c r="W94" s="98"/>
      <c r="X94" s="98"/>
      <c r="Y94" s="99" t="s">
        <v>97</v>
      </c>
      <c r="Z94" s="100" t="str">
        <f>MID(E94,4,2)</f>
        <v>CA</v>
      </c>
    </row>
    <row r="95" spans="1:26" s="100" customFormat="1" x14ac:dyDescent="0.2">
      <c r="A95" s="92">
        <v>46235</v>
      </c>
      <c r="B95" s="90" t="s">
        <v>179</v>
      </c>
      <c r="C95" s="93" t="s">
        <v>180</v>
      </c>
      <c r="D95" s="94" t="s">
        <v>26</v>
      </c>
      <c r="E95" s="90" t="s">
        <v>181</v>
      </c>
      <c r="F95" s="90" t="s">
        <v>110</v>
      </c>
      <c r="G95" s="90" t="s">
        <v>111</v>
      </c>
      <c r="H95" s="95" t="str">
        <f t="shared" si="7"/>
        <v>C4023J20</v>
      </c>
      <c r="I95" s="95"/>
      <c r="J95" s="89">
        <v>517.75</v>
      </c>
      <c r="K95" s="89">
        <f>+L95</f>
        <v>59.85</v>
      </c>
      <c r="L95" s="89">
        <v>59.85</v>
      </c>
      <c r="M95" s="89">
        <f t="shared" si="6"/>
        <v>0</v>
      </c>
      <c r="N95" s="89">
        <v>59.85</v>
      </c>
      <c r="O95" s="89">
        <v>30985.63</v>
      </c>
      <c r="P95" s="96">
        <v>26120</v>
      </c>
      <c r="Q95" s="96">
        <v>809344656</v>
      </c>
      <c r="R95" s="93" t="s">
        <v>30</v>
      </c>
      <c r="S95" s="97"/>
      <c r="T95" s="98"/>
      <c r="U95" s="98"/>
      <c r="V95" s="93"/>
      <c r="W95" s="98"/>
      <c r="X95" s="98"/>
      <c r="Y95" s="99" t="s">
        <v>97</v>
      </c>
      <c r="Z95" s="100" t="str">
        <f>MID(E95,4,2)</f>
        <v>CA</v>
      </c>
    </row>
    <row r="96" spans="1:26" s="111" customFormat="1" x14ac:dyDescent="0.2">
      <c r="A96" s="101">
        <v>46237</v>
      </c>
      <c r="B96" s="91" t="s">
        <v>194</v>
      </c>
      <c r="C96" s="102" t="s">
        <v>195</v>
      </c>
      <c r="D96" s="103" t="s">
        <v>196</v>
      </c>
      <c r="E96" s="91" t="s">
        <v>197</v>
      </c>
      <c r="F96" s="91" t="s">
        <v>198</v>
      </c>
      <c r="G96" s="91" t="s">
        <v>199</v>
      </c>
      <c r="H96" s="104" t="str">
        <f t="shared" si="7"/>
        <v>F3301J20</v>
      </c>
      <c r="I96" s="104"/>
      <c r="J96" s="105">
        <v>5.45</v>
      </c>
      <c r="K96" s="106"/>
      <c r="L96" s="106">
        <v>0</v>
      </c>
      <c r="M96" s="106">
        <f t="shared" si="6"/>
        <v>0</v>
      </c>
      <c r="N96" s="106">
        <v>0</v>
      </c>
      <c r="O96" s="106">
        <v>0</v>
      </c>
      <c r="P96" s="107">
        <v>26110</v>
      </c>
      <c r="Q96" s="107">
        <v>0</v>
      </c>
      <c r="R96" s="102"/>
      <c r="S96" s="108"/>
      <c r="T96" s="109"/>
      <c r="U96" s="109"/>
      <c r="V96" s="102" t="s">
        <v>30</v>
      </c>
      <c r="W96" s="109"/>
      <c r="X96" s="109"/>
      <c r="Y96" s="110" t="s">
        <v>31</v>
      </c>
      <c r="Z96" s="111" t="str">
        <f>MID(E96,4,2)</f>
        <v>WA</v>
      </c>
    </row>
    <row r="97" spans="1:26" s="111" customFormat="1" x14ac:dyDescent="0.2">
      <c r="A97" s="101">
        <v>46237</v>
      </c>
      <c r="B97" s="91" t="s">
        <v>194</v>
      </c>
      <c r="C97" s="102" t="s">
        <v>195</v>
      </c>
      <c r="D97" s="103" t="s">
        <v>196</v>
      </c>
      <c r="E97" s="91" t="s">
        <v>197</v>
      </c>
      <c r="F97" s="91" t="s">
        <v>198</v>
      </c>
      <c r="G97" s="91" t="s">
        <v>199</v>
      </c>
      <c r="H97" s="104" t="str">
        <f t="shared" si="7"/>
        <v>F3301J20</v>
      </c>
      <c r="I97" s="104"/>
      <c r="J97" s="105">
        <v>5.45</v>
      </c>
      <c r="K97" s="106"/>
      <c r="L97" s="106">
        <v>0</v>
      </c>
      <c r="M97" s="106">
        <f t="shared" si="6"/>
        <v>0</v>
      </c>
      <c r="N97" s="106">
        <v>0</v>
      </c>
      <c r="O97" s="106">
        <v>0</v>
      </c>
      <c r="P97" s="107">
        <v>26110</v>
      </c>
      <c r="Q97" s="107">
        <v>0</v>
      </c>
      <c r="R97" s="102"/>
      <c r="S97" s="108"/>
      <c r="T97" s="109"/>
      <c r="U97" s="109"/>
      <c r="V97" s="102" t="s">
        <v>30</v>
      </c>
      <c r="W97" s="109"/>
      <c r="X97" s="109"/>
      <c r="Y97" s="110" t="s">
        <v>31</v>
      </c>
      <c r="Z97" s="111" t="str">
        <f>MID(E97,4,2)</f>
        <v>WA</v>
      </c>
    </row>
    <row r="98" spans="1:26" s="111" customFormat="1" x14ac:dyDescent="0.2">
      <c r="A98" s="101">
        <v>46237</v>
      </c>
      <c r="B98" s="91" t="s">
        <v>200</v>
      </c>
      <c r="C98" s="102" t="s">
        <v>201</v>
      </c>
      <c r="D98" s="103" t="s">
        <v>26</v>
      </c>
      <c r="E98" s="91" t="s">
        <v>202</v>
      </c>
      <c r="F98" s="91" t="s">
        <v>203</v>
      </c>
      <c r="G98" s="91" t="s">
        <v>204</v>
      </c>
      <c r="H98" s="104" t="str">
        <f t="shared" si="7"/>
        <v>F5132J20</v>
      </c>
      <c r="I98" s="104"/>
      <c r="J98" s="105">
        <v>54.5</v>
      </c>
      <c r="K98" s="106">
        <f>IF(D98="CAESARSTONE LTD",VLOOKUP(H98,'[2]GIA CA'!G:H,2,0),IF(OR(D98="STONE FACINGS LIMITED",D98="NORDIA SA",D98="INVICTUS STONE COUNTERTOPS INC",D98="QUARTZTOP LLC"),VLOOKUP(H98,'[2] Giá ngoài Mỹ - SI-GR'!$B$5:$AZ$84,51,0),IF(OR(D98="HYUNDAI L&amp;C CANADA INC",D98="Hyundai L&amp; C USA LLC"),VLOOKUP(H98,'[2]GIA HS'!A:D,4,0),IF(Y98="Mỹ",VLOOKUP(H98,'[2]giá mỹ từ 6.8.2025'!B:I,2,0),VLOOKUP(H98,'[2]giá ngoài mỹ 6.8.2025 (final)'!B:BP,51,0)))))</f>
        <v>62</v>
      </c>
      <c r="L98" s="106">
        <v>65.099999999999994</v>
      </c>
      <c r="M98" s="106">
        <f t="shared" si="6"/>
        <v>3.0999999999999943</v>
      </c>
      <c r="N98" s="106">
        <v>65</v>
      </c>
      <c r="O98" s="106">
        <v>3542.5</v>
      </c>
      <c r="P98" s="107">
        <v>26110</v>
      </c>
      <c r="Q98" s="107">
        <v>92494675</v>
      </c>
      <c r="R98" s="102" t="s">
        <v>30</v>
      </c>
      <c r="S98" s="108"/>
      <c r="T98" s="109"/>
      <c r="U98" s="109"/>
      <c r="V98" s="102"/>
      <c r="W98" s="109"/>
      <c r="X98" s="109"/>
      <c r="Y98" s="110" t="s">
        <v>31</v>
      </c>
      <c r="Z98" s="111" t="str">
        <f>MID(E98,4,2)</f>
        <v>CA</v>
      </c>
    </row>
    <row r="99" spans="1:26" s="111" customFormat="1" x14ac:dyDescent="0.2">
      <c r="A99" s="101">
        <v>46237</v>
      </c>
      <c r="B99" s="91" t="s">
        <v>200</v>
      </c>
      <c r="C99" s="102" t="s">
        <v>201</v>
      </c>
      <c r="D99" s="103" t="s">
        <v>26</v>
      </c>
      <c r="E99" s="91" t="s">
        <v>202</v>
      </c>
      <c r="F99" s="91" t="s">
        <v>205</v>
      </c>
      <c r="G99" s="91" t="s">
        <v>206</v>
      </c>
      <c r="H99" s="104" t="str">
        <f t="shared" si="7"/>
        <v>F5141J20</v>
      </c>
      <c r="I99" s="104"/>
      <c r="J99" s="105">
        <v>76.3</v>
      </c>
      <c r="K99" s="106">
        <f>IF(D99="CAESARSTONE LTD",VLOOKUP(H99,'[2]GIA CA'!G:H,2,0),IF(OR(D99="STONE FACINGS LIMITED",D99="NORDIA SA",D99="INVICTUS STONE COUNTERTOPS INC",D99="QUARTZTOP LLC"),VLOOKUP(H99,'[2] Giá ngoài Mỹ - SI-GR'!$B$5:$AZ$84,51,0),IF(OR(D99="HYUNDAI L&amp;C CANADA INC",D99="Hyundai L&amp; C USA LLC"),VLOOKUP(H99,'[2]GIA HS'!A:D,4,0),IF(Y99="Mỹ",VLOOKUP(H99,'[2]giá mỹ từ 6.8.2025'!B:I,2,0),VLOOKUP(H99,'[2]giá ngoài mỹ 6.8.2025 (final)'!B:BP,51,0)))))</f>
        <v>58</v>
      </c>
      <c r="L99" s="106">
        <v>60.9</v>
      </c>
      <c r="M99" s="106">
        <f t="shared" si="6"/>
        <v>2.8999999999999986</v>
      </c>
      <c r="N99" s="106">
        <v>61</v>
      </c>
      <c r="O99" s="106">
        <v>4654.3</v>
      </c>
      <c r="P99" s="107">
        <v>26110</v>
      </c>
      <c r="Q99" s="107">
        <v>121523773</v>
      </c>
      <c r="R99" s="102" t="s">
        <v>30</v>
      </c>
      <c r="S99" s="108"/>
      <c r="T99" s="109"/>
      <c r="U99" s="109"/>
      <c r="V99" s="102"/>
      <c r="W99" s="109"/>
      <c r="X99" s="109"/>
      <c r="Y99" s="110" t="s">
        <v>31</v>
      </c>
      <c r="Z99" s="111" t="str">
        <f>MID(E99,4,2)</f>
        <v>CA</v>
      </c>
    </row>
    <row r="100" spans="1:26" s="111" customFormat="1" x14ac:dyDescent="0.2">
      <c r="A100" s="101">
        <v>46237</v>
      </c>
      <c r="B100" s="91" t="s">
        <v>200</v>
      </c>
      <c r="C100" s="102" t="s">
        <v>201</v>
      </c>
      <c r="D100" s="103" t="s">
        <v>26</v>
      </c>
      <c r="E100" s="91" t="s">
        <v>202</v>
      </c>
      <c r="F100" s="91" t="s">
        <v>207</v>
      </c>
      <c r="G100" s="91" t="s">
        <v>206</v>
      </c>
      <c r="H100" s="104" t="str">
        <f t="shared" si="7"/>
        <v>F5141J20</v>
      </c>
      <c r="I100" s="104"/>
      <c r="J100" s="105">
        <v>32.700000000000003</v>
      </c>
      <c r="K100" s="106">
        <f>IF(D100="CAESARSTONE LTD",VLOOKUP(H100,'[2]GIA CA'!G:H,2,0),IF(OR(D100="STONE FACINGS LIMITED",D100="NORDIA SA",D100="INVICTUS STONE COUNTERTOPS INC",D100="QUARTZTOP LLC"),VLOOKUP(H100,'[2] Giá ngoài Mỹ - SI-GR'!$B$5:$AZ$84,51,0),IF(OR(D100="HYUNDAI L&amp;C CANADA INC",D100="Hyundai L&amp; C USA LLC"),VLOOKUP(H100,'[2]GIA HS'!A:D,4,0),IF(Y100="Mỹ",VLOOKUP(H100,'[2]giá mỹ từ 6.8.2025'!B:I,2,0),VLOOKUP(H100,'[2]giá ngoài mỹ 6.8.2025 (final)'!B:BP,51,0)))))</f>
        <v>58</v>
      </c>
      <c r="L100" s="106">
        <v>60.9</v>
      </c>
      <c r="M100" s="106">
        <f t="shared" si="6"/>
        <v>2.8999999999999986</v>
      </c>
      <c r="N100" s="106">
        <v>61</v>
      </c>
      <c r="O100" s="106">
        <v>1994.7</v>
      </c>
      <c r="P100" s="107">
        <v>26110</v>
      </c>
      <c r="Q100" s="107">
        <v>52081617</v>
      </c>
      <c r="R100" s="102" t="s">
        <v>30</v>
      </c>
      <c r="S100" s="108"/>
      <c r="T100" s="109"/>
      <c r="U100" s="109"/>
      <c r="V100" s="102"/>
      <c r="W100" s="109"/>
      <c r="X100" s="109"/>
      <c r="Y100" s="110" t="s">
        <v>31</v>
      </c>
      <c r="Z100" s="111" t="str">
        <f>MID(E100,4,2)</f>
        <v>CA</v>
      </c>
    </row>
    <row r="101" spans="1:26" s="111" customFormat="1" x14ac:dyDescent="0.2">
      <c r="A101" s="101">
        <v>46237</v>
      </c>
      <c r="B101" s="91" t="s">
        <v>200</v>
      </c>
      <c r="C101" s="102" t="s">
        <v>201</v>
      </c>
      <c r="D101" s="103" t="s">
        <v>26</v>
      </c>
      <c r="E101" s="91" t="s">
        <v>202</v>
      </c>
      <c r="F101" s="91" t="s">
        <v>43</v>
      </c>
      <c r="G101" s="91" t="s">
        <v>44</v>
      </c>
      <c r="H101" s="104" t="str">
        <f t="shared" si="7"/>
        <v>F5141J30</v>
      </c>
      <c r="I101" s="104"/>
      <c r="J101" s="105">
        <v>38.15</v>
      </c>
      <c r="K101" s="106">
        <f>IF(D101="CAESARSTONE LTD",VLOOKUP(H101,'[2]GIA CA'!G:H,2,0),IF(OR(D101="STONE FACINGS LIMITED",D101="NORDIA SA",D101="INVICTUS STONE COUNTERTOPS INC",D101="QUARTZTOP LLC"),VLOOKUP(H101,'[2] Giá ngoài Mỹ - SI-GR'!$B$5:$AZ$84,51,0),IF(OR(D101="HYUNDAI L&amp;C CANADA INC",D101="Hyundai L&amp; C USA LLC"),VLOOKUP(H101,'[2]GIA HS'!A:D,4,0),IF(Y101="Mỹ",VLOOKUP(H101,'[2]giá mỹ từ 6.8.2025'!B:I,2,0),VLOOKUP(H101,'[2]giá ngoài mỹ 6.8.2025 (final)'!B:BP,51,0)))))</f>
        <v>72.5</v>
      </c>
      <c r="L101" s="106">
        <v>76.099999999999994</v>
      </c>
      <c r="M101" s="106">
        <f t="shared" si="6"/>
        <v>3.5999999999999943</v>
      </c>
      <c r="N101" s="106">
        <v>76</v>
      </c>
      <c r="O101" s="106">
        <v>2899.4</v>
      </c>
      <c r="P101" s="107">
        <v>26110</v>
      </c>
      <c r="Q101" s="107">
        <v>75703334</v>
      </c>
      <c r="R101" s="102" t="s">
        <v>30</v>
      </c>
      <c r="S101" s="108"/>
      <c r="T101" s="109"/>
      <c r="U101" s="109"/>
      <c r="V101" s="102"/>
      <c r="W101" s="109"/>
      <c r="X101" s="109"/>
      <c r="Y101" s="110" t="s">
        <v>31</v>
      </c>
      <c r="Z101" s="111" t="str">
        <f>MID(E101,4,2)</f>
        <v>CA</v>
      </c>
    </row>
    <row r="102" spans="1:26" s="111" customFormat="1" x14ac:dyDescent="0.2">
      <c r="A102" s="101">
        <v>46237</v>
      </c>
      <c r="B102" s="91" t="s">
        <v>200</v>
      </c>
      <c r="C102" s="112" t="s">
        <v>201</v>
      </c>
      <c r="D102" s="103" t="s">
        <v>26</v>
      </c>
      <c r="E102" s="91" t="s">
        <v>202</v>
      </c>
      <c r="F102" s="91" t="s">
        <v>38</v>
      </c>
      <c r="G102" s="91" t="s">
        <v>39</v>
      </c>
      <c r="H102" s="104" t="str">
        <f t="shared" si="7"/>
        <v>F5143J30</v>
      </c>
      <c r="I102" s="104"/>
      <c r="J102" s="105">
        <v>114.45</v>
      </c>
      <c r="K102" s="106">
        <f>IF(D102="CAESARSTONE LTD",VLOOKUP(H102,'[2]GIA CA'!G:H,2,0),IF(OR(D102="STONE FACINGS LIMITED",D102="NORDIA SA",D102="INVICTUS STONE COUNTERTOPS INC",D102="QUARTZTOP LLC"),VLOOKUP(H102,'[2] Giá ngoài Mỹ - SI-GR'!$B$5:$AZ$84,51,0),IF(OR(D102="HYUNDAI L&amp;C CANADA INC",D102="Hyundai L&amp; C USA LLC"),VLOOKUP(H102,'[2]GIA HS'!A:D,4,0),IF(Y102="Mỹ",VLOOKUP(H102,'[2]giá mỹ từ 6.8.2025'!B:I,2,0),VLOOKUP(H102,'[2]giá ngoài mỹ 6.8.2025 (final)'!B:BP,51,0)))))</f>
        <v>77.5</v>
      </c>
      <c r="L102" s="106">
        <v>81.400000000000006</v>
      </c>
      <c r="M102" s="106">
        <f t="shared" si="6"/>
        <v>3.9000000000000057</v>
      </c>
      <c r="N102" s="106">
        <v>81</v>
      </c>
      <c r="O102" s="106">
        <v>9270.4500000000007</v>
      </c>
      <c r="P102" s="107">
        <v>26110</v>
      </c>
      <c r="Q102" s="107">
        <v>242051450</v>
      </c>
      <c r="R102" s="102" t="s">
        <v>30</v>
      </c>
      <c r="S102" s="108"/>
      <c r="T102" s="109"/>
      <c r="U102" s="109"/>
      <c r="V102" s="102"/>
      <c r="W102" s="109"/>
      <c r="X102" s="109"/>
      <c r="Y102" s="110" t="s">
        <v>31</v>
      </c>
      <c r="Z102" s="111" t="str">
        <f>MID(E102,4,2)</f>
        <v>CA</v>
      </c>
    </row>
    <row r="103" spans="1:26" s="111" customFormat="1" x14ac:dyDescent="0.2">
      <c r="A103" s="101">
        <v>46237</v>
      </c>
      <c r="B103" s="91" t="s">
        <v>200</v>
      </c>
      <c r="C103" s="112" t="s">
        <v>201</v>
      </c>
      <c r="D103" s="103" t="s">
        <v>26</v>
      </c>
      <c r="E103" s="91" t="s">
        <v>202</v>
      </c>
      <c r="F103" s="91" t="s">
        <v>208</v>
      </c>
      <c r="G103" s="91" t="s">
        <v>209</v>
      </c>
      <c r="H103" s="104" t="str">
        <f t="shared" si="7"/>
        <v>F5151J30</v>
      </c>
      <c r="I103" s="104"/>
      <c r="J103" s="105">
        <v>76.3</v>
      </c>
      <c r="K103" s="106">
        <f>IF(D103="CAESARSTONE LTD",VLOOKUP(H103,'[2]GIA CA'!G:H,2,0),IF(OR(D103="STONE FACINGS LIMITED",D103="NORDIA SA",D103="INVICTUS STONE COUNTERTOPS INC",D103="QUARTZTOP LLC"),VLOOKUP(H103,'[2] Giá ngoài Mỹ - SI-GR'!$B$5:$AZ$84,51,0),IF(OR(D103="HYUNDAI L&amp;C CANADA INC",D103="Hyundai L&amp; C USA LLC"),VLOOKUP(H103,'[2]GIA HS'!A:D,4,0),IF(Y103="Mỹ",VLOOKUP(H103,'[2]giá mỹ từ 6.8.2025'!B:I,2,0),VLOOKUP(H103,'[2]giá ngoài mỹ 6.8.2025 (final)'!B:BP,51,0)))))</f>
        <v>85</v>
      </c>
      <c r="L103" s="106">
        <v>97.1</v>
      </c>
      <c r="M103" s="106">
        <f t="shared" si="6"/>
        <v>12.099999999999994</v>
      </c>
      <c r="N103" s="106">
        <v>97</v>
      </c>
      <c r="O103" s="106">
        <v>7401.1</v>
      </c>
      <c r="P103" s="107">
        <v>26110</v>
      </c>
      <c r="Q103" s="107">
        <v>193242721</v>
      </c>
      <c r="R103" s="102" t="s">
        <v>30</v>
      </c>
      <c r="S103" s="108"/>
      <c r="T103" s="109"/>
      <c r="U103" s="109"/>
      <c r="V103" s="102"/>
      <c r="W103" s="109"/>
      <c r="X103" s="109"/>
      <c r="Y103" s="110" t="s">
        <v>31</v>
      </c>
      <c r="Z103" s="111" t="str">
        <f>MID(E103,4,2)</f>
        <v>CA</v>
      </c>
    </row>
    <row r="104" spans="1:26" s="111" customFormat="1" x14ac:dyDescent="0.2">
      <c r="A104" s="101">
        <v>46237</v>
      </c>
      <c r="B104" s="91" t="s">
        <v>200</v>
      </c>
      <c r="C104" s="102" t="s">
        <v>201</v>
      </c>
      <c r="D104" s="103" t="s">
        <v>26</v>
      </c>
      <c r="E104" s="91" t="s">
        <v>202</v>
      </c>
      <c r="F104" s="91" t="s">
        <v>124</v>
      </c>
      <c r="G104" s="91" t="s">
        <v>113</v>
      </c>
      <c r="H104" s="104" t="str">
        <f t="shared" si="7"/>
        <v>C5212J20</v>
      </c>
      <c r="I104" s="104"/>
      <c r="J104" s="105">
        <v>218</v>
      </c>
      <c r="K104" s="106">
        <f>IF(D104="CAESARSTONE LTD",VLOOKUP(H104,'[2]GIA CA'!G:H,2,0),IF(OR(D104="STONE FACINGS LIMITED",D104="NORDIA SA",D104="INVICTUS STONE COUNTERTOPS INC",D104="QUARTZTOP LLC"),VLOOKUP(H104,'[2] Giá ngoài Mỹ - SI-GR'!$B$5:$AZ$84,51,0),IF(OR(D104="HYUNDAI L&amp;C CANADA INC",D104="Hyundai L&amp; C USA LLC"),VLOOKUP(H104,'[2]GIA HS'!A:D,4,0),IF(Y104="Mỹ",VLOOKUP(H104,'[2]giá mỹ từ 6.8.2025'!B:I,2,0),VLOOKUP(H104,'[2]giá ngoài mỹ 6.8.2025 (final)'!B:BP,51,0)))))</f>
        <v>59</v>
      </c>
      <c r="L104" s="106">
        <v>62</v>
      </c>
      <c r="M104" s="106">
        <f t="shared" si="6"/>
        <v>3</v>
      </c>
      <c r="N104" s="106">
        <v>62</v>
      </c>
      <c r="O104" s="106">
        <v>13516</v>
      </c>
      <c r="P104" s="107">
        <v>26110</v>
      </c>
      <c r="Q104" s="107">
        <v>352902760</v>
      </c>
      <c r="R104" s="102" t="s">
        <v>30</v>
      </c>
      <c r="S104" s="108"/>
      <c r="T104" s="109"/>
      <c r="U104" s="109"/>
      <c r="V104" s="102"/>
      <c r="W104" s="109"/>
      <c r="X104" s="109"/>
      <c r="Y104" s="110" t="s">
        <v>31</v>
      </c>
      <c r="Z104" s="111" t="str">
        <f>MID(E104,4,2)</f>
        <v>CA</v>
      </c>
    </row>
    <row r="105" spans="1:26" s="111" customFormat="1" x14ac:dyDescent="0.2">
      <c r="A105" s="101">
        <v>46237</v>
      </c>
      <c r="B105" s="91" t="s">
        <v>200</v>
      </c>
      <c r="C105" s="102" t="s">
        <v>201</v>
      </c>
      <c r="D105" s="103" t="s">
        <v>26</v>
      </c>
      <c r="E105" s="91" t="s">
        <v>202</v>
      </c>
      <c r="F105" s="91" t="s">
        <v>77</v>
      </c>
      <c r="G105" s="91" t="s">
        <v>78</v>
      </c>
      <c r="H105" s="104" t="str">
        <f t="shared" si="7"/>
        <v>C5212J30</v>
      </c>
      <c r="I105" s="104"/>
      <c r="J105" s="105">
        <v>76.3</v>
      </c>
      <c r="K105" s="106">
        <f>IF(D105="CAESARSTONE LTD",VLOOKUP(H105,'[2]GIA CA'!G:H,2,0),IF(OR(D105="STONE FACINGS LIMITED",D105="NORDIA SA",D105="INVICTUS STONE COUNTERTOPS INC",D105="QUARTZTOP LLC"),VLOOKUP(H105,'[2] Giá ngoài Mỹ - SI-GR'!$B$5:$AZ$84,51,0),IF(OR(D105="HYUNDAI L&amp;C CANADA INC",D105="Hyundai L&amp; C USA LLC"),VLOOKUP(H105,'[2]GIA HS'!A:D,4,0),IF(Y105="Mỹ",VLOOKUP(H105,'[2]giá mỹ từ 6.8.2025'!B:I,2,0),VLOOKUP(H105,'[2]giá ngoài mỹ 6.8.2025 (final)'!B:BP,51,0)))))</f>
        <v>73.75</v>
      </c>
      <c r="L105" s="106">
        <v>77.400000000000006</v>
      </c>
      <c r="M105" s="106">
        <f t="shared" si="6"/>
        <v>3.6500000000000057</v>
      </c>
      <c r="N105" s="106">
        <v>77</v>
      </c>
      <c r="O105" s="106">
        <v>5875.1</v>
      </c>
      <c r="P105" s="107">
        <v>26110</v>
      </c>
      <c r="Q105" s="107">
        <v>153398861</v>
      </c>
      <c r="R105" s="102" t="s">
        <v>30</v>
      </c>
      <c r="S105" s="108"/>
      <c r="T105" s="109"/>
      <c r="U105" s="109"/>
      <c r="V105" s="102"/>
      <c r="W105" s="109"/>
      <c r="X105" s="109"/>
      <c r="Y105" s="110" t="s">
        <v>31</v>
      </c>
      <c r="Z105" s="111" t="str">
        <f>MID(E105,4,2)</f>
        <v>CA</v>
      </c>
    </row>
    <row r="106" spans="1:26" s="111" customFormat="1" x14ac:dyDescent="0.2">
      <c r="A106" s="101">
        <v>46237</v>
      </c>
      <c r="B106" s="91" t="s">
        <v>200</v>
      </c>
      <c r="C106" s="102" t="s">
        <v>201</v>
      </c>
      <c r="D106" s="103" t="s">
        <v>26</v>
      </c>
      <c r="E106" s="91" t="s">
        <v>202</v>
      </c>
      <c r="F106" s="91" t="s">
        <v>210</v>
      </c>
      <c r="G106" s="91" t="s">
        <v>126</v>
      </c>
      <c r="H106" s="104" t="str">
        <f t="shared" si="7"/>
        <v>C6046J20</v>
      </c>
      <c r="I106" s="104"/>
      <c r="J106" s="105">
        <v>49.05</v>
      </c>
      <c r="K106" s="106">
        <f>IF(D106="CAESARSTONE LTD",VLOOKUP(H106,'[2]GIA CA'!G:H,2,0),IF(OR(D106="STONE FACINGS LIMITED",D106="NORDIA SA",D106="INVICTUS STONE COUNTERTOPS INC",D106="QUARTZTOP LLC"),VLOOKUP(H106,'[2] Giá ngoài Mỹ - SI-GR'!$B$5:$AZ$84,51,0),IF(OR(D106="HYUNDAI L&amp;C CANADA INC",D106="Hyundai L&amp; C USA LLC"),VLOOKUP(H106,'[2]GIA HS'!A:D,4,0),IF(Y106="Mỹ",VLOOKUP(H106,'[2]giá mỹ từ 6.8.2025'!B:I,2,0),VLOOKUP(H106,'[2]giá ngoài mỹ 6.8.2025 (final)'!B:BP,51,0)))))</f>
        <v>59</v>
      </c>
      <c r="L106" s="106">
        <v>62</v>
      </c>
      <c r="M106" s="106">
        <f t="shared" si="6"/>
        <v>3</v>
      </c>
      <c r="N106" s="106">
        <v>62</v>
      </c>
      <c r="O106" s="106">
        <v>3041.1</v>
      </c>
      <c r="P106" s="107">
        <v>26110</v>
      </c>
      <c r="Q106" s="107">
        <v>79403121</v>
      </c>
      <c r="R106" s="102" t="s">
        <v>30</v>
      </c>
      <c r="S106" s="108"/>
      <c r="T106" s="109"/>
      <c r="U106" s="109"/>
      <c r="V106" s="102"/>
      <c r="W106" s="109"/>
      <c r="X106" s="109"/>
      <c r="Y106" s="110" t="s">
        <v>31</v>
      </c>
      <c r="Z106" s="111" t="str">
        <f>MID(E106,4,2)</f>
        <v>CA</v>
      </c>
    </row>
    <row r="107" spans="1:26" s="111" customFormat="1" x14ac:dyDescent="0.2">
      <c r="A107" s="101">
        <v>46237</v>
      </c>
      <c r="B107" s="91" t="s">
        <v>200</v>
      </c>
      <c r="C107" s="102" t="s">
        <v>201</v>
      </c>
      <c r="D107" s="103" t="s">
        <v>26</v>
      </c>
      <c r="E107" s="91" t="s">
        <v>202</v>
      </c>
      <c r="F107" s="91" t="s">
        <v>210</v>
      </c>
      <c r="G107" s="91" t="s">
        <v>126</v>
      </c>
      <c r="H107" s="104" t="str">
        <f t="shared" si="7"/>
        <v>C6046J20</v>
      </c>
      <c r="I107" s="104"/>
      <c r="J107" s="105">
        <v>5.45</v>
      </c>
      <c r="K107" s="106">
        <f>IF(D107="CAESARSTONE LTD",VLOOKUP(H107,'[2]GIA CA'!G:H,2,0),IF(OR(D107="STONE FACINGS LIMITED",D107="NORDIA SA",D107="INVICTUS STONE COUNTERTOPS INC",D107="QUARTZTOP LLC"),VLOOKUP(H107,'[2] Giá ngoài Mỹ - SI-GR'!$B$5:$AZ$84,51,0),IF(OR(D107="HYUNDAI L&amp;C CANADA INC",D107="Hyundai L&amp; C USA LLC"),VLOOKUP(H107,'[2]GIA HS'!A:D,4,0),IF(Y107="Mỹ",VLOOKUP(H107,'[2]giá mỹ từ 6.8.2025'!B:I,2,0),VLOOKUP(H107,'[2]giá ngoài mỹ 6.8.2025 (final)'!B:BP,51,0)))))</f>
        <v>59</v>
      </c>
      <c r="L107" s="106">
        <v>62</v>
      </c>
      <c r="M107" s="106">
        <f t="shared" si="6"/>
        <v>3</v>
      </c>
      <c r="N107" s="106">
        <v>62</v>
      </c>
      <c r="O107" s="106">
        <v>337.9</v>
      </c>
      <c r="P107" s="107">
        <v>26110</v>
      </c>
      <c r="Q107" s="107">
        <v>8822569</v>
      </c>
      <c r="R107" s="102" t="s">
        <v>30</v>
      </c>
      <c r="S107" s="108"/>
      <c r="T107" s="109"/>
      <c r="U107" s="109"/>
      <c r="V107" s="102"/>
      <c r="W107" s="109"/>
      <c r="X107" s="109"/>
      <c r="Y107" s="110" t="s">
        <v>31</v>
      </c>
      <c r="Z107" s="111" t="str">
        <f>MID(E107,4,2)</f>
        <v>CA</v>
      </c>
    </row>
    <row r="108" spans="1:26" s="111" customFormat="1" x14ac:dyDescent="0.2">
      <c r="A108" s="101">
        <v>46237</v>
      </c>
      <c r="B108" s="91" t="s">
        <v>200</v>
      </c>
      <c r="C108" s="102" t="s">
        <v>201</v>
      </c>
      <c r="D108" s="103" t="s">
        <v>26</v>
      </c>
      <c r="E108" s="91" t="s">
        <v>202</v>
      </c>
      <c r="F108" s="91" t="s">
        <v>211</v>
      </c>
      <c r="G108" s="91" t="s">
        <v>212</v>
      </c>
      <c r="H108" s="104" t="str">
        <f t="shared" si="7"/>
        <v>F5444J30</v>
      </c>
      <c r="I108" s="104"/>
      <c r="J108" s="105">
        <v>65.400000000000006</v>
      </c>
      <c r="K108" s="106">
        <f>IF(D108="CAESARSTONE LTD",VLOOKUP(H108,'[2]GIA CA'!G:H,2,0),IF(OR(D108="STONE FACINGS LIMITED",D108="NORDIA SA",D108="INVICTUS STONE COUNTERTOPS INC",D108="QUARTZTOP LLC"),VLOOKUP(H108,'[2] Giá ngoài Mỹ - SI-GR'!$B$5:$AZ$84,51,0),IF(OR(D108="HYUNDAI L&amp;C CANADA INC",D108="Hyundai L&amp; C USA LLC"),VLOOKUP(H108,'[2]GIA HS'!A:D,4,0),IF(Y108="Mỹ",VLOOKUP(H108,'[2]giá mỹ từ 6.8.2025'!B:I,2,0),VLOOKUP(H108,'[2]giá ngoài mỹ 6.8.2025 (final)'!B:BP,51,0)))))</f>
        <v>92.5</v>
      </c>
      <c r="L108" s="106">
        <v>97.1</v>
      </c>
      <c r="M108" s="106">
        <f t="shared" si="6"/>
        <v>4.5999999999999943</v>
      </c>
      <c r="N108" s="106">
        <v>97.53</v>
      </c>
      <c r="O108" s="106">
        <v>6378.41</v>
      </c>
      <c r="P108" s="107">
        <v>26110</v>
      </c>
      <c r="Q108" s="107">
        <v>166540285</v>
      </c>
      <c r="R108" s="102" t="s">
        <v>30</v>
      </c>
      <c r="S108" s="108"/>
      <c r="T108" s="109"/>
      <c r="U108" s="109"/>
      <c r="V108" s="102"/>
      <c r="W108" s="109"/>
      <c r="X108" s="109"/>
      <c r="Y108" s="110" t="s">
        <v>31</v>
      </c>
      <c r="Z108" s="111" t="str">
        <f>MID(E108,4,2)</f>
        <v>CA</v>
      </c>
    </row>
    <row r="109" spans="1:26" s="111" customFormat="1" x14ac:dyDescent="0.2">
      <c r="A109" s="101">
        <v>46237</v>
      </c>
      <c r="B109" s="91" t="s">
        <v>213</v>
      </c>
      <c r="C109" s="102" t="s">
        <v>214</v>
      </c>
      <c r="D109" s="103" t="s">
        <v>215</v>
      </c>
      <c r="E109" s="91" t="s">
        <v>216</v>
      </c>
      <c r="F109" s="91" t="s">
        <v>217</v>
      </c>
      <c r="G109" s="91" t="s">
        <v>218</v>
      </c>
      <c r="H109" s="104" t="str">
        <f t="shared" si="7"/>
        <v>C2104J20</v>
      </c>
      <c r="I109" s="104"/>
      <c r="J109" s="105">
        <v>1.94</v>
      </c>
      <c r="K109" s="106"/>
      <c r="L109" s="106">
        <v>0</v>
      </c>
      <c r="M109" s="106">
        <f t="shared" si="6"/>
        <v>0</v>
      </c>
      <c r="N109" s="106">
        <v>61</v>
      </c>
      <c r="O109" s="106">
        <v>118.34</v>
      </c>
      <c r="P109" s="107">
        <v>26110</v>
      </c>
      <c r="Q109" s="107">
        <v>3089857</v>
      </c>
      <c r="R109" s="102"/>
      <c r="S109" s="108"/>
      <c r="T109" s="109"/>
      <c r="U109" s="109" t="s">
        <v>30</v>
      </c>
      <c r="V109" s="102"/>
      <c r="W109" s="109"/>
      <c r="X109" s="109"/>
      <c r="Y109" s="110" t="s">
        <v>31</v>
      </c>
      <c r="Z109" s="111" t="str">
        <f>MID(E109,4,2)</f>
        <v>DM</v>
      </c>
    </row>
    <row r="110" spans="1:26" s="111" customFormat="1" x14ac:dyDescent="0.2">
      <c r="A110" s="101">
        <v>46237</v>
      </c>
      <c r="B110" s="91" t="s">
        <v>213</v>
      </c>
      <c r="C110" s="102" t="s">
        <v>214</v>
      </c>
      <c r="D110" s="103" t="s">
        <v>215</v>
      </c>
      <c r="E110" s="91" t="s">
        <v>216</v>
      </c>
      <c r="F110" s="91" t="s">
        <v>219</v>
      </c>
      <c r="G110" s="91" t="s">
        <v>220</v>
      </c>
      <c r="H110" s="104" t="str">
        <f t="shared" si="7"/>
        <v>C2104J20</v>
      </c>
      <c r="I110" s="104"/>
      <c r="J110" s="105">
        <v>425.1</v>
      </c>
      <c r="K110" s="106">
        <f>IF(D110="CAESARSTONE LTD",VLOOKUP(H110,'[2]GIA CA'!G:H,2,0),IF(OR(D110="STONE FACINGS LIMITED",D110="NORDIA SA",D110="INVICTUS STONE COUNTERTOPS INC",D110="QUARTZTOP LLC"),VLOOKUP(H110,'[2] Giá ngoài Mỹ - SI-GR'!$B$5:$AZ$84,51,0),IF(OR(D110="HYUNDAI L&amp;C CANADA INC",D110="Hyundai L&amp; C USA LLC"),VLOOKUP(H110,'[2]GIA HS'!A:D,4,0),IF(Y110="Mỹ",VLOOKUP(H110,'[2]giá mỹ từ 6.8.2025'!B:I,2,0),VLOOKUP(H110,'[2]giá ngoài mỹ 6.8.2025 (final)'!B:BP,51,0)))))</f>
        <v>57</v>
      </c>
      <c r="L110" s="106">
        <v>60.564999999999998</v>
      </c>
      <c r="M110" s="106">
        <f t="shared" si="6"/>
        <v>3.5649999999999977</v>
      </c>
      <c r="N110" s="106">
        <v>60.57</v>
      </c>
      <c r="O110" s="106">
        <v>25746.5</v>
      </c>
      <c r="P110" s="107">
        <v>26110</v>
      </c>
      <c r="Q110" s="107">
        <v>672241115</v>
      </c>
      <c r="R110" s="102" t="s">
        <v>30</v>
      </c>
      <c r="S110" s="108"/>
      <c r="T110" s="109"/>
      <c r="U110" s="109"/>
      <c r="V110" s="102"/>
      <c r="W110" s="109"/>
      <c r="X110" s="109"/>
      <c r="Y110" s="110" t="s">
        <v>31</v>
      </c>
      <c r="Z110" s="111" t="str">
        <f>MID(E110,4,2)</f>
        <v>DM</v>
      </c>
    </row>
    <row r="111" spans="1:26" s="111" customFormat="1" x14ac:dyDescent="0.2">
      <c r="A111" s="101">
        <v>46237</v>
      </c>
      <c r="B111" s="91" t="s">
        <v>221</v>
      </c>
      <c r="C111" s="102" t="s">
        <v>222</v>
      </c>
      <c r="D111" s="103" t="s">
        <v>215</v>
      </c>
      <c r="E111" s="91" t="s">
        <v>223</v>
      </c>
      <c r="F111" s="91" t="s">
        <v>224</v>
      </c>
      <c r="G111" s="91" t="s">
        <v>225</v>
      </c>
      <c r="H111" s="104" t="str">
        <f t="shared" si="7"/>
        <v>C5331J20</v>
      </c>
      <c r="I111" s="104"/>
      <c r="J111" s="105">
        <v>1.94</v>
      </c>
      <c r="K111" s="106"/>
      <c r="L111" s="106">
        <v>0</v>
      </c>
      <c r="M111" s="106">
        <f t="shared" si="6"/>
        <v>0</v>
      </c>
      <c r="N111" s="106">
        <v>71</v>
      </c>
      <c r="O111" s="106">
        <v>137.74</v>
      </c>
      <c r="P111" s="107">
        <v>26110</v>
      </c>
      <c r="Q111" s="107">
        <v>3596391</v>
      </c>
      <c r="R111" s="102"/>
      <c r="S111" s="108"/>
      <c r="T111" s="109"/>
      <c r="U111" s="109" t="s">
        <v>30</v>
      </c>
      <c r="V111" s="102"/>
      <c r="W111" s="109"/>
      <c r="X111" s="109"/>
      <c r="Y111" s="110" t="s">
        <v>31</v>
      </c>
      <c r="Z111" s="111" t="str">
        <f>MID(E111,4,2)</f>
        <v>DM</v>
      </c>
    </row>
    <row r="112" spans="1:26" s="111" customFormat="1" x14ac:dyDescent="0.2">
      <c r="A112" s="101">
        <v>46237</v>
      </c>
      <c r="B112" s="91" t="s">
        <v>221</v>
      </c>
      <c r="C112" s="102" t="s">
        <v>222</v>
      </c>
      <c r="D112" s="103" t="s">
        <v>215</v>
      </c>
      <c r="E112" s="91" t="s">
        <v>223</v>
      </c>
      <c r="F112" s="91" t="s">
        <v>226</v>
      </c>
      <c r="G112" s="91" t="s">
        <v>227</v>
      </c>
      <c r="H112" s="104" t="str">
        <f t="shared" si="7"/>
        <v>C5331J30</v>
      </c>
      <c r="I112" s="104"/>
      <c r="J112" s="105">
        <v>239.8</v>
      </c>
      <c r="K112" s="106">
        <f>IF(D112="CAESARSTONE LTD",VLOOKUP(H112,'[2]GIA CA'!G:H,2,0),IF(OR(D112="STONE FACINGS LIMITED",D112="NORDIA SA",D112="INVICTUS STONE COUNTERTOPS INC",D112="QUARTZTOP LLC"),VLOOKUP(H112,'[2] Giá ngoài Mỹ - SI-GR'!$B$5:$AZ$84,51,0),IF(OR(D112="HYUNDAI L&amp;C CANADA INC",D112="Hyundai L&amp; C USA LLC"),VLOOKUP(H112,'[2]GIA HS'!A:D,4,0),IF(Y112="Mỹ",VLOOKUP(H112,'[2]giá mỹ từ 6.8.2025'!B:I,2,0),VLOOKUP(H112,'[2]giá ngoài mỹ 6.8.2025 (final)'!B:BP,51,0)))))</f>
        <v>83</v>
      </c>
      <c r="L112" s="106">
        <v>87.15</v>
      </c>
      <c r="M112" s="106">
        <f t="shared" si="6"/>
        <v>4.1500000000000057</v>
      </c>
      <c r="N112" s="106">
        <v>86.61</v>
      </c>
      <c r="O112" s="106">
        <v>20769.21</v>
      </c>
      <c r="P112" s="107">
        <v>26110</v>
      </c>
      <c r="Q112" s="107">
        <v>542284073</v>
      </c>
      <c r="R112" s="102" t="s">
        <v>30</v>
      </c>
      <c r="S112" s="108"/>
      <c r="T112" s="109"/>
      <c r="U112" s="109"/>
      <c r="V112" s="102"/>
      <c r="W112" s="109"/>
      <c r="X112" s="109"/>
      <c r="Y112" s="110" t="s">
        <v>31</v>
      </c>
      <c r="Z112" s="111" t="str">
        <f>MID(E112,4,2)</f>
        <v>DM</v>
      </c>
    </row>
    <row r="113" spans="1:26" s="111" customFormat="1" x14ac:dyDescent="0.2">
      <c r="A113" s="101">
        <v>46237</v>
      </c>
      <c r="B113" s="91" t="s">
        <v>221</v>
      </c>
      <c r="C113" s="102" t="s">
        <v>222</v>
      </c>
      <c r="D113" s="103" t="s">
        <v>215</v>
      </c>
      <c r="E113" s="91" t="s">
        <v>223</v>
      </c>
      <c r="F113" s="91" t="s">
        <v>228</v>
      </c>
      <c r="G113" s="91" t="s">
        <v>227</v>
      </c>
      <c r="H113" s="104" t="str">
        <f t="shared" si="7"/>
        <v>C5331J30</v>
      </c>
      <c r="I113" s="104"/>
      <c r="J113" s="105">
        <v>59.95</v>
      </c>
      <c r="K113" s="106">
        <f>IF(D113="CAESARSTONE LTD",VLOOKUP(H113,'[2]GIA CA'!G:H,2,0),IF(OR(D113="STONE FACINGS LIMITED",D113="NORDIA SA",D113="INVICTUS STONE COUNTERTOPS INC",D113="QUARTZTOP LLC"),VLOOKUP(H113,'[2] Giá ngoài Mỹ - SI-GR'!$B$5:$AZ$84,51,0),IF(OR(D113="HYUNDAI L&amp;C CANADA INC",D113="Hyundai L&amp; C USA LLC"),VLOOKUP(H113,'[2]GIA HS'!A:D,4,0),IF(Y113="Mỹ",VLOOKUP(H113,'[2]giá mỹ từ 6.8.2025'!B:I,2,0),VLOOKUP(H113,'[2]giá ngoài mỹ 6.8.2025 (final)'!B:BP,51,0)))))</f>
        <v>83</v>
      </c>
      <c r="L113" s="106">
        <v>87.15</v>
      </c>
      <c r="M113" s="106">
        <f t="shared" si="6"/>
        <v>4.1500000000000057</v>
      </c>
      <c r="N113" s="106">
        <v>86.61</v>
      </c>
      <c r="O113" s="106">
        <v>5192.3</v>
      </c>
      <c r="P113" s="107">
        <v>26110</v>
      </c>
      <c r="Q113" s="107">
        <v>135570953</v>
      </c>
      <c r="R113" s="102" t="s">
        <v>30</v>
      </c>
      <c r="S113" s="108"/>
      <c r="T113" s="109"/>
      <c r="U113" s="109"/>
      <c r="V113" s="102"/>
      <c r="W113" s="109"/>
      <c r="X113" s="109"/>
      <c r="Y113" s="110" t="s">
        <v>31</v>
      </c>
      <c r="Z113" s="111" t="str">
        <f>MID(E113,4,2)</f>
        <v>DM</v>
      </c>
    </row>
    <row r="114" spans="1:26" s="111" customFormat="1" x14ac:dyDescent="0.2">
      <c r="A114" s="101">
        <v>46237</v>
      </c>
      <c r="B114" s="91" t="s">
        <v>229</v>
      </c>
      <c r="C114" s="102" t="s">
        <v>230</v>
      </c>
      <c r="D114" s="103" t="s">
        <v>26</v>
      </c>
      <c r="E114" s="91" t="s">
        <v>231</v>
      </c>
      <c r="F114" s="91" t="s">
        <v>232</v>
      </c>
      <c r="G114" s="91" t="s">
        <v>233</v>
      </c>
      <c r="H114" s="104" t="str">
        <f t="shared" si="7"/>
        <v>C4003J30</v>
      </c>
      <c r="I114" s="104"/>
      <c r="J114" s="105">
        <v>76.3</v>
      </c>
      <c r="K114" s="106">
        <f>IF(D114="CAESARSTONE LTD",VLOOKUP(H114,'[2]GIA CA'!G:H,2,0),IF(OR(D114="STONE FACINGS LIMITED",D114="NORDIA SA",D114="INVICTUS STONE COUNTERTOPS INC",D114="QUARTZTOP LLC"),VLOOKUP(H114,'[2] Giá ngoài Mỹ - SI-GR'!$B$5:$AZ$84,51,0),IF(OR(D114="HYUNDAI L&amp;C CANADA INC",D114="Hyundai L&amp; C USA LLC"),VLOOKUP(H114,'[2]GIA HS'!A:D,4,0),IF(Y114="Mỹ",VLOOKUP(H114,'[2]giá mỹ từ 6.8.2025'!B:I,2,0),VLOOKUP(H114,'[2]giá ngoài mỹ 6.8.2025 (final)'!B:BP,51,0)))))</f>
        <v>68.75</v>
      </c>
      <c r="L114" s="106">
        <v>72.2</v>
      </c>
      <c r="M114" s="106">
        <f t="shared" si="6"/>
        <v>3.4500000000000028</v>
      </c>
      <c r="N114" s="106">
        <v>72</v>
      </c>
      <c r="O114" s="106">
        <v>5493.6</v>
      </c>
      <c r="P114" s="107">
        <v>26110</v>
      </c>
      <c r="Q114" s="107">
        <v>143437896</v>
      </c>
      <c r="R114" s="102" t="s">
        <v>30</v>
      </c>
      <c r="S114" s="108"/>
      <c r="T114" s="109"/>
      <c r="U114" s="109"/>
      <c r="V114" s="102"/>
      <c r="W114" s="109"/>
      <c r="X114" s="109"/>
      <c r="Y114" s="110" t="s">
        <v>31</v>
      </c>
      <c r="Z114" s="111" t="str">
        <f>MID(E114,4,2)</f>
        <v>CA</v>
      </c>
    </row>
    <row r="115" spans="1:26" s="111" customFormat="1" x14ac:dyDescent="0.2">
      <c r="A115" s="101">
        <v>46237</v>
      </c>
      <c r="B115" s="91" t="s">
        <v>229</v>
      </c>
      <c r="C115" s="102" t="s">
        <v>230</v>
      </c>
      <c r="D115" s="103" t="s">
        <v>26</v>
      </c>
      <c r="E115" s="91" t="s">
        <v>231</v>
      </c>
      <c r="F115" s="91" t="s">
        <v>234</v>
      </c>
      <c r="G115" s="91" t="s">
        <v>235</v>
      </c>
      <c r="H115" s="104" t="str">
        <f t="shared" si="7"/>
        <v>C4270J30</v>
      </c>
      <c r="I115" s="104"/>
      <c r="J115" s="105">
        <v>10.9</v>
      </c>
      <c r="K115" s="106">
        <f>IF(D115="CAESARSTONE LTD",VLOOKUP(H115,'[2]GIA CA'!G:H,2,0),IF(OR(D115="STONE FACINGS LIMITED",D115="NORDIA SA",D115="INVICTUS STONE COUNTERTOPS INC",D115="QUARTZTOP LLC"),VLOOKUP(H115,'[2] Giá ngoài Mỹ - SI-GR'!$B$5:$AZ$84,51,0),IF(OR(D115="HYUNDAI L&amp;C CANADA INC",D115="Hyundai L&amp; C USA LLC"),VLOOKUP(H115,'[2]GIA HS'!A:D,4,0),IF(Y115="Mỹ",VLOOKUP(H115,'[2]giá mỹ từ 6.8.2025'!B:I,2,0),VLOOKUP(H115,'[2]giá ngoài mỹ 6.8.2025 (final)'!B:BP,51,0)))))</f>
        <v>87.875</v>
      </c>
      <c r="L115" s="106">
        <v>92.3</v>
      </c>
      <c r="M115" s="106">
        <f t="shared" si="6"/>
        <v>4.4249999999999972</v>
      </c>
      <c r="N115" s="106">
        <v>92</v>
      </c>
      <c r="O115" s="106">
        <v>1002.8</v>
      </c>
      <c r="P115" s="107">
        <v>26110</v>
      </c>
      <c r="Q115" s="107">
        <v>26183108</v>
      </c>
      <c r="R115" s="102" t="s">
        <v>30</v>
      </c>
      <c r="S115" s="108"/>
      <c r="T115" s="109"/>
      <c r="U115" s="109"/>
      <c r="V115" s="102"/>
      <c r="W115" s="109"/>
      <c r="X115" s="109"/>
      <c r="Y115" s="110" t="s">
        <v>31</v>
      </c>
      <c r="Z115" s="111" t="str">
        <f>MID(E115,4,2)</f>
        <v>CA</v>
      </c>
    </row>
    <row r="116" spans="1:26" s="111" customFormat="1" x14ac:dyDescent="0.2">
      <c r="A116" s="101">
        <v>46237</v>
      </c>
      <c r="B116" s="91" t="s">
        <v>229</v>
      </c>
      <c r="C116" s="102" t="s">
        <v>230</v>
      </c>
      <c r="D116" s="103" t="s">
        <v>26</v>
      </c>
      <c r="E116" s="91" t="s">
        <v>231</v>
      </c>
      <c r="F116" s="91" t="s">
        <v>236</v>
      </c>
      <c r="G116" s="91" t="s">
        <v>235</v>
      </c>
      <c r="H116" s="104" t="str">
        <f t="shared" si="7"/>
        <v>C4270J30</v>
      </c>
      <c r="I116" s="104"/>
      <c r="J116" s="105">
        <v>5.45</v>
      </c>
      <c r="K116" s="106">
        <f>IF(D116="CAESARSTONE LTD",VLOOKUP(H116,'[2]GIA CA'!G:H,2,0),IF(OR(D116="STONE FACINGS LIMITED",D116="NORDIA SA",D116="INVICTUS STONE COUNTERTOPS INC",D116="QUARTZTOP LLC"),VLOOKUP(H116,'[2] Giá ngoài Mỹ - SI-GR'!$B$5:$AZ$84,51,0),IF(OR(D116="HYUNDAI L&amp;C CANADA INC",D116="Hyundai L&amp; C USA LLC"),VLOOKUP(H116,'[2]GIA HS'!A:D,4,0),IF(Y116="Mỹ",VLOOKUP(H116,'[2]giá mỹ từ 6.8.2025'!B:I,2,0),VLOOKUP(H116,'[2]giá ngoài mỹ 6.8.2025 (final)'!B:BP,51,0)))))</f>
        <v>87.875</v>
      </c>
      <c r="L116" s="106">
        <v>92.3</v>
      </c>
      <c r="M116" s="106">
        <f t="shared" si="6"/>
        <v>4.4249999999999972</v>
      </c>
      <c r="N116" s="106">
        <v>92</v>
      </c>
      <c r="O116" s="106">
        <v>501.4</v>
      </c>
      <c r="P116" s="107">
        <v>26110</v>
      </c>
      <c r="Q116" s="107">
        <v>13091554</v>
      </c>
      <c r="R116" s="102" t="s">
        <v>30</v>
      </c>
      <c r="S116" s="108"/>
      <c r="T116" s="109"/>
      <c r="U116" s="109"/>
      <c r="V116" s="102"/>
      <c r="W116" s="109"/>
      <c r="X116" s="109"/>
      <c r="Y116" s="110" t="s">
        <v>31</v>
      </c>
      <c r="Z116" s="111" t="str">
        <f>MID(E116,4,2)</f>
        <v>CA</v>
      </c>
    </row>
    <row r="117" spans="1:26" s="111" customFormat="1" x14ac:dyDescent="0.2">
      <c r="A117" s="101">
        <v>46237</v>
      </c>
      <c r="B117" s="91" t="s">
        <v>229</v>
      </c>
      <c r="C117" s="102" t="s">
        <v>230</v>
      </c>
      <c r="D117" s="103" t="s">
        <v>26</v>
      </c>
      <c r="E117" s="91" t="s">
        <v>231</v>
      </c>
      <c r="F117" s="91" t="s">
        <v>72</v>
      </c>
      <c r="G117" s="91" t="s">
        <v>73</v>
      </c>
      <c r="H117" s="104" t="str">
        <f t="shared" si="7"/>
        <v>C5143J30</v>
      </c>
      <c r="I117" s="104"/>
      <c r="J117" s="105">
        <v>59.95</v>
      </c>
      <c r="K117" s="106">
        <f>IF(D117="CAESARSTONE LTD",VLOOKUP(H117,'[2]GIA CA'!G:H,2,0),IF(OR(D117="STONE FACINGS LIMITED",D117="NORDIA SA",D117="INVICTUS STONE COUNTERTOPS INC",D117="QUARTZTOP LLC"),VLOOKUP(H117,'[2] Giá ngoài Mỹ - SI-GR'!$B$5:$AZ$84,51,0),IF(OR(D117="HYUNDAI L&amp;C CANADA INC",D117="Hyundai L&amp; C USA LLC"),VLOOKUP(H117,'[2]GIA HS'!A:D,4,0),IF(Y117="Mỹ",VLOOKUP(H117,'[2]giá mỹ từ 6.8.2025'!B:I,2,0),VLOOKUP(H117,'[2]giá ngoài mỹ 6.8.2025 (final)'!B:BP,51,0)))))</f>
        <v>73.75</v>
      </c>
      <c r="L117" s="106">
        <v>77.400000000000006</v>
      </c>
      <c r="M117" s="106">
        <f t="shared" si="6"/>
        <v>3.6500000000000057</v>
      </c>
      <c r="N117" s="106">
        <v>77</v>
      </c>
      <c r="O117" s="106">
        <v>4616.1499999999996</v>
      </c>
      <c r="P117" s="107">
        <v>26110</v>
      </c>
      <c r="Q117" s="107">
        <v>120527677</v>
      </c>
      <c r="R117" s="102" t="s">
        <v>30</v>
      </c>
      <c r="S117" s="108"/>
      <c r="T117" s="109"/>
      <c r="U117" s="109"/>
      <c r="V117" s="102"/>
      <c r="W117" s="109"/>
      <c r="X117" s="109"/>
      <c r="Y117" s="110" t="s">
        <v>31</v>
      </c>
      <c r="Z117" s="111" t="str">
        <f>MID(E117,4,2)</f>
        <v>CA</v>
      </c>
    </row>
    <row r="118" spans="1:26" s="111" customFormat="1" x14ac:dyDescent="0.2">
      <c r="A118" s="101">
        <v>46237</v>
      </c>
      <c r="B118" s="91" t="s">
        <v>229</v>
      </c>
      <c r="C118" s="102" t="s">
        <v>230</v>
      </c>
      <c r="D118" s="103" t="s">
        <v>26</v>
      </c>
      <c r="E118" s="91" t="s">
        <v>231</v>
      </c>
      <c r="F118" s="91" t="s">
        <v>237</v>
      </c>
      <c r="G118" s="91" t="s">
        <v>73</v>
      </c>
      <c r="H118" s="104" t="str">
        <f t="shared" si="7"/>
        <v>C5143J30</v>
      </c>
      <c r="I118" s="104"/>
      <c r="J118" s="105">
        <v>16.350000000000001</v>
      </c>
      <c r="K118" s="106">
        <f>IF(D118="CAESARSTONE LTD",VLOOKUP(H118,'[2]GIA CA'!G:H,2,0),IF(OR(D118="STONE FACINGS LIMITED",D118="NORDIA SA",D118="INVICTUS STONE COUNTERTOPS INC",D118="QUARTZTOP LLC"),VLOOKUP(H118,'[2] Giá ngoài Mỹ - SI-GR'!$B$5:$AZ$84,51,0),IF(OR(D118="HYUNDAI L&amp;C CANADA INC",D118="Hyundai L&amp; C USA LLC"),VLOOKUP(H118,'[2]GIA HS'!A:D,4,0),IF(Y118="Mỹ",VLOOKUP(H118,'[2]giá mỹ từ 6.8.2025'!B:I,2,0),VLOOKUP(H118,'[2]giá ngoài mỹ 6.8.2025 (final)'!B:BP,51,0)))))</f>
        <v>73.75</v>
      </c>
      <c r="L118" s="106">
        <v>77.400000000000006</v>
      </c>
      <c r="M118" s="106">
        <f t="shared" si="6"/>
        <v>3.6500000000000057</v>
      </c>
      <c r="N118" s="106">
        <v>77</v>
      </c>
      <c r="O118" s="106">
        <v>1258.95</v>
      </c>
      <c r="P118" s="107">
        <v>26110</v>
      </c>
      <c r="Q118" s="107">
        <v>32871185</v>
      </c>
      <c r="R118" s="102" t="s">
        <v>30</v>
      </c>
      <c r="S118" s="108"/>
      <c r="T118" s="109"/>
      <c r="U118" s="109"/>
      <c r="V118" s="102"/>
      <c r="W118" s="109"/>
      <c r="X118" s="109"/>
      <c r="Y118" s="110" t="s">
        <v>31</v>
      </c>
      <c r="Z118" s="111" t="str">
        <f>MID(E118,4,2)</f>
        <v>CA</v>
      </c>
    </row>
    <row r="119" spans="1:26" s="111" customFormat="1" x14ac:dyDescent="0.2">
      <c r="A119" s="101">
        <v>46237</v>
      </c>
      <c r="B119" s="91" t="s">
        <v>229</v>
      </c>
      <c r="C119" s="102" t="s">
        <v>230</v>
      </c>
      <c r="D119" s="103" t="s">
        <v>26</v>
      </c>
      <c r="E119" s="91" t="s">
        <v>231</v>
      </c>
      <c r="F119" s="91" t="s">
        <v>238</v>
      </c>
      <c r="G119" s="91" t="s">
        <v>37</v>
      </c>
      <c r="H119" s="104" t="str">
        <f t="shared" si="7"/>
        <v>F5105J30</v>
      </c>
      <c r="I119" s="104"/>
      <c r="J119" s="105">
        <v>38.15</v>
      </c>
      <c r="K119" s="106">
        <f>IF(D119="CAESARSTONE LTD",VLOOKUP(H119,'[2]GIA CA'!G:H,2,0),IF(OR(D119="STONE FACINGS LIMITED",D119="NORDIA SA",D119="INVICTUS STONE COUNTERTOPS INC",D119="QUARTZTOP LLC"),VLOOKUP(H119,'[2] Giá ngoài Mỹ - SI-GR'!$B$5:$AZ$84,51,0),IF(OR(D119="HYUNDAI L&amp;C CANADA INC",D119="Hyundai L&amp; C USA LLC"),VLOOKUP(H119,'[2]GIA HS'!A:D,4,0),IF(Y119="Mỹ",VLOOKUP(H119,'[2]giá mỹ từ 6.8.2025'!B:I,2,0),VLOOKUP(H119,'[2]giá ngoài mỹ 6.8.2025 (final)'!B:BP,51,0)))))</f>
        <v>85</v>
      </c>
      <c r="L119" s="106">
        <v>89.3</v>
      </c>
      <c r="M119" s="106">
        <f t="shared" si="6"/>
        <v>4.2999999999999972</v>
      </c>
      <c r="N119" s="106">
        <v>89</v>
      </c>
      <c r="O119" s="106">
        <v>3395.35</v>
      </c>
      <c r="P119" s="107">
        <v>26110</v>
      </c>
      <c r="Q119" s="107">
        <v>88652589</v>
      </c>
      <c r="R119" s="102" t="s">
        <v>30</v>
      </c>
      <c r="S119" s="108"/>
      <c r="T119" s="109"/>
      <c r="U119" s="109"/>
      <c r="V119" s="102"/>
      <c r="W119" s="109"/>
      <c r="X119" s="109"/>
      <c r="Y119" s="110" t="s">
        <v>31</v>
      </c>
      <c r="Z119" s="111" t="str">
        <f>MID(E119,4,2)</f>
        <v>CA</v>
      </c>
    </row>
    <row r="120" spans="1:26" s="111" customFormat="1" x14ac:dyDescent="0.2">
      <c r="A120" s="101">
        <v>46237</v>
      </c>
      <c r="B120" s="91" t="s">
        <v>229</v>
      </c>
      <c r="C120" s="102" t="s">
        <v>230</v>
      </c>
      <c r="D120" s="103" t="s">
        <v>26</v>
      </c>
      <c r="E120" s="91" t="s">
        <v>231</v>
      </c>
      <c r="F120" s="91" t="s">
        <v>43</v>
      </c>
      <c r="G120" s="91" t="s">
        <v>44</v>
      </c>
      <c r="H120" s="104" t="str">
        <f t="shared" si="7"/>
        <v>F5141J30</v>
      </c>
      <c r="I120" s="104"/>
      <c r="J120" s="105">
        <v>38.15</v>
      </c>
      <c r="K120" s="106">
        <f>IF(D120="CAESARSTONE LTD",VLOOKUP(H120,'[2]GIA CA'!G:H,2,0),IF(OR(D120="STONE FACINGS LIMITED",D120="NORDIA SA",D120="INVICTUS STONE COUNTERTOPS INC",D120="QUARTZTOP LLC"),VLOOKUP(H120,'[2] Giá ngoài Mỹ - SI-GR'!$B$5:$AZ$84,51,0),IF(OR(D120="HYUNDAI L&amp;C CANADA INC",D120="Hyundai L&amp; C USA LLC"),VLOOKUP(H120,'[2]GIA HS'!A:D,4,0),IF(Y120="Mỹ",VLOOKUP(H120,'[2]giá mỹ từ 6.8.2025'!B:I,2,0),VLOOKUP(H120,'[2]giá ngoài mỹ 6.8.2025 (final)'!B:BP,51,0)))))</f>
        <v>72.5</v>
      </c>
      <c r="L120" s="106">
        <v>76.099999999999994</v>
      </c>
      <c r="M120" s="106">
        <f t="shared" si="6"/>
        <v>3.5999999999999943</v>
      </c>
      <c r="N120" s="106">
        <v>76</v>
      </c>
      <c r="O120" s="106">
        <v>2899.4</v>
      </c>
      <c r="P120" s="107">
        <v>26110</v>
      </c>
      <c r="Q120" s="107">
        <v>75703334</v>
      </c>
      <c r="R120" s="102" t="s">
        <v>30</v>
      </c>
      <c r="S120" s="108"/>
      <c r="T120" s="109"/>
      <c r="U120" s="109"/>
      <c r="V120" s="102"/>
      <c r="W120" s="109"/>
      <c r="X120" s="109"/>
      <c r="Y120" s="110" t="s">
        <v>31</v>
      </c>
      <c r="Z120" s="111" t="str">
        <f>MID(E120,4,2)</f>
        <v>CA</v>
      </c>
    </row>
    <row r="121" spans="1:26" s="111" customFormat="1" x14ac:dyDescent="0.2">
      <c r="A121" s="101">
        <v>46237</v>
      </c>
      <c r="B121" s="91" t="s">
        <v>229</v>
      </c>
      <c r="C121" s="102" t="s">
        <v>230</v>
      </c>
      <c r="D121" s="103" t="s">
        <v>26</v>
      </c>
      <c r="E121" s="91" t="s">
        <v>231</v>
      </c>
      <c r="F121" s="91" t="s">
        <v>239</v>
      </c>
      <c r="G121" s="91" t="s">
        <v>240</v>
      </c>
      <c r="H121" s="104" t="str">
        <f t="shared" si="7"/>
        <v>F5144J30</v>
      </c>
      <c r="I121" s="104"/>
      <c r="J121" s="105">
        <v>38.15</v>
      </c>
      <c r="K121" s="106">
        <f>IF(D121="CAESARSTONE LTD",VLOOKUP(H121,'[2]GIA CA'!G:H,2,0),IF(OR(D121="STONE FACINGS LIMITED",D121="NORDIA SA",D121="INVICTUS STONE COUNTERTOPS INC",D121="QUARTZTOP LLC"),VLOOKUP(H121,'[2] Giá ngoài Mỹ - SI-GR'!$B$5:$AZ$84,51,0),IF(OR(D121="HYUNDAI L&amp;C CANADA INC",D121="Hyundai L&amp; C USA LLC"),VLOOKUP(H121,'[2]GIA HS'!A:D,4,0),IF(Y121="Mỹ",VLOOKUP(H121,'[2]giá mỹ từ 6.8.2025'!B:I,2,0),VLOOKUP(H121,'[2]giá ngoài mỹ 6.8.2025 (final)'!B:BP,51,0)))))</f>
        <v>77.5</v>
      </c>
      <c r="L121" s="106">
        <v>81.400000000000006</v>
      </c>
      <c r="M121" s="106">
        <f t="shared" si="6"/>
        <v>3.9000000000000057</v>
      </c>
      <c r="N121" s="106">
        <v>81</v>
      </c>
      <c r="O121" s="106">
        <v>3090.15</v>
      </c>
      <c r="P121" s="107">
        <v>26110</v>
      </c>
      <c r="Q121" s="107">
        <v>80683817</v>
      </c>
      <c r="R121" s="102" t="s">
        <v>30</v>
      </c>
      <c r="S121" s="108"/>
      <c r="T121" s="109"/>
      <c r="U121" s="109"/>
      <c r="V121" s="102"/>
      <c r="W121" s="109"/>
      <c r="X121" s="109"/>
      <c r="Y121" s="110" t="s">
        <v>31</v>
      </c>
      <c r="Z121" s="111" t="str">
        <f>MID(E121,4,2)</f>
        <v>CA</v>
      </c>
    </row>
    <row r="122" spans="1:26" s="111" customFormat="1" x14ac:dyDescent="0.2">
      <c r="A122" s="101">
        <v>46237</v>
      </c>
      <c r="B122" s="91" t="s">
        <v>229</v>
      </c>
      <c r="C122" s="102" t="s">
        <v>230</v>
      </c>
      <c r="D122" s="103" t="s">
        <v>26</v>
      </c>
      <c r="E122" s="91" t="s">
        <v>231</v>
      </c>
      <c r="F122" s="91" t="s">
        <v>90</v>
      </c>
      <c r="G122" s="91" t="s">
        <v>91</v>
      </c>
      <c r="H122" s="104" t="str">
        <f t="shared" si="7"/>
        <v>F6131J30</v>
      </c>
      <c r="I122" s="104"/>
      <c r="J122" s="105">
        <v>38.15</v>
      </c>
      <c r="K122" s="106">
        <f>IF(D122="CAESARSTONE LTD",VLOOKUP(H122,'[2]GIA CA'!G:H,2,0),IF(OR(D122="STONE FACINGS LIMITED",D122="NORDIA SA",D122="INVICTUS STONE COUNTERTOPS INC",D122="QUARTZTOP LLC"),VLOOKUP(H122,'[2] Giá ngoài Mỹ - SI-GR'!$B$5:$AZ$84,51,0),IF(OR(D122="HYUNDAI L&amp;C CANADA INC",D122="Hyundai L&amp; C USA LLC"),VLOOKUP(H122,'[2]GIA HS'!A:D,4,0),IF(Y122="Mỹ",VLOOKUP(H122,'[2]giá mỹ từ 6.8.2025'!B:I,2,0),VLOOKUP(H122,'[2]giá ngoài mỹ 6.8.2025 (final)'!B:BP,51,0)))))</f>
        <v>77.5</v>
      </c>
      <c r="L122" s="106">
        <v>81.400000000000006</v>
      </c>
      <c r="M122" s="106">
        <f t="shared" si="6"/>
        <v>3.9000000000000057</v>
      </c>
      <c r="N122" s="106">
        <v>82.92</v>
      </c>
      <c r="O122" s="106">
        <v>3163.41</v>
      </c>
      <c r="P122" s="107">
        <v>26110</v>
      </c>
      <c r="Q122" s="107">
        <v>82596635</v>
      </c>
      <c r="R122" s="102" t="s">
        <v>30</v>
      </c>
      <c r="S122" s="108"/>
      <c r="T122" s="109"/>
      <c r="U122" s="109"/>
      <c r="V122" s="102"/>
      <c r="W122" s="109"/>
      <c r="X122" s="109"/>
      <c r="Y122" s="110" t="s">
        <v>31</v>
      </c>
      <c r="Z122" s="111" t="str">
        <f>MID(E122,4,2)</f>
        <v>CA</v>
      </c>
    </row>
    <row r="123" spans="1:26" s="111" customFormat="1" x14ac:dyDescent="0.2">
      <c r="A123" s="101">
        <v>46237</v>
      </c>
      <c r="B123" s="91" t="s">
        <v>229</v>
      </c>
      <c r="C123" s="102" t="s">
        <v>230</v>
      </c>
      <c r="D123" s="103" t="s">
        <v>26</v>
      </c>
      <c r="E123" s="91" t="s">
        <v>231</v>
      </c>
      <c r="F123" s="91" t="s">
        <v>241</v>
      </c>
      <c r="G123" s="91" t="s">
        <v>242</v>
      </c>
      <c r="H123" s="104" t="str">
        <f t="shared" si="7"/>
        <v>F8251J30</v>
      </c>
      <c r="I123" s="104"/>
      <c r="J123" s="105">
        <v>10.9</v>
      </c>
      <c r="K123" s="106">
        <f>IF(D123="CAESARSTONE LTD",VLOOKUP(H123,'[2]GIA CA'!G:H,2,0),IF(OR(D123="STONE FACINGS LIMITED",D123="NORDIA SA",D123="INVICTUS STONE COUNTERTOPS INC",D123="QUARTZTOP LLC"),VLOOKUP(H123,'[2] Giá ngoài Mỹ - SI-GR'!$B$5:$AZ$84,51,0),IF(OR(D123="HYUNDAI L&amp;C CANADA INC",D123="Hyundai L&amp; C USA LLC"),VLOOKUP(H123,'[2]GIA HS'!A:D,4,0),IF(Y123="Mỹ",VLOOKUP(H123,'[2]giá mỹ từ 6.8.2025'!B:I,2,0),VLOOKUP(H123,'[2]giá ngoài mỹ 6.8.2025 (final)'!B:BP,51,0)))))</f>
        <v>92.5</v>
      </c>
      <c r="L123" s="106">
        <v>97.1</v>
      </c>
      <c r="M123" s="106">
        <f t="shared" si="6"/>
        <v>4.5999999999999943</v>
      </c>
      <c r="N123" s="106">
        <v>97</v>
      </c>
      <c r="O123" s="106">
        <v>1057.3</v>
      </c>
      <c r="P123" s="107">
        <v>26110</v>
      </c>
      <c r="Q123" s="107">
        <v>27606103</v>
      </c>
      <c r="R123" s="102" t="s">
        <v>30</v>
      </c>
      <c r="S123" s="108"/>
      <c r="T123" s="109"/>
      <c r="U123" s="109"/>
      <c r="V123" s="102"/>
      <c r="W123" s="109"/>
      <c r="X123" s="109"/>
      <c r="Y123" s="110" t="s">
        <v>31</v>
      </c>
      <c r="Z123" s="111" t="str">
        <f>MID(E123,4,2)</f>
        <v>CA</v>
      </c>
    </row>
    <row r="124" spans="1:26" s="111" customFormat="1" x14ac:dyDescent="0.2">
      <c r="A124" s="101">
        <v>46237</v>
      </c>
      <c r="B124" s="91" t="s">
        <v>229</v>
      </c>
      <c r="C124" s="102" t="s">
        <v>230</v>
      </c>
      <c r="D124" s="103" t="s">
        <v>26</v>
      </c>
      <c r="E124" s="91" t="s">
        <v>231</v>
      </c>
      <c r="F124" s="91" t="s">
        <v>241</v>
      </c>
      <c r="G124" s="91" t="s">
        <v>242</v>
      </c>
      <c r="H124" s="104" t="str">
        <f t="shared" si="7"/>
        <v>F8251J30</v>
      </c>
      <c r="I124" s="104"/>
      <c r="J124" s="105">
        <v>5.45</v>
      </c>
      <c r="K124" s="106">
        <f>IF(D124="CAESARSTONE LTD",VLOOKUP(H124,'[2]GIA CA'!G:H,2,0),IF(OR(D124="STONE FACINGS LIMITED",D124="NORDIA SA",D124="INVICTUS STONE COUNTERTOPS INC",D124="QUARTZTOP LLC"),VLOOKUP(H124,'[2] Giá ngoài Mỹ - SI-GR'!$B$5:$AZ$84,51,0),IF(OR(D124="HYUNDAI L&amp;C CANADA INC",D124="Hyundai L&amp; C USA LLC"),VLOOKUP(H124,'[2]GIA HS'!A:D,4,0),IF(Y124="Mỹ",VLOOKUP(H124,'[2]giá mỹ từ 6.8.2025'!B:I,2,0),VLOOKUP(H124,'[2]giá ngoài mỹ 6.8.2025 (final)'!B:BP,51,0)))))</f>
        <v>92.5</v>
      </c>
      <c r="L124" s="106">
        <v>97.1</v>
      </c>
      <c r="M124" s="106">
        <f t="shared" si="6"/>
        <v>4.5999999999999943</v>
      </c>
      <c r="N124" s="106">
        <v>97</v>
      </c>
      <c r="O124" s="106">
        <v>528.65</v>
      </c>
      <c r="P124" s="107">
        <v>26110</v>
      </c>
      <c r="Q124" s="107">
        <v>13803052</v>
      </c>
      <c r="R124" s="102" t="s">
        <v>30</v>
      </c>
      <c r="S124" s="108"/>
      <c r="T124" s="109"/>
      <c r="U124" s="109"/>
      <c r="V124" s="102"/>
      <c r="W124" s="109"/>
      <c r="X124" s="109"/>
      <c r="Y124" s="110" t="s">
        <v>31</v>
      </c>
      <c r="Z124" s="111" t="str">
        <f>MID(E124,4,2)</f>
        <v>CA</v>
      </c>
    </row>
    <row r="125" spans="1:26" s="111" customFormat="1" x14ac:dyDescent="0.2">
      <c r="A125" s="101">
        <v>46237</v>
      </c>
      <c r="B125" s="91" t="s">
        <v>229</v>
      </c>
      <c r="C125" s="102" t="s">
        <v>230</v>
      </c>
      <c r="D125" s="103" t="s">
        <v>26</v>
      </c>
      <c r="E125" s="91" t="s">
        <v>231</v>
      </c>
      <c r="F125" s="91" t="s">
        <v>243</v>
      </c>
      <c r="G125" s="91" t="s">
        <v>242</v>
      </c>
      <c r="H125" s="104" t="str">
        <f t="shared" si="7"/>
        <v>F8251J30</v>
      </c>
      <c r="I125" s="104"/>
      <c r="J125" s="105">
        <v>5.45</v>
      </c>
      <c r="K125" s="106">
        <f>IF(D125="CAESARSTONE LTD",VLOOKUP(H125,'[2]GIA CA'!G:H,2,0),IF(OR(D125="STONE FACINGS LIMITED",D125="NORDIA SA",D125="INVICTUS STONE COUNTERTOPS INC",D125="QUARTZTOP LLC"),VLOOKUP(H125,'[2] Giá ngoài Mỹ - SI-GR'!$B$5:$AZ$84,51,0),IF(OR(D125="HYUNDAI L&amp;C CANADA INC",D125="Hyundai L&amp; C USA LLC"),VLOOKUP(H125,'[2]GIA HS'!A:D,4,0),IF(Y125="Mỹ",VLOOKUP(H125,'[2]giá mỹ từ 6.8.2025'!B:I,2,0),VLOOKUP(H125,'[2]giá ngoài mỹ 6.8.2025 (final)'!B:BP,51,0)))))</f>
        <v>92.5</v>
      </c>
      <c r="L125" s="106">
        <v>97.1</v>
      </c>
      <c r="M125" s="106">
        <f t="shared" si="6"/>
        <v>4.5999999999999943</v>
      </c>
      <c r="N125" s="106">
        <v>97</v>
      </c>
      <c r="O125" s="106">
        <v>528.65</v>
      </c>
      <c r="P125" s="107">
        <v>26110</v>
      </c>
      <c r="Q125" s="107">
        <v>13803052</v>
      </c>
      <c r="R125" s="102" t="s">
        <v>30</v>
      </c>
      <c r="S125" s="108"/>
      <c r="T125" s="109"/>
      <c r="U125" s="109"/>
      <c r="V125" s="102"/>
      <c r="W125" s="109"/>
      <c r="X125" s="109"/>
      <c r="Y125" s="110" t="s">
        <v>31</v>
      </c>
      <c r="Z125" s="111" t="str">
        <f>MID(E125,4,2)</f>
        <v>CA</v>
      </c>
    </row>
    <row r="126" spans="1:26" s="111" customFormat="1" x14ac:dyDescent="0.2">
      <c r="A126" s="101">
        <v>46237</v>
      </c>
      <c r="B126" s="91" t="s">
        <v>244</v>
      </c>
      <c r="C126" s="102" t="s">
        <v>245</v>
      </c>
      <c r="D126" s="103" t="s">
        <v>26</v>
      </c>
      <c r="E126" s="91" t="s">
        <v>246</v>
      </c>
      <c r="F126" s="91" t="s">
        <v>186</v>
      </c>
      <c r="G126" s="91" t="s">
        <v>187</v>
      </c>
      <c r="H126" s="104" t="str">
        <f t="shared" si="7"/>
        <v>C6131J20</v>
      </c>
      <c r="I126" s="104"/>
      <c r="J126" s="105">
        <v>14.06</v>
      </c>
      <c r="K126" s="106">
        <f>IF(D126="CAESARSTONE LTD",VLOOKUP(H126,'[2]GIA CA'!G:H,2,0),IF(OR(D126="STONE FACINGS LIMITED",D126="NORDIA SA",D126="INVICTUS STONE COUNTERTOPS INC",D126="QUARTZTOP LLC"),VLOOKUP(H126,'[2] Giá ngoài Mỹ - SI-GR'!$B$5:$AZ$84,51,0),IF(OR(D126="HYUNDAI L&amp;C CANADA INC",D126="Hyundai L&amp; C USA LLC"),VLOOKUP(H126,'[2]GIA HS'!A:D,4,0),IF(Y126="Mỹ",VLOOKUP(H126,'[2]giá mỹ từ 6.8.2025'!B:I,2,0),VLOOKUP(H126,'[2]giá ngoài mỹ 6.8.2025 (final)'!B:BP,51,0)))))</f>
        <v>59</v>
      </c>
      <c r="L126" s="106">
        <v>94.74</v>
      </c>
      <c r="M126" s="106">
        <f t="shared" si="6"/>
        <v>35.739999999999995</v>
      </c>
      <c r="N126" s="106">
        <v>95</v>
      </c>
      <c r="O126" s="106">
        <v>1335.7</v>
      </c>
      <c r="P126" s="107">
        <v>26110</v>
      </c>
      <c r="Q126" s="107">
        <v>34875127</v>
      </c>
      <c r="R126" s="102"/>
      <c r="S126" s="108"/>
      <c r="T126" s="109" t="s">
        <v>30</v>
      </c>
      <c r="U126" s="109"/>
      <c r="V126" s="102"/>
      <c r="W126" s="109"/>
      <c r="X126" s="109"/>
      <c r="Y126" s="110" t="s">
        <v>31</v>
      </c>
      <c r="Z126" s="111" t="str">
        <f>MID(E126,4,2)</f>
        <v>CA</v>
      </c>
    </row>
    <row r="127" spans="1:26" s="111" customFormat="1" x14ac:dyDescent="0.2">
      <c r="A127" s="101">
        <v>46237</v>
      </c>
      <c r="B127" s="91" t="s">
        <v>244</v>
      </c>
      <c r="C127" s="102" t="s">
        <v>245</v>
      </c>
      <c r="D127" s="103" t="s">
        <v>26</v>
      </c>
      <c r="E127" s="91" t="s">
        <v>246</v>
      </c>
      <c r="F127" s="91" t="s">
        <v>186</v>
      </c>
      <c r="G127" s="91" t="s">
        <v>187</v>
      </c>
      <c r="H127" s="104" t="str">
        <f t="shared" si="7"/>
        <v>C6131J20</v>
      </c>
      <c r="I127" s="104"/>
      <c r="J127" s="105">
        <v>14.06</v>
      </c>
      <c r="K127" s="106">
        <f>IF(D127="CAESARSTONE LTD",VLOOKUP(H127,'[2]GIA CA'!G:H,2,0),IF(OR(D127="STONE FACINGS LIMITED",D127="NORDIA SA",D127="INVICTUS STONE COUNTERTOPS INC",D127="QUARTZTOP LLC"),VLOOKUP(H127,'[2] Giá ngoài Mỹ - SI-GR'!$B$5:$AZ$84,51,0),IF(OR(D127="HYUNDAI L&amp;C CANADA INC",D127="Hyundai L&amp; C USA LLC"),VLOOKUP(H127,'[2]GIA HS'!A:D,4,0),IF(Y127="Mỹ",VLOOKUP(H127,'[2]giá mỹ từ 6.8.2025'!B:I,2,0),VLOOKUP(H127,'[2]giá ngoài mỹ 6.8.2025 (final)'!B:BP,51,0)))))</f>
        <v>59</v>
      </c>
      <c r="L127" s="106">
        <v>94.74</v>
      </c>
      <c r="M127" s="106">
        <f t="shared" si="6"/>
        <v>35.739999999999995</v>
      </c>
      <c r="N127" s="106">
        <v>95</v>
      </c>
      <c r="O127" s="106">
        <v>1335.7</v>
      </c>
      <c r="P127" s="107">
        <v>26110</v>
      </c>
      <c r="Q127" s="107">
        <v>34875127</v>
      </c>
      <c r="R127" s="102"/>
      <c r="S127" s="108"/>
      <c r="T127" s="109" t="s">
        <v>30</v>
      </c>
      <c r="U127" s="109"/>
      <c r="V127" s="102"/>
      <c r="W127" s="109"/>
      <c r="X127" s="109"/>
      <c r="Y127" s="110" t="s">
        <v>31</v>
      </c>
      <c r="Z127" s="111" t="str">
        <f>MID(E127,4,2)</f>
        <v>CA</v>
      </c>
    </row>
    <row r="128" spans="1:26" s="111" customFormat="1" x14ac:dyDescent="0.2">
      <c r="A128" s="101">
        <v>46237</v>
      </c>
      <c r="B128" s="91" t="s">
        <v>244</v>
      </c>
      <c r="C128" s="102" t="s">
        <v>245</v>
      </c>
      <c r="D128" s="103" t="s">
        <v>26</v>
      </c>
      <c r="E128" s="91" t="s">
        <v>246</v>
      </c>
      <c r="F128" s="91" t="s">
        <v>247</v>
      </c>
      <c r="G128" s="91" t="s">
        <v>248</v>
      </c>
      <c r="H128" s="104" t="str">
        <f t="shared" si="7"/>
        <v>F6313J20</v>
      </c>
      <c r="I128" s="104"/>
      <c r="J128" s="105">
        <v>14.06</v>
      </c>
      <c r="K128" s="106">
        <f>IF(D128="CAESARSTONE LTD",VLOOKUP(H128,'[2]GIA CA'!G:H,2,0),IF(OR(D128="STONE FACINGS LIMITED",D128="NORDIA SA",D128="INVICTUS STONE COUNTERTOPS INC",D128="QUARTZTOP LLC"),VLOOKUP(H128,'[2] Giá ngoài Mỹ - SI-GR'!$B$5:$AZ$84,51,0),IF(OR(D128="HYUNDAI L&amp;C CANADA INC",D128="Hyundai L&amp; C USA LLC"),VLOOKUP(H128,'[2]GIA HS'!A:D,4,0),IF(Y128="Mỹ",VLOOKUP(H128,'[2]giá mỹ từ 6.8.2025'!B:I,2,0),VLOOKUP(H128,'[2]giá ngoài mỹ 6.8.2025 (final)'!B:BP,51,0)))))</f>
        <v>62</v>
      </c>
      <c r="L128" s="106">
        <v>129.30000000000001</v>
      </c>
      <c r="M128" s="106">
        <f t="shared" si="6"/>
        <v>67.300000000000011</v>
      </c>
      <c r="N128" s="106">
        <v>129</v>
      </c>
      <c r="O128" s="106">
        <v>1813.74</v>
      </c>
      <c r="P128" s="107">
        <v>26110</v>
      </c>
      <c r="Q128" s="107">
        <v>47356751</v>
      </c>
      <c r="R128" s="102"/>
      <c r="S128" s="108"/>
      <c r="T128" s="109" t="s">
        <v>30</v>
      </c>
      <c r="U128" s="109"/>
      <c r="V128" s="102"/>
      <c r="W128" s="109"/>
      <c r="X128" s="109"/>
      <c r="Y128" s="110" t="s">
        <v>31</v>
      </c>
      <c r="Z128" s="111" t="str">
        <f>MID(E128,4,2)</f>
        <v>CA</v>
      </c>
    </row>
    <row r="129" spans="1:26" s="111" customFormat="1" x14ac:dyDescent="0.2">
      <c r="A129" s="101">
        <v>46237</v>
      </c>
      <c r="B129" s="91" t="s">
        <v>244</v>
      </c>
      <c r="C129" s="102" t="s">
        <v>245</v>
      </c>
      <c r="D129" s="103" t="s">
        <v>26</v>
      </c>
      <c r="E129" s="91" t="s">
        <v>246</v>
      </c>
      <c r="F129" s="91" t="s">
        <v>249</v>
      </c>
      <c r="G129" s="91" t="s">
        <v>250</v>
      </c>
      <c r="H129" s="104" t="str">
        <f t="shared" si="7"/>
        <v>C6046J20</v>
      </c>
      <c r="I129" s="104"/>
      <c r="J129" s="105">
        <v>4.46</v>
      </c>
      <c r="K129" s="106">
        <f>IF(D129="CAESARSTONE LTD",VLOOKUP(H129,'[2]GIA CA'!G:H,2,0),IF(OR(D129="STONE FACINGS LIMITED",D129="NORDIA SA",D129="INVICTUS STONE COUNTERTOPS INC",D129="QUARTZTOP LLC"),VLOOKUP(H129,'[2] Giá ngoài Mỹ - SI-GR'!$B$5:$AZ$84,51,0),IF(OR(D129="HYUNDAI L&amp;C CANADA INC",D129="Hyundai L&amp; C USA LLC"),VLOOKUP(H129,'[2]GIA HS'!A:D,4,0),IF(Y129="Mỹ",VLOOKUP(H129,'[2]giá mỹ từ 6.8.2025'!B:I,2,0),VLOOKUP(H129,'[2]giá ngoài mỹ 6.8.2025 (final)'!B:BP,51,0)))))</f>
        <v>59</v>
      </c>
      <c r="L129" s="106">
        <v>95.58</v>
      </c>
      <c r="M129" s="106">
        <f t="shared" si="6"/>
        <v>36.58</v>
      </c>
      <c r="N129" s="106">
        <v>96</v>
      </c>
      <c r="O129" s="106">
        <v>428.16</v>
      </c>
      <c r="P129" s="107">
        <v>26110</v>
      </c>
      <c r="Q129" s="107">
        <v>11179258</v>
      </c>
      <c r="R129" s="102"/>
      <c r="S129" s="108"/>
      <c r="T129" s="109" t="s">
        <v>30</v>
      </c>
      <c r="U129" s="109"/>
      <c r="V129" s="102"/>
      <c r="W129" s="109"/>
      <c r="X129" s="109"/>
      <c r="Y129" s="110" t="s">
        <v>31</v>
      </c>
      <c r="Z129" s="111" t="str">
        <f>MID(E129,4,2)</f>
        <v>CA</v>
      </c>
    </row>
    <row r="130" spans="1:26" s="111" customFormat="1" x14ac:dyDescent="0.2">
      <c r="A130" s="101">
        <v>46237</v>
      </c>
      <c r="B130" s="91" t="s">
        <v>244</v>
      </c>
      <c r="C130" s="102" t="s">
        <v>245</v>
      </c>
      <c r="D130" s="103" t="s">
        <v>26</v>
      </c>
      <c r="E130" s="91" t="s">
        <v>246</v>
      </c>
      <c r="F130" s="91" t="s">
        <v>249</v>
      </c>
      <c r="G130" s="91" t="s">
        <v>250</v>
      </c>
      <c r="H130" s="104" t="str">
        <f t="shared" si="7"/>
        <v>C6046J20</v>
      </c>
      <c r="I130" s="104"/>
      <c r="J130" s="105">
        <v>12.74</v>
      </c>
      <c r="K130" s="106">
        <f>IF(D130="CAESARSTONE LTD",VLOOKUP(H130,'[2]GIA CA'!G:H,2,0),IF(OR(D130="STONE FACINGS LIMITED",D130="NORDIA SA",D130="INVICTUS STONE COUNTERTOPS INC",D130="QUARTZTOP LLC"),VLOOKUP(H130,'[2] Giá ngoài Mỹ - SI-GR'!$B$5:$AZ$84,51,0),IF(OR(D130="HYUNDAI L&amp;C CANADA INC",D130="Hyundai L&amp; C USA LLC"),VLOOKUP(H130,'[2]GIA HS'!A:D,4,0),IF(Y130="Mỹ",VLOOKUP(H130,'[2]giá mỹ từ 6.8.2025'!B:I,2,0),VLOOKUP(H130,'[2]giá ngoài mỹ 6.8.2025 (final)'!B:BP,51,0)))))</f>
        <v>59</v>
      </c>
      <c r="L130" s="106">
        <v>95.6</v>
      </c>
      <c r="M130" s="106">
        <f t="shared" si="6"/>
        <v>36.599999999999994</v>
      </c>
      <c r="N130" s="106">
        <v>96</v>
      </c>
      <c r="O130" s="107">
        <v>1223.04</v>
      </c>
      <c r="P130" s="107">
        <v>26110</v>
      </c>
      <c r="Q130" s="107">
        <v>31933574</v>
      </c>
      <c r="R130" s="102"/>
      <c r="S130" s="108"/>
      <c r="T130" s="109" t="s">
        <v>30</v>
      </c>
      <c r="U130" s="109"/>
      <c r="V130" s="102"/>
      <c r="W130" s="109"/>
      <c r="X130" s="109"/>
      <c r="Y130" s="110" t="s">
        <v>31</v>
      </c>
      <c r="Z130" s="111" t="str">
        <f>MID(E130,4,2)</f>
        <v>CA</v>
      </c>
    </row>
    <row r="131" spans="1:26" s="111" customFormat="1" x14ac:dyDescent="0.2">
      <c r="A131" s="101">
        <v>46237</v>
      </c>
      <c r="B131" s="91" t="s">
        <v>244</v>
      </c>
      <c r="C131" s="102" t="s">
        <v>245</v>
      </c>
      <c r="D131" s="103" t="s">
        <v>26</v>
      </c>
      <c r="E131" s="91" t="s">
        <v>246</v>
      </c>
      <c r="F131" s="91" t="s">
        <v>251</v>
      </c>
      <c r="G131" s="91" t="s">
        <v>252</v>
      </c>
      <c r="H131" s="104" t="str">
        <f t="shared" si="7"/>
        <v>F5105J20</v>
      </c>
      <c r="I131" s="104"/>
      <c r="J131" s="105">
        <v>12.74</v>
      </c>
      <c r="K131" s="106">
        <f>IF(D131="CAESARSTONE LTD",VLOOKUP(H131,'[2]GIA CA'!G:H,2,0),IF(OR(D131="STONE FACINGS LIMITED",D131="NORDIA SA",D131="INVICTUS STONE COUNTERTOPS INC",D131="QUARTZTOP LLC"),VLOOKUP(H131,'[2] Giá ngoài Mỹ - SI-GR'!$B$5:$AZ$84,51,0),IF(OR(D131="HYUNDAI L&amp;C CANADA INC",D131="Hyundai L&amp; C USA LLC"),VLOOKUP(H131,'[2]GIA HS'!A:D,4,0),IF(Y131="Mỹ",VLOOKUP(H131,'[2]giá mỹ từ 6.8.2025'!B:I,2,0),VLOOKUP(H131,'[2]giá ngoài mỹ 6.8.2025 (final)'!B:BP,51,0)))))</f>
        <v>68</v>
      </c>
      <c r="L131" s="106">
        <v>130.77000000000001</v>
      </c>
      <c r="M131" s="106">
        <f t="shared" si="6"/>
        <v>62.77000000000001</v>
      </c>
      <c r="N131" s="106">
        <v>131</v>
      </c>
      <c r="O131" s="107">
        <v>1668.94</v>
      </c>
      <c r="P131" s="107">
        <v>26110</v>
      </c>
      <c r="Q131" s="107">
        <v>43576023</v>
      </c>
      <c r="R131" s="102"/>
      <c r="S131" s="108"/>
      <c r="T131" s="109" t="s">
        <v>30</v>
      </c>
      <c r="U131" s="109"/>
      <c r="V131" s="102"/>
      <c r="W131" s="109"/>
      <c r="X131" s="109"/>
      <c r="Y131" s="110" t="s">
        <v>31</v>
      </c>
      <c r="Z131" s="111" t="str">
        <f>MID(E131,4,2)</f>
        <v>CA</v>
      </c>
    </row>
    <row r="132" spans="1:26" s="111" customFormat="1" x14ac:dyDescent="0.2">
      <c r="A132" s="101">
        <v>46237</v>
      </c>
      <c r="B132" s="91" t="s">
        <v>244</v>
      </c>
      <c r="C132" s="102" t="s">
        <v>245</v>
      </c>
      <c r="D132" s="103" t="s">
        <v>26</v>
      </c>
      <c r="E132" s="91" t="s">
        <v>246</v>
      </c>
      <c r="F132" s="91" t="s">
        <v>253</v>
      </c>
      <c r="G132" s="91" t="s">
        <v>254</v>
      </c>
      <c r="H132" s="104" t="str">
        <f t="shared" si="7"/>
        <v>F5144J20</v>
      </c>
      <c r="I132" s="104"/>
      <c r="J132" s="105">
        <v>7.81</v>
      </c>
      <c r="K132" s="106">
        <f>IF(D132="CAESARSTONE LTD",VLOOKUP(H132,'[2]GIA CA'!G:H,2,0),IF(OR(D132="STONE FACINGS LIMITED",D132="NORDIA SA",D132="INVICTUS STONE COUNTERTOPS INC",D132="QUARTZTOP LLC"),VLOOKUP(H132,'[2] Giá ngoài Mỹ - SI-GR'!$B$5:$AZ$84,51,0),IF(OR(D132="HYUNDAI L&amp;C CANADA INC",D132="Hyundai L&amp; C USA LLC"),VLOOKUP(H132,'[2]GIA HS'!A:D,4,0),IF(Y132="Mỹ",VLOOKUP(H132,'[2]giá mỹ từ 6.8.2025'!B:I,2,0),VLOOKUP(H132,'[2]giá ngoài mỹ 6.8.2025 (final)'!B:BP,51,0)))))</f>
        <v>62</v>
      </c>
      <c r="L132" s="106">
        <v>94.75</v>
      </c>
      <c r="M132" s="106">
        <f t="shared" si="6"/>
        <v>32.75</v>
      </c>
      <c r="N132" s="106">
        <v>95</v>
      </c>
      <c r="O132" s="107">
        <v>741.95</v>
      </c>
      <c r="P132" s="107">
        <v>26110</v>
      </c>
      <c r="Q132" s="107">
        <v>19372315</v>
      </c>
      <c r="R132" s="102"/>
      <c r="S132" s="108"/>
      <c r="T132" s="109" t="s">
        <v>30</v>
      </c>
      <c r="U132" s="109"/>
      <c r="V132" s="102"/>
      <c r="W132" s="109"/>
      <c r="X132" s="109"/>
      <c r="Y132" s="110" t="s">
        <v>31</v>
      </c>
      <c r="Z132" s="111" t="str">
        <f>MID(E132,4,2)</f>
        <v>CA</v>
      </c>
    </row>
    <row r="133" spans="1:26" s="111" customFormat="1" x14ac:dyDescent="0.2">
      <c r="A133" s="101">
        <v>46237</v>
      </c>
      <c r="B133" s="91" t="s">
        <v>244</v>
      </c>
      <c r="C133" s="102" t="s">
        <v>245</v>
      </c>
      <c r="D133" s="103" t="s">
        <v>26</v>
      </c>
      <c r="E133" s="91" t="s">
        <v>246</v>
      </c>
      <c r="F133" s="91" t="s">
        <v>255</v>
      </c>
      <c r="G133" s="91" t="s">
        <v>256</v>
      </c>
      <c r="H133" s="104" t="str">
        <f t="shared" si="7"/>
        <v>C4033J20</v>
      </c>
      <c r="I133" s="104"/>
      <c r="J133" s="105">
        <v>1.59</v>
      </c>
      <c r="K133" s="106">
        <f t="shared" ref="K133:K136" si="9">+L133</f>
        <v>95.75</v>
      </c>
      <c r="L133" s="106">
        <v>95.75</v>
      </c>
      <c r="M133" s="106">
        <f t="shared" si="6"/>
        <v>0</v>
      </c>
      <c r="N133" s="106">
        <v>96</v>
      </c>
      <c r="O133" s="107">
        <v>152.63999999999999</v>
      </c>
      <c r="P133" s="107">
        <v>26110</v>
      </c>
      <c r="Q133" s="107">
        <v>3985430</v>
      </c>
      <c r="R133" s="102"/>
      <c r="S133" s="108"/>
      <c r="T133" s="109" t="s">
        <v>30</v>
      </c>
      <c r="U133" s="109"/>
      <c r="V133" s="102"/>
      <c r="W133" s="109"/>
      <c r="X133" s="109"/>
      <c r="Y133" s="110" t="s">
        <v>31</v>
      </c>
      <c r="Z133" s="111" t="str">
        <f>MID(E133,4,2)</f>
        <v>CA</v>
      </c>
    </row>
    <row r="134" spans="1:26" s="111" customFormat="1" x14ac:dyDescent="0.2">
      <c r="A134" s="101">
        <v>46237</v>
      </c>
      <c r="B134" s="91" t="s">
        <v>244</v>
      </c>
      <c r="C134" s="102" t="s">
        <v>245</v>
      </c>
      <c r="D134" s="103" t="s">
        <v>26</v>
      </c>
      <c r="E134" s="91" t="s">
        <v>246</v>
      </c>
      <c r="F134" s="91" t="s">
        <v>255</v>
      </c>
      <c r="G134" s="91" t="s">
        <v>256</v>
      </c>
      <c r="H134" s="104" t="str">
        <f t="shared" si="7"/>
        <v>C4033J20</v>
      </c>
      <c r="I134" s="104"/>
      <c r="J134" s="105">
        <v>2.23</v>
      </c>
      <c r="K134" s="106">
        <f t="shared" si="9"/>
        <v>95.58</v>
      </c>
      <c r="L134" s="106">
        <v>95.58</v>
      </c>
      <c r="M134" s="106">
        <f t="shared" si="6"/>
        <v>0</v>
      </c>
      <c r="N134" s="106">
        <v>96</v>
      </c>
      <c r="O134" s="107">
        <v>214.08</v>
      </c>
      <c r="P134" s="107">
        <v>26110</v>
      </c>
      <c r="Q134" s="107">
        <v>5589629</v>
      </c>
      <c r="R134" s="102"/>
      <c r="S134" s="108"/>
      <c r="T134" s="109" t="s">
        <v>30</v>
      </c>
      <c r="U134" s="109"/>
      <c r="V134" s="102"/>
      <c r="W134" s="109"/>
      <c r="X134" s="109"/>
      <c r="Y134" s="110" t="s">
        <v>31</v>
      </c>
      <c r="Z134" s="111" t="str">
        <f>MID(E134,4,2)</f>
        <v>CA</v>
      </c>
    </row>
    <row r="135" spans="1:26" s="111" customFormat="1" x14ac:dyDescent="0.2">
      <c r="A135" s="101">
        <v>46237</v>
      </c>
      <c r="B135" s="91" t="s">
        <v>244</v>
      </c>
      <c r="C135" s="102" t="s">
        <v>245</v>
      </c>
      <c r="D135" s="103" t="s">
        <v>26</v>
      </c>
      <c r="E135" s="91" t="s">
        <v>246</v>
      </c>
      <c r="F135" s="91" t="s">
        <v>257</v>
      </c>
      <c r="G135" s="91" t="s">
        <v>258</v>
      </c>
      <c r="H135" s="104" t="str">
        <f t="shared" si="7"/>
        <v>C4033J20</v>
      </c>
      <c r="I135" s="104"/>
      <c r="J135" s="105">
        <v>54.5</v>
      </c>
      <c r="K135" s="106">
        <f t="shared" si="9"/>
        <v>59.9</v>
      </c>
      <c r="L135" s="106">
        <v>59.9</v>
      </c>
      <c r="M135" s="106">
        <f t="shared" si="6"/>
        <v>0</v>
      </c>
      <c r="N135" s="106">
        <v>60</v>
      </c>
      <c r="O135" s="107">
        <v>3270</v>
      </c>
      <c r="P135" s="107">
        <v>26110</v>
      </c>
      <c r="Q135" s="107">
        <v>85379700</v>
      </c>
      <c r="R135" s="102" t="s">
        <v>30</v>
      </c>
      <c r="S135" s="108"/>
      <c r="T135" s="109"/>
      <c r="U135" s="109"/>
      <c r="V135" s="102"/>
      <c r="W135" s="109"/>
      <c r="X135" s="109"/>
      <c r="Y135" s="110" t="s">
        <v>31</v>
      </c>
      <c r="Z135" s="111" t="str">
        <f>MID(E135,4,2)</f>
        <v>CA</v>
      </c>
    </row>
    <row r="136" spans="1:26" s="111" customFormat="1" x14ac:dyDescent="0.2">
      <c r="A136" s="101">
        <v>46237</v>
      </c>
      <c r="B136" s="91" t="s">
        <v>244</v>
      </c>
      <c r="C136" s="102" t="s">
        <v>245</v>
      </c>
      <c r="D136" s="103" t="s">
        <v>26</v>
      </c>
      <c r="E136" s="91" t="s">
        <v>246</v>
      </c>
      <c r="F136" s="91" t="s">
        <v>86</v>
      </c>
      <c r="G136" s="91" t="s">
        <v>87</v>
      </c>
      <c r="H136" s="104" t="str">
        <f t="shared" si="7"/>
        <v>C4033J30</v>
      </c>
      <c r="I136" s="104"/>
      <c r="J136" s="105">
        <v>59.95</v>
      </c>
      <c r="K136" s="106">
        <f t="shared" si="9"/>
        <v>74.8</v>
      </c>
      <c r="L136" s="106">
        <v>74.8</v>
      </c>
      <c r="M136" s="106">
        <f t="shared" si="6"/>
        <v>0</v>
      </c>
      <c r="N136" s="106">
        <v>75</v>
      </c>
      <c r="O136" s="107">
        <v>4496.25</v>
      </c>
      <c r="P136" s="107">
        <v>26110</v>
      </c>
      <c r="Q136" s="107">
        <v>117397088</v>
      </c>
      <c r="R136" s="102" t="s">
        <v>30</v>
      </c>
      <c r="S136" s="108"/>
      <c r="T136" s="109"/>
      <c r="U136" s="109"/>
      <c r="V136" s="102"/>
      <c r="W136" s="109"/>
      <c r="X136" s="109"/>
      <c r="Y136" s="110" t="s">
        <v>31</v>
      </c>
      <c r="Z136" s="111" t="str">
        <f>MID(E136,4,2)</f>
        <v>CA</v>
      </c>
    </row>
    <row r="137" spans="1:26" s="111" customFormat="1" x14ac:dyDescent="0.2">
      <c r="A137" s="101">
        <v>46237</v>
      </c>
      <c r="B137" s="91" t="s">
        <v>244</v>
      </c>
      <c r="C137" s="102" t="s">
        <v>245</v>
      </c>
      <c r="D137" s="103" t="s">
        <v>26</v>
      </c>
      <c r="E137" s="91" t="s">
        <v>246</v>
      </c>
      <c r="F137" s="91" t="s">
        <v>237</v>
      </c>
      <c r="G137" s="91" t="s">
        <v>73</v>
      </c>
      <c r="H137" s="104" t="str">
        <f t="shared" si="7"/>
        <v>C5143J30</v>
      </c>
      <c r="I137" s="104"/>
      <c r="J137" s="105">
        <v>76.3</v>
      </c>
      <c r="K137" s="106">
        <f>IF(D137="CAESARSTONE LTD",VLOOKUP(H137,'[2]GIA CA'!G:H,2,0),IF(OR(D137="STONE FACINGS LIMITED",D137="NORDIA SA",D137="INVICTUS STONE COUNTERTOPS INC",D137="QUARTZTOP LLC"),VLOOKUP(H137,'[2] Giá ngoài Mỹ - SI-GR'!$B$5:$AZ$84,51,0),IF(OR(D137="HYUNDAI L&amp;C CANADA INC",D137="Hyundai L&amp; C USA LLC"),VLOOKUP(H137,'[2]GIA HS'!A:D,4,0),IF(Y137="Mỹ",VLOOKUP(H137,'[2]giá mỹ từ 6.8.2025'!B:I,2,0),VLOOKUP(H137,'[2]giá ngoài mỹ 6.8.2025 (final)'!B:BP,51,0)))))</f>
        <v>73.75</v>
      </c>
      <c r="L137" s="106">
        <v>77.400000000000006</v>
      </c>
      <c r="M137" s="106">
        <f t="shared" si="6"/>
        <v>3.6500000000000057</v>
      </c>
      <c r="N137" s="106">
        <v>77</v>
      </c>
      <c r="O137" s="107">
        <v>5875.1</v>
      </c>
      <c r="P137" s="107">
        <v>26110</v>
      </c>
      <c r="Q137" s="107">
        <v>153398861</v>
      </c>
      <c r="R137" s="102" t="s">
        <v>30</v>
      </c>
      <c r="S137" s="108"/>
      <c r="T137" s="109"/>
      <c r="U137" s="109"/>
      <c r="V137" s="102"/>
      <c r="W137" s="109"/>
      <c r="X137" s="109"/>
      <c r="Y137" s="110" t="s">
        <v>31</v>
      </c>
      <c r="Z137" s="111" t="str">
        <f>MID(E137,4,2)</f>
        <v>CA</v>
      </c>
    </row>
    <row r="138" spans="1:26" s="111" customFormat="1" x14ac:dyDescent="0.2">
      <c r="A138" s="101">
        <v>46237</v>
      </c>
      <c r="B138" s="91" t="s">
        <v>244</v>
      </c>
      <c r="C138" s="102" t="s">
        <v>245</v>
      </c>
      <c r="D138" s="103" t="s">
        <v>26</v>
      </c>
      <c r="E138" s="91" t="s">
        <v>246</v>
      </c>
      <c r="F138" s="91" t="s">
        <v>259</v>
      </c>
      <c r="G138" s="91" t="s">
        <v>260</v>
      </c>
      <c r="H138" s="104" t="str">
        <f t="shared" si="7"/>
        <v>C5151J20</v>
      </c>
      <c r="I138" s="104"/>
      <c r="J138" s="105">
        <v>10.9</v>
      </c>
      <c r="K138" s="106">
        <f>IF(D138="CAESARSTONE LTD",VLOOKUP(H138,'[2]GIA CA'!G:H,2,0),IF(OR(D138="STONE FACINGS LIMITED",D138="NORDIA SA",D138="INVICTUS STONE COUNTERTOPS INC",D138="QUARTZTOP LLC"),VLOOKUP(H138,'[2] Giá ngoài Mỹ - SI-GR'!$B$5:$AZ$84,51,0),IF(OR(D138="HYUNDAI L&amp;C CANADA INC",D138="Hyundai L&amp; C USA LLC"),VLOOKUP(H138,'[2]GIA HS'!A:D,4,0),IF(Y138="Mỹ",VLOOKUP(H138,'[2]giá mỹ từ 6.8.2025'!B:I,2,0),VLOOKUP(H138,'[2]giá ngoài mỹ 6.8.2025 (final)'!B:BP,51,0)))))</f>
        <v>65</v>
      </c>
      <c r="L138" s="106">
        <v>65</v>
      </c>
      <c r="M138" s="106">
        <f t="shared" si="6"/>
        <v>0</v>
      </c>
      <c r="N138" s="106">
        <v>65.86</v>
      </c>
      <c r="O138" s="106">
        <v>717.85</v>
      </c>
      <c r="P138" s="107">
        <v>26110</v>
      </c>
      <c r="Q138" s="107">
        <v>18743064</v>
      </c>
      <c r="R138" s="102" t="s">
        <v>30</v>
      </c>
      <c r="S138" s="108"/>
      <c r="T138" s="109"/>
      <c r="U138" s="109"/>
      <c r="V138" s="102"/>
      <c r="W138" s="109"/>
      <c r="X138" s="109"/>
      <c r="Y138" s="110" t="s">
        <v>31</v>
      </c>
      <c r="Z138" s="111" t="str">
        <f>MID(E138,4,2)</f>
        <v>CA</v>
      </c>
    </row>
    <row r="139" spans="1:26" s="111" customFormat="1" x14ac:dyDescent="0.2">
      <c r="A139" s="101">
        <v>46237</v>
      </c>
      <c r="B139" s="91" t="s">
        <v>244</v>
      </c>
      <c r="C139" s="102" t="s">
        <v>245</v>
      </c>
      <c r="D139" s="103" t="s">
        <v>26</v>
      </c>
      <c r="E139" s="91" t="s">
        <v>246</v>
      </c>
      <c r="F139" s="91" t="s">
        <v>261</v>
      </c>
      <c r="G139" s="91" t="s">
        <v>262</v>
      </c>
      <c r="H139" s="104" t="str">
        <f t="shared" si="7"/>
        <v>F5100J30</v>
      </c>
      <c r="I139" s="104"/>
      <c r="J139" s="105">
        <v>65.400000000000006</v>
      </c>
      <c r="K139" s="106">
        <f>IF(D139="CAESARSTONE LTD",VLOOKUP(H139,'[2]GIA CA'!G:H,2,0),IF(OR(D139="STONE FACINGS LIMITED",D139="NORDIA SA",D139="INVICTUS STONE COUNTERTOPS INC",D139="QUARTZTOP LLC"),VLOOKUP(H139,'[2] Giá ngoài Mỹ - SI-GR'!$B$5:$AZ$84,51,0),IF(OR(D139="HYUNDAI L&amp;C CANADA INC",D139="Hyundai L&amp; C USA LLC"),VLOOKUP(H139,'[2]GIA HS'!A:D,4,0),IF(Y139="Mỹ",VLOOKUP(H139,'[2]giá mỹ từ 6.8.2025'!B:I,2,0),VLOOKUP(H139,'[2]giá ngoài mỹ 6.8.2025 (final)'!B:BP,51,0)))))</f>
        <v>77.5</v>
      </c>
      <c r="L139" s="106">
        <v>81.400000000000006</v>
      </c>
      <c r="M139" s="106">
        <f t="shared" si="6"/>
        <v>3.9000000000000057</v>
      </c>
      <c r="N139" s="106">
        <v>81</v>
      </c>
      <c r="O139" s="107">
        <v>5297.4</v>
      </c>
      <c r="P139" s="107">
        <v>26110</v>
      </c>
      <c r="Q139" s="107">
        <v>138315114</v>
      </c>
      <c r="R139" s="102" t="s">
        <v>30</v>
      </c>
      <c r="S139" s="108"/>
      <c r="T139" s="109"/>
      <c r="U139" s="109"/>
      <c r="V139" s="102"/>
      <c r="W139" s="109"/>
      <c r="X139" s="109"/>
      <c r="Y139" s="110" t="s">
        <v>31</v>
      </c>
      <c r="Z139" s="111" t="str">
        <f>MID(E139,4,2)</f>
        <v>CA</v>
      </c>
    </row>
    <row r="140" spans="1:26" s="111" customFormat="1" x14ac:dyDescent="0.2">
      <c r="A140" s="101">
        <v>46237</v>
      </c>
      <c r="B140" s="91" t="s">
        <v>244</v>
      </c>
      <c r="C140" s="102" t="s">
        <v>245</v>
      </c>
      <c r="D140" s="103" t="s">
        <v>26</v>
      </c>
      <c r="E140" s="91" t="s">
        <v>246</v>
      </c>
      <c r="F140" s="91" t="s">
        <v>203</v>
      </c>
      <c r="G140" s="91" t="s">
        <v>204</v>
      </c>
      <c r="H140" s="104" t="str">
        <f t="shared" si="7"/>
        <v>F5132J20</v>
      </c>
      <c r="I140" s="104"/>
      <c r="J140" s="105">
        <v>98.1</v>
      </c>
      <c r="K140" s="106">
        <f>IF(D140="CAESARSTONE LTD",VLOOKUP(H140,'[2]GIA CA'!G:H,2,0),IF(OR(D140="STONE FACINGS LIMITED",D140="NORDIA SA",D140="INVICTUS STONE COUNTERTOPS INC",D140="QUARTZTOP LLC"),VLOOKUP(H140,'[2] Giá ngoài Mỹ - SI-GR'!$B$5:$AZ$84,51,0),IF(OR(D140="HYUNDAI L&amp;C CANADA INC",D140="Hyundai L&amp; C USA LLC"),VLOOKUP(H140,'[2]GIA HS'!A:D,4,0),IF(Y140="Mỹ",VLOOKUP(H140,'[2]giá mỹ từ 6.8.2025'!B:I,2,0),VLOOKUP(H140,'[2]giá ngoài mỹ 6.8.2025 (final)'!B:BP,51,0)))))</f>
        <v>62</v>
      </c>
      <c r="L140" s="106">
        <v>65.099999999999994</v>
      </c>
      <c r="M140" s="106">
        <f t="shared" si="6"/>
        <v>3.0999999999999943</v>
      </c>
      <c r="N140" s="106">
        <v>65</v>
      </c>
      <c r="O140" s="107">
        <v>6376.5</v>
      </c>
      <c r="P140" s="107">
        <v>26110</v>
      </c>
      <c r="Q140" s="107">
        <v>166490415</v>
      </c>
      <c r="R140" s="102" t="s">
        <v>30</v>
      </c>
      <c r="S140" s="108"/>
      <c r="T140" s="109"/>
      <c r="U140" s="109"/>
      <c r="V140" s="102"/>
      <c r="W140" s="109"/>
      <c r="X140" s="109"/>
      <c r="Y140" s="110" t="s">
        <v>31</v>
      </c>
      <c r="Z140" s="111" t="str">
        <f>MID(E140,4,2)</f>
        <v>CA</v>
      </c>
    </row>
    <row r="141" spans="1:26" s="111" customFormat="1" x14ac:dyDescent="0.2">
      <c r="A141" s="101">
        <v>46237</v>
      </c>
      <c r="B141" s="91" t="s">
        <v>244</v>
      </c>
      <c r="C141" s="102" t="s">
        <v>245</v>
      </c>
      <c r="D141" s="103" t="s">
        <v>26</v>
      </c>
      <c r="E141" s="91" t="s">
        <v>246</v>
      </c>
      <c r="F141" s="91" t="s">
        <v>263</v>
      </c>
      <c r="G141" s="91" t="s">
        <v>204</v>
      </c>
      <c r="H141" s="104" t="str">
        <f t="shared" si="7"/>
        <v>F5132J20</v>
      </c>
      <c r="I141" s="104"/>
      <c r="J141" s="105">
        <v>10.9</v>
      </c>
      <c r="K141" s="106">
        <f>IF(D141="CAESARSTONE LTD",VLOOKUP(H141,'[2]GIA CA'!G:H,2,0),IF(OR(D141="STONE FACINGS LIMITED",D141="NORDIA SA",D141="INVICTUS STONE COUNTERTOPS INC",D141="QUARTZTOP LLC"),VLOOKUP(H141,'[2] Giá ngoài Mỹ - SI-GR'!$B$5:$AZ$84,51,0),IF(OR(D141="HYUNDAI L&amp;C CANADA INC",D141="Hyundai L&amp; C USA LLC"),VLOOKUP(H141,'[2]GIA HS'!A:D,4,0),IF(Y141="Mỹ",VLOOKUP(H141,'[2]giá mỹ từ 6.8.2025'!B:I,2,0),VLOOKUP(H141,'[2]giá ngoài mỹ 6.8.2025 (final)'!B:BP,51,0)))))</f>
        <v>62</v>
      </c>
      <c r="L141" s="106">
        <v>65.099999999999994</v>
      </c>
      <c r="M141" s="106">
        <f t="shared" ref="M141:M204" si="10">L141-K141</f>
        <v>3.0999999999999943</v>
      </c>
      <c r="N141" s="106">
        <v>65</v>
      </c>
      <c r="O141" s="107">
        <v>708.5</v>
      </c>
      <c r="P141" s="107">
        <v>26110</v>
      </c>
      <c r="Q141" s="107">
        <v>18498935</v>
      </c>
      <c r="R141" s="102" t="s">
        <v>30</v>
      </c>
      <c r="S141" s="108"/>
      <c r="T141" s="109"/>
      <c r="U141" s="109"/>
      <c r="V141" s="102"/>
      <c r="W141" s="109"/>
      <c r="X141" s="109"/>
      <c r="Y141" s="110" t="s">
        <v>31</v>
      </c>
      <c r="Z141" s="111" t="str">
        <f>MID(E141,4,2)</f>
        <v>CA</v>
      </c>
    </row>
    <row r="142" spans="1:26" s="111" customFormat="1" x14ac:dyDescent="0.2">
      <c r="A142" s="101">
        <v>46237</v>
      </c>
      <c r="B142" s="91" t="s">
        <v>264</v>
      </c>
      <c r="C142" s="102" t="s">
        <v>265</v>
      </c>
      <c r="D142" s="103" t="s">
        <v>26</v>
      </c>
      <c r="E142" s="91" t="s">
        <v>266</v>
      </c>
      <c r="F142" s="91" t="s">
        <v>70</v>
      </c>
      <c r="G142" s="91" t="s">
        <v>71</v>
      </c>
      <c r="H142" s="104" t="str">
        <f t="shared" ref="H142:H205" si="11">IF(LEN(G142)=13,LEFT(G142,5)&amp;MID(G142,SEARCH("-J",G142)+1,3),LEFT(G142,5)&amp;"J20")</f>
        <v>C5116J30</v>
      </c>
      <c r="I142" s="104"/>
      <c r="J142" s="105">
        <v>114.45</v>
      </c>
      <c r="K142" s="106">
        <f>IF(D142="CAESARSTONE LTD",VLOOKUP(H142,'[2]GIA CA'!G:H,2,0),IF(OR(D142="STONE FACINGS LIMITED",D142="NORDIA SA",D142="INVICTUS STONE COUNTERTOPS INC",D142="QUARTZTOP LLC"),VLOOKUP(H142,'[2] Giá ngoài Mỹ - SI-GR'!$B$5:$AZ$84,51,0),IF(OR(D142="HYUNDAI L&amp;C CANADA INC",D142="Hyundai L&amp; C USA LLC"),VLOOKUP(H142,'[2]GIA HS'!A:D,4,0),IF(Y142="Mỹ",VLOOKUP(H142,'[2]giá mỹ từ 6.8.2025'!B:I,2,0),VLOOKUP(H142,'[2]giá ngoài mỹ 6.8.2025 (final)'!B:BP,51,0)))))</f>
        <v>81.25</v>
      </c>
      <c r="L142" s="106">
        <v>85.3</v>
      </c>
      <c r="M142" s="106">
        <f t="shared" si="10"/>
        <v>4.0499999999999972</v>
      </c>
      <c r="N142" s="106">
        <v>85</v>
      </c>
      <c r="O142" s="107">
        <v>9728.25</v>
      </c>
      <c r="P142" s="107">
        <v>26110</v>
      </c>
      <c r="Q142" s="107">
        <v>254004608</v>
      </c>
      <c r="R142" s="102" t="s">
        <v>30</v>
      </c>
      <c r="S142" s="108"/>
      <c r="T142" s="109"/>
      <c r="U142" s="109"/>
      <c r="V142" s="102"/>
      <c r="W142" s="109"/>
      <c r="X142" s="109"/>
      <c r="Y142" s="110" t="s">
        <v>31</v>
      </c>
      <c r="Z142" s="111" t="str">
        <f>MID(E142,4,2)</f>
        <v>CA</v>
      </c>
    </row>
    <row r="143" spans="1:26" s="111" customFormat="1" x14ac:dyDescent="0.2">
      <c r="A143" s="101">
        <v>46237</v>
      </c>
      <c r="B143" s="91" t="s">
        <v>264</v>
      </c>
      <c r="C143" s="102" t="s">
        <v>265</v>
      </c>
      <c r="D143" s="103" t="s">
        <v>26</v>
      </c>
      <c r="E143" s="91" t="s">
        <v>266</v>
      </c>
      <c r="F143" s="91" t="s">
        <v>205</v>
      </c>
      <c r="G143" s="91" t="s">
        <v>206</v>
      </c>
      <c r="H143" s="104" t="str">
        <f t="shared" si="11"/>
        <v>F5141J20</v>
      </c>
      <c r="I143" s="104"/>
      <c r="J143" s="105">
        <v>163.5</v>
      </c>
      <c r="K143" s="106">
        <f>IF(D143="CAESARSTONE LTD",VLOOKUP(H143,'[2]GIA CA'!G:H,2,0),IF(OR(D143="STONE FACINGS LIMITED",D143="NORDIA SA",D143="INVICTUS STONE COUNTERTOPS INC",D143="QUARTZTOP LLC"),VLOOKUP(H143,'[2] Giá ngoài Mỹ - SI-GR'!$B$5:$AZ$84,51,0),IF(OR(D143="HYUNDAI L&amp;C CANADA INC",D143="Hyundai L&amp; C USA LLC"),VLOOKUP(H143,'[2]GIA HS'!A:D,4,0),IF(Y143="Mỹ",VLOOKUP(H143,'[2]giá mỹ từ 6.8.2025'!B:I,2,0),VLOOKUP(H143,'[2]giá ngoài mỹ 6.8.2025 (final)'!B:BP,51,0)))))</f>
        <v>58</v>
      </c>
      <c r="L143" s="106">
        <v>60.899000000000001</v>
      </c>
      <c r="M143" s="106">
        <f t="shared" si="10"/>
        <v>2.8990000000000009</v>
      </c>
      <c r="N143" s="106">
        <v>61</v>
      </c>
      <c r="O143" s="107">
        <v>9973.5</v>
      </c>
      <c r="P143" s="107">
        <v>26110</v>
      </c>
      <c r="Q143" s="107">
        <v>260408085</v>
      </c>
      <c r="R143" s="102" t="s">
        <v>30</v>
      </c>
      <c r="S143" s="108"/>
      <c r="T143" s="109"/>
      <c r="U143" s="109"/>
      <c r="V143" s="102"/>
      <c r="W143" s="109"/>
      <c r="X143" s="109"/>
      <c r="Y143" s="110" t="s">
        <v>31</v>
      </c>
      <c r="Z143" s="111" t="str">
        <f>MID(E143,4,2)</f>
        <v>CA</v>
      </c>
    </row>
    <row r="144" spans="1:26" s="111" customFormat="1" x14ac:dyDescent="0.2">
      <c r="A144" s="101">
        <v>46237</v>
      </c>
      <c r="B144" s="91" t="s">
        <v>264</v>
      </c>
      <c r="C144" s="102" t="s">
        <v>265</v>
      </c>
      <c r="D144" s="103" t="s">
        <v>26</v>
      </c>
      <c r="E144" s="91" t="s">
        <v>266</v>
      </c>
      <c r="F144" s="91" t="s">
        <v>239</v>
      </c>
      <c r="G144" s="91" t="s">
        <v>240</v>
      </c>
      <c r="H144" s="104" t="str">
        <f t="shared" si="11"/>
        <v>F5144J30</v>
      </c>
      <c r="I144" s="104"/>
      <c r="J144" s="105">
        <v>32.700000000000003</v>
      </c>
      <c r="K144" s="106">
        <f>IF(D144="CAESARSTONE LTD",VLOOKUP(H144,'[2]GIA CA'!G:H,2,0),IF(OR(D144="STONE FACINGS LIMITED",D144="NORDIA SA",D144="INVICTUS STONE COUNTERTOPS INC",D144="QUARTZTOP LLC"),VLOOKUP(H144,'[2] Giá ngoài Mỹ - SI-GR'!$B$5:$AZ$84,51,0),IF(OR(D144="HYUNDAI L&amp;C CANADA INC",D144="Hyundai L&amp; C USA LLC"),VLOOKUP(H144,'[2]GIA HS'!A:D,4,0),IF(Y144="Mỹ",VLOOKUP(H144,'[2]giá mỹ từ 6.8.2025'!B:I,2,0),VLOOKUP(H144,'[2]giá ngoài mỹ 6.8.2025 (final)'!B:BP,51,0)))))</f>
        <v>77.5</v>
      </c>
      <c r="L144" s="106">
        <v>81.399000000000001</v>
      </c>
      <c r="M144" s="106">
        <f t="shared" si="10"/>
        <v>3.8990000000000009</v>
      </c>
      <c r="N144" s="106">
        <v>81.349999999999994</v>
      </c>
      <c r="O144" s="107">
        <v>2660.07</v>
      </c>
      <c r="P144" s="107">
        <v>26110</v>
      </c>
      <c r="Q144" s="107">
        <v>69454428</v>
      </c>
      <c r="R144" s="102" t="s">
        <v>30</v>
      </c>
      <c r="S144" s="108"/>
      <c r="T144" s="109"/>
      <c r="U144" s="109"/>
      <c r="V144" s="102"/>
      <c r="W144" s="109"/>
      <c r="X144" s="109"/>
      <c r="Y144" s="110" t="s">
        <v>31</v>
      </c>
      <c r="Z144" s="111" t="str">
        <f>MID(E144,4,2)</f>
        <v>CA</v>
      </c>
    </row>
    <row r="145" spans="1:26" s="111" customFormat="1" x14ac:dyDescent="0.2">
      <c r="A145" s="101">
        <v>46237</v>
      </c>
      <c r="B145" s="91" t="s">
        <v>264</v>
      </c>
      <c r="C145" s="102" t="s">
        <v>265</v>
      </c>
      <c r="D145" s="103" t="s">
        <v>26</v>
      </c>
      <c r="E145" s="91" t="s">
        <v>266</v>
      </c>
      <c r="F145" s="91" t="s">
        <v>211</v>
      </c>
      <c r="G145" s="91" t="s">
        <v>212</v>
      </c>
      <c r="H145" s="104" t="str">
        <f t="shared" si="11"/>
        <v>F5444J30</v>
      </c>
      <c r="I145" s="104"/>
      <c r="J145" s="105">
        <v>76.3</v>
      </c>
      <c r="K145" s="106">
        <f>IF(D145="CAESARSTONE LTD",VLOOKUP(H145,'[2]GIA CA'!G:H,2,0),IF(OR(D145="STONE FACINGS LIMITED",D145="NORDIA SA",D145="INVICTUS STONE COUNTERTOPS INC",D145="QUARTZTOP LLC"),VLOOKUP(H145,'[2] Giá ngoài Mỹ - SI-GR'!$B$5:$AZ$84,51,0),IF(OR(D145="HYUNDAI L&amp;C CANADA INC",D145="Hyundai L&amp; C USA LLC"),VLOOKUP(H145,'[2]GIA HS'!A:D,4,0),IF(Y145="Mỹ",VLOOKUP(H145,'[2]giá mỹ từ 6.8.2025'!B:I,2,0),VLOOKUP(H145,'[2]giá ngoài mỹ 6.8.2025 (final)'!B:BP,51,0)))))</f>
        <v>92.5</v>
      </c>
      <c r="L145" s="106">
        <v>97.1</v>
      </c>
      <c r="M145" s="106">
        <f t="shared" si="10"/>
        <v>4.5999999999999943</v>
      </c>
      <c r="N145" s="106">
        <v>97</v>
      </c>
      <c r="O145" s="106">
        <v>7401.1</v>
      </c>
      <c r="P145" s="107">
        <v>26110</v>
      </c>
      <c r="Q145" s="107">
        <v>193242721</v>
      </c>
      <c r="R145" s="102" t="s">
        <v>30</v>
      </c>
      <c r="S145" s="108"/>
      <c r="T145" s="109"/>
      <c r="U145" s="109"/>
      <c r="V145" s="102"/>
      <c r="W145" s="109"/>
      <c r="X145" s="109"/>
      <c r="Y145" s="110" t="s">
        <v>31</v>
      </c>
      <c r="Z145" s="111" t="str">
        <f>MID(E145,4,2)</f>
        <v>CA</v>
      </c>
    </row>
    <row r="146" spans="1:26" s="111" customFormat="1" x14ac:dyDescent="0.2">
      <c r="A146" s="101">
        <v>46237</v>
      </c>
      <c r="B146" s="91" t="s">
        <v>267</v>
      </c>
      <c r="C146" s="102" t="s">
        <v>268</v>
      </c>
      <c r="D146" s="103" t="s">
        <v>26</v>
      </c>
      <c r="E146" s="91" t="s">
        <v>269</v>
      </c>
      <c r="F146" s="91" t="s">
        <v>257</v>
      </c>
      <c r="G146" s="91" t="s">
        <v>258</v>
      </c>
      <c r="H146" s="104" t="str">
        <f t="shared" si="11"/>
        <v>C4033J20</v>
      </c>
      <c r="I146" s="104"/>
      <c r="J146" s="105">
        <v>54.5</v>
      </c>
      <c r="K146" s="106">
        <f t="shared" ref="K146:K149" si="12">+L146</f>
        <v>59.9</v>
      </c>
      <c r="L146" s="106">
        <v>59.9</v>
      </c>
      <c r="M146" s="106">
        <f t="shared" si="10"/>
        <v>0</v>
      </c>
      <c r="N146" s="106">
        <v>60</v>
      </c>
      <c r="O146" s="106">
        <v>3270</v>
      </c>
      <c r="P146" s="107">
        <v>26110</v>
      </c>
      <c r="Q146" s="107">
        <v>85379700</v>
      </c>
      <c r="R146" s="102" t="s">
        <v>30</v>
      </c>
      <c r="S146" s="108"/>
      <c r="T146" s="109"/>
      <c r="U146" s="109"/>
      <c r="V146" s="102"/>
      <c r="W146" s="109"/>
      <c r="X146" s="109"/>
      <c r="Y146" s="110" t="s">
        <v>31</v>
      </c>
      <c r="Z146" s="111" t="str">
        <f>MID(E146,4,2)</f>
        <v>CA</v>
      </c>
    </row>
    <row r="147" spans="1:26" s="111" customFormat="1" x14ac:dyDescent="0.2">
      <c r="A147" s="101">
        <v>46237</v>
      </c>
      <c r="B147" s="91" t="s">
        <v>267</v>
      </c>
      <c r="C147" s="102" t="s">
        <v>268</v>
      </c>
      <c r="D147" s="103" t="s">
        <v>26</v>
      </c>
      <c r="E147" s="91" t="s">
        <v>269</v>
      </c>
      <c r="F147" s="91" t="s">
        <v>86</v>
      </c>
      <c r="G147" s="91" t="s">
        <v>87</v>
      </c>
      <c r="H147" s="104" t="str">
        <f t="shared" si="11"/>
        <v>C4033J30</v>
      </c>
      <c r="I147" s="104"/>
      <c r="J147" s="105">
        <v>152.6</v>
      </c>
      <c r="K147" s="106">
        <f t="shared" si="12"/>
        <v>74.8</v>
      </c>
      <c r="L147" s="106">
        <v>74.8</v>
      </c>
      <c r="M147" s="106">
        <f t="shared" si="10"/>
        <v>0</v>
      </c>
      <c r="N147" s="106">
        <v>75</v>
      </c>
      <c r="O147" s="106">
        <v>11445</v>
      </c>
      <c r="P147" s="107">
        <v>26110</v>
      </c>
      <c r="Q147" s="107">
        <v>298828950</v>
      </c>
      <c r="R147" s="102" t="s">
        <v>30</v>
      </c>
      <c r="S147" s="108"/>
      <c r="T147" s="109"/>
      <c r="U147" s="109"/>
      <c r="V147" s="102"/>
      <c r="W147" s="109"/>
      <c r="X147" s="109"/>
      <c r="Y147" s="110" t="s">
        <v>31</v>
      </c>
      <c r="Z147" s="111" t="str">
        <f>MID(E147,4,2)</f>
        <v>CA</v>
      </c>
    </row>
    <row r="148" spans="1:26" s="111" customFormat="1" x14ac:dyDescent="0.2">
      <c r="A148" s="101">
        <v>46237</v>
      </c>
      <c r="B148" s="91" t="s">
        <v>267</v>
      </c>
      <c r="C148" s="102" t="s">
        <v>268</v>
      </c>
      <c r="D148" s="103" t="s">
        <v>26</v>
      </c>
      <c r="E148" s="91" t="s">
        <v>269</v>
      </c>
      <c r="F148" s="91" t="s">
        <v>270</v>
      </c>
      <c r="G148" s="91" t="s">
        <v>271</v>
      </c>
      <c r="H148" s="104" t="str">
        <f t="shared" si="11"/>
        <v>F4044J20</v>
      </c>
      <c r="I148" s="104"/>
      <c r="J148" s="105">
        <v>38.15</v>
      </c>
      <c r="K148" s="106">
        <f t="shared" si="12"/>
        <v>63</v>
      </c>
      <c r="L148" s="106">
        <v>63</v>
      </c>
      <c r="M148" s="106">
        <f t="shared" si="10"/>
        <v>0</v>
      </c>
      <c r="N148" s="106">
        <v>63</v>
      </c>
      <c r="O148" s="107">
        <v>2403.4499999999998</v>
      </c>
      <c r="P148" s="107">
        <v>26110</v>
      </c>
      <c r="Q148" s="107">
        <v>62754080</v>
      </c>
      <c r="R148" s="102" t="s">
        <v>30</v>
      </c>
      <c r="S148" s="108"/>
      <c r="T148" s="109"/>
      <c r="U148" s="109"/>
      <c r="V148" s="102"/>
      <c r="W148" s="109"/>
      <c r="X148" s="109"/>
      <c r="Y148" s="110" t="s">
        <v>31</v>
      </c>
      <c r="Z148" s="111" t="str">
        <f>MID(E148,4,2)</f>
        <v>CA</v>
      </c>
    </row>
    <row r="149" spans="1:26" s="111" customFormat="1" x14ac:dyDescent="0.2">
      <c r="A149" s="101">
        <v>46237</v>
      </c>
      <c r="B149" s="91" t="s">
        <v>267</v>
      </c>
      <c r="C149" s="102" t="s">
        <v>268</v>
      </c>
      <c r="D149" s="103" t="s">
        <v>26</v>
      </c>
      <c r="E149" s="91" t="s">
        <v>269</v>
      </c>
      <c r="F149" s="91" t="s">
        <v>34</v>
      </c>
      <c r="G149" s="91" t="s">
        <v>35</v>
      </c>
      <c r="H149" s="104" t="str">
        <f t="shared" si="11"/>
        <v>F5003J20</v>
      </c>
      <c r="I149" s="104"/>
      <c r="J149" s="105">
        <v>109</v>
      </c>
      <c r="K149" s="106">
        <f t="shared" si="12"/>
        <v>63</v>
      </c>
      <c r="L149" s="106">
        <v>63</v>
      </c>
      <c r="M149" s="106">
        <f t="shared" si="10"/>
        <v>0</v>
      </c>
      <c r="N149" s="106">
        <v>62.49</v>
      </c>
      <c r="O149" s="106">
        <v>6811.55</v>
      </c>
      <c r="P149" s="107">
        <v>26110</v>
      </c>
      <c r="Q149" s="107">
        <v>177849571</v>
      </c>
      <c r="R149" s="102" t="s">
        <v>30</v>
      </c>
      <c r="S149" s="108"/>
      <c r="T149" s="109"/>
      <c r="U149" s="109"/>
      <c r="V149" s="102"/>
      <c r="W149" s="109"/>
      <c r="X149" s="109"/>
      <c r="Y149" s="110" t="s">
        <v>31</v>
      </c>
      <c r="Z149" s="111" t="str">
        <f>MID(E149,4,2)</f>
        <v>CA</v>
      </c>
    </row>
    <row r="150" spans="1:26" s="111" customFormat="1" x14ac:dyDescent="0.2">
      <c r="A150" s="101">
        <v>46237</v>
      </c>
      <c r="B150" s="91" t="s">
        <v>267</v>
      </c>
      <c r="C150" s="102" t="s">
        <v>268</v>
      </c>
      <c r="D150" s="103" t="s">
        <v>26</v>
      </c>
      <c r="E150" s="91" t="s">
        <v>269</v>
      </c>
      <c r="F150" s="91" t="s">
        <v>272</v>
      </c>
      <c r="G150" s="91" t="s">
        <v>273</v>
      </c>
      <c r="H150" s="104" t="str">
        <f t="shared" si="11"/>
        <v>F6313J20</v>
      </c>
      <c r="I150" s="104"/>
      <c r="J150" s="105">
        <v>21.8</v>
      </c>
      <c r="K150" s="106">
        <f>IF(D150="CAESARSTONE LTD",VLOOKUP(H150,'[2]GIA CA'!G:H,2,0),IF(OR(D150="STONE FACINGS LIMITED",D150="NORDIA SA",D150="INVICTUS STONE COUNTERTOPS INC",D150="QUARTZTOP LLC"),VLOOKUP(H150,'[2] Giá ngoài Mỹ - SI-GR'!$B$5:$AZ$84,51,0),IF(OR(D150="HYUNDAI L&amp;C CANADA INC",D150="Hyundai L&amp; C USA LLC"),VLOOKUP(H150,'[2]GIA HS'!A:D,4,0),IF(Y150="Mỹ",VLOOKUP(H150,'[2]giá mỹ từ 6.8.2025'!B:I,2,0),VLOOKUP(H150,'[2]giá ngoài mỹ 6.8.2025 (final)'!B:BP,51,0)))))</f>
        <v>62</v>
      </c>
      <c r="L150" s="106">
        <v>65.099999999999994</v>
      </c>
      <c r="M150" s="106">
        <f t="shared" si="10"/>
        <v>3.0999999999999943</v>
      </c>
      <c r="N150" s="106">
        <v>65</v>
      </c>
      <c r="O150" s="106">
        <v>1417</v>
      </c>
      <c r="P150" s="107">
        <v>26110</v>
      </c>
      <c r="Q150" s="107">
        <v>36997870</v>
      </c>
      <c r="R150" s="102" t="s">
        <v>30</v>
      </c>
      <c r="S150" s="108"/>
      <c r="T150" s="109"/>
      <c r="U150" s="109"/>
      <c r="V150" s="102"/>
      <c r="W150" s="109"/>
      <c r="X150" s="109"/>
      <c r="Y150" s="110" t="s">
        <v>31</v>
      </c>
      <c r="Z150" s="111" t="str">
        <f>MID(E150,4,2)</f>
        <v>CA</v>
      </c>
    </row>
    <row r="151" spans="1:26" s="111" customFormat="1" x14ac:dyDescent="0.2">
      <c r="A151" s="101">
        <v>46237</v>
      </c>
      <c r="B151" s="91" t="s">
        <v>267</v>
      </c>
      <c r="C151" s="102" t="s">
        <v>268</v>
      </c>
      <c r="D151" s="103" t="s">
        <v>26</v>
      </c>
      <c r="E151" s="91" t="s">
        <v>269</v>
      </c>
      <c r="F151" s="91" t="s">
        <v>274</v>
      </c>
      <c r="G151" s="91" t="s">
        <v>273</v>
      </c>
      <c r="H151" s="104" t="str">
        <f t="shared" si="11"/>
        <v>F6313J20</v>
      </c>
      <c r="I151" s="104"/>
      <c r="J151" s="105">
        <v>32.700000000000003</v>
      </c>
      <c r="K151" s="106">
        <f>IF(D151="CAESARSTONE LTD",VLOOKUP(H151,'[2]GIA CA'!G:H,2,0),IF(OR(D151="STONE FACINGS LIMITED",D151="NORDIA SA",D151="INVICTUS STONE COUNTERTOPS INC",D151="QUARTZTOP LLC"),VLOOKUP(H151,'[2] Giá ngoài Mỹ - SI-GR'!$B$5:$AZ$84,51,0),IF(OR(D151="HYUNDAI L&amp;C CANADA INC",D151="Hyundai L&amp; C USA LLC"),VLOOKUP(H151,'[2]GIA HS'!A:D,4,0),IF(Y151="Mỹ",VLOOKUP(H151,'[2]giá mỹ từ 6.8.2025'!B:I,2,0),VLOOKUP(H151,'[2]giá ngoài mỹ 6.8.2025 (final)'!B:BP,51,0)))))</f>
        <v>62</v>
      </c>
      <c r="L151" s="106">
        <v>65.099999999999994</v>
      </c>
      <c r="M151" s="106">
        <f t="shared" si="10"/>
        <v>3.0999999999999943</v>
      </c>
      <c r="N151" s="106">
        <v>65</v>
      </c>
      <c r="O151" s="107">
        <v>2125.5</v>
      </c>
      <c r="P151" s="107">
        <v>26110</v>
      </c>
      <c r="Q151" s="107">
        <v>55496805</v>
      </c>
      <c r="R151" s="102" t="s">
        <v>30</v>
      </c>
      <c r="S151" s="108"/>
      <c r="T151" s="109"/>
      <c r="U151" s="109"/>
      <c r="V151" s="102"/>
      <c r="W151" s="109"/>
      <c r="X151" s="109"/>
      <c r="Y151" s="110" t="s">
        <v>31</v>
      </c>
      <c r="Z151" s="111" t="str">
        <f>MID(E151,4,2)</f>
        <v>CA</v>
      </c>
    </row>
    <row r="152" spans="1:26" s="111" customFormat="1" x14ac:dyDescent="0.2">
      <c r="A152" s="101">
        <v>46237</v>
      </c>
      <c r="B152" s="91" t="s">
        <v>275</v>
      </c>
      <c r="C152" s="102" t="s">
        <v>276</v>
      </c>
      <c r="D152" s="103" t="s">
        <v>26</v>
      </c>
      <c r="E152" s="91" t="s">
        <v>277</v>
      </c>
      <c r="F152" s="91" t="s">
        <v>278</v>
      </c>
      <c r="G152" s="91" t="s">
        <v>71</v>
      </c>
      <c r="H152" s="104" t="str">
        <f t="shared" si="11"/>
        <v>C5116J30</v>
      </c>
      <c r="I152" s="104"/>
      <c r="J152" s="105">
        <v>76.3</v>
      </c>
      <c r="K152" s="106">
        <f>IF(D152="CAESARSTONE LTD",VLOOKUP(H152,'[2]GIA CA'!G:H,2,0),IF(OR(D152="STONE FACINGS LIMITED",D152="NORDIA SA",D152="INVICTUS STONE COUNTERTOPS INC",D152="QUARTZTOP LLC"),VLOOKUP(H152,'[2] Giá ngoài Mỹ - SI-GR'!$B$5:$AZ$84,51,0),IF(OR(D152="HYUNDAI L&amp;C CANADA INC",D152="Hyundai L&amp; C USA LLC"),VLOOKUP(H152,'[2]GIA HS'!A:D,4,0),IF(Y152="Mỹ",VLOOKUP(H152,'[2]giá mỹ từ 6.8.2025'!B:I,2,0),VLOOKUP(H152,'[2]giá ngoài mỹ 6.8.2025 (final)'!B:BP,51,0)))))</f>
        <v>81.25</v>
      </c>
      <c r="L152" s="106">
        <v>85.3</v>
      </c>
      <c r="M152" s="106">
        <f t="shared" si="10"/>
        <v>4.0499999999999972</v>
      </c>
      <c r="N152" s="106">
        <v>85</v>
      </c>
      <c r="O152" s="106">
        <v>6485.5</v>
      </c>
      <c r="P152" s="107">
        <v>26110</v>
      </c>
      <c r="Q152" s="107">
        <v>169336405</v>
      </c>
      <c r="R152" s="102" t="s">
        <v>30</v>
      </c>
      <c r="S152" s="108"/>
      <c r="T152" s="109"/>
      <c r="U152" s="109"/>
      <c r="V152" s="102"/>
      <c r="W152" s="109"/>
      <c r="X152" s="109"/>
      <c r="Y152" s="110" t="s">
        <v>31</v>
      </c>
      <c r="Z152" s="111" t="str">
        <f>MID(E152,4,2)</f>
        <v>CA</v>
      </c>
    </row>
    <row r="153" spans="1:26" s="111" customFormat="1" x14ac:dyDescent="0.2">
      <c r="A153" s="101">
        <v>46237</v>
      </c>
      <c r="B153" s="91" t="s">
        <v>275</v>
      </c>
      <c r="C153" s="102" t="s">
        <v>276</v>
      </c>
      <c r="D153" s="103" t="s">
        <v>26</v>
      </c>
      <c r="E153" s="91" t="s">
        <v>277</v>
      </c>
      <c r="F153" s="91" t="s">
        <v>77</v>
      </c>
      <c r="G153" s="91" t="s">
        <v>78</v>
      </c>
      <c r="H153" s="104" t="str">
        <f t="shared" si="11"/>
        <v>C5212J30</v>
      </c>
      <c r="I153" s="104"/>
      <c r="J153" s="105">
        <v>76.3</v>
      </c>
      <c r="K153" s="106">
        <f>IF(D153="CAESARSTONE LTD",VLOOKUP(H153,'[2]GIA CA'!G:H,2,0),IF(OR(D153="STONE FACINGS LIMITED",D153="NORDIA SA",D153="INVICTUS STONE COUNTERTOPS INC",D153="QUARTZTOP LLC"),VLOOKUP(H153,'[2] Giá ngoài Mỹ - SI-GR'!$B$5:$AZ$84,51,0),IF(OR(D153="HYUNDAI L&amp;C CANADA INC",D153="Hyundai L&amp; C USA LLC"),VLOOKUP(H153,'[2]GIA HS'!A:D,4,0),IF(Y153="Mỹ",VLOOKUP(H153,'[2]giá mỹ từ 6.8.2025'!B:I,2,0),VLOOKUP(H153,'[2]giá ngoài mỹ 6.8.2025 (final)'!B:BP,51,0)))))</f>
        <v>73.75</v>
      </c>
      <c r="L153" s="106">
        <v>77.400000000000006</v>
      </c>
      <c r="M153" s="106">
        <f t="shared" si="10"/>
        <v>3.6500000000000057</v>
      </c>
      <c r="N153" s="106">
        <v>77</v>
      </c>
      <c r="O153" s="107">
        <v>5875.1</v>
      </c>
      <c r="P153" s="107">
        <v>26110</v>
      </c>
      <c r="Q153" s="107">
        <v>153398861</v>
      </c>
      <c r="R153" s="102" t="s">
        <v>30</v>
      </c>
      <c r="S153" s="108"/>
      <c r="T153" s="109"/>
      <c r="U153" s="109"/>
      <c r="V153" s="102"/>
      <c r="W153" s="109"/>
      <c r="X153" s="109"/>
      <c r="Y153" s="110" t="s">
        <v>31</v>
      </c>
      <c r="Z153" s="111" t="str">
        <f>MID(E153,4,2)</f>
        <v>CA</v>
      </c>
    </row>
    <row r="154" spans="1:26" s="111" customFormat="1" x14ac:dyDescent="0.2">
      <c r="A154" s="101">
        <v>46237</v>
      </c>
      <c r="B154" s="91" t="s">
        <v>275</v>
      </c>
      <c r="C154" s="102" t="s">
        <v>276</v>
      </c>
      <c r="D154" s="103" t="s">
        <v>26</v>
      </c>
      <c r="E154" s="91" t="s">
        <v>277</v>
      </c>
      <c r="F154" s="91" t="s">
        <v>279</v>
      </c>
      <c r="G154" s="91" t="s">
        <v>280</v>
      </c>
      <c r="H154" s="104" t="str">
        <f t="shared" si="11"/>
        <v>F4011J30</v>
      </c>
      <c r="I154" s="104"/>
      <c r="J154" s="105">
        <v>54.5</v>
      </c>
      <c r="K154" s="106">
        <f t="shared" ref="K154:K155" si="13">+L154</f>
        <v>78.8</v>
      </c>
      <c r="L154" s="106">
        <v>78.8</v>
      </c>
      <c r="M154" s="106">
        <f t="shared" si="10"/>
        <v>0</v>
      </c>
      <c r="N154" s="106">
        <v>79.53</v>
      </c>
      <c r="O154" s="107">
        <v>4334.17</v>
      </c>
      <c r="P154" s="107">
        <v>26110</v>
      </c>
      <c r="Q154" s="107">
        <v>113165179</v>
      </c>
      <c r="R154" s="102" t="s">
        <v>30</v>
      </c>
      <c r="S154" s="108"/>
      <c r="T154" s="109"/>
      <c r="U154" s="109"/>
      <c r="V154" s="102"/>
      <c r="W154" s="109"/>
      <c r="X154" s="109"/>
      <c r="Y154" s="110" t="s">
        <v>31</v>
      </c>
      <c r="Z154" s="111" t="str">
        <f>MID(E154,4,2)</f>
        <v>CA</v>
      </c>
    </row>
    <row r="155" spans="1:26" s="111" customFormat="1" x14ac:dyDescent="0.2">
      <c r="A155" s="101">
        <v>46237</v>
      </c>
      <c r="B155" s="91" t="s">
        <v>275</v>
      </c>
      <c r="C155" s="102" t="s">
        <v>276</v>
      </c>
      <c r="D155" s="103" t="s">
        <v>26</v>
      </c>
      <c r="E155" s="91" t="s">
        <v>277</v>
      </c>
      <c r="F155" s="91" t="s">
        <v>281</v>
      </c>
      <c r="G155" s="91" t="s">
        <v>280</v>
      </c>
      <c r="H155" s="104" t="str">
        <f t="shared" si="11"/>
        <v>F4011J30</v>
      </c>
      <c r="I155" s="104"/>
      <c r="J155" s="105">
        <v>21.8</v>
      </c>
      <c r="K155" s="106">
        <f t="shared" si="13"/>
        <v>78.8</v>
      </c>
      <c r="L155" s="106">
        <v>78.8</v>
      </c>
      <c r="M155" s="106">
        <f t="shared" si="10"/>
        <v>0</v>
      </c>
      <c r="N155" s="106">
        <v>79.53</v>
      </c>
      <c r="O155" s="107">
        <v>1733.67</v>
      </c>
      <c r="P155" s="107">
        <v>26110</v>
      </c>
      <c r="Q155" s="107">
        <v>45266124</v>
      </c>
      <c r="R155" s="102" t="s">
        <v>30</v>
      </c>
      <c r="S155" s="108"/>
      <c r="T155" s="109"/>
      <c r="U155" s="109"/>
      <c r="V155" s="102"/>
      <c r="W155" s="109"/>
      <c r="X155" s="109"/>
      <c r="Y155" s="110" t="s">
        <v>31</v>
      </c>
      <c r="Z155" s="111" t="str">
        <f>MID(E155,4,2)</f>
        <v>CA</v>
      </c>
    </row>
    <row r="156" spans="1:26" s="111" customFormat="1" x14ac:dyDescent="0.2">
      <c r="A156" s="101">
        <v>46237</v>
      </c>
      <c r="B156" s="91" t="s">
        <v>275</v>
      </c>
      <c r="C156" s="102" t="s">
        <v>276</v>
      </c>
      <c r="D156" s="103" t="s">
        <v>26</v>
      </c>
      <c r="E156" s="91" t="s">
        <v>277</v>
      </c>
      <c r="F156" s="91" t="s">
        <v>282</v>
      </c>
      <c r="G156" s="91" t="s">
        <v>283</v>
      </c>
      <c r="H156" s="104" t="str">
        <f t="shared" si="11"/>
        <v>F5100J20</v>
      </c>
      <c r="I156" s="104"/>
      <c r="J156" s="105">
        <v>16.350000000000001</v>
      </c>
      <c r="K156" s="106">
        <f>IF(D156="CAESARSTONE LTD",VLOOKUP(H156,'[2]GIA CA'!G:H,2,0),IF(OR(D156="STONE FACINGS LIMITED",D156="NORDIA SA",D156="INVICTUS STONE COUNTERTOPS INC",D156="QUARTZTOP LLC"),VLOOKUP(H156,'[2] Giá ngoài Mỹ - SI-GR'!$B$5:$AZ$84,51,0),IF(OR(D156="HYUNDAI L&amp;C CANADA INC",D156="Hyundai L&amp; C USA LLC"),VLOOKUP(H156,'[2]GIA HS'!A:D,4,0),IF(Y156="Mỹ",VLOOKUP(H156,'[2]giá mỹ từ 6.8.2025'!B:I,2,0),VLOOKUP(H156,'[2]giá ngoài mỹ 6.8.2025 (final)'!B:BP,51,0)))))</f>
        <v>62</v>
      </c>
      <c r="L156" s="106">
        <v>65.099999999999994</v>
      </c>
      <c r="M156" s="106">
        <f t="shared" si="10"/>
        <v>3.0999999999999943</v>
      </c>
      <c r="N156" s="106">
        <v>65</v>
      </c>
      <c r="O156" s="107">
        <v>1062.75</v>
      </c>
      <c r="P156" s="107">
        <v>26110</v>
      </c>
      <c r="Q156" s="107">
        <v>27748403</v>
      </c>
      <c r="R156" s="102" t="s">
        <v>30</v>
      </c>
      <c r="S156" s="108"/>
      <c r="T156" s="109"/>
      <c r="U156" s="109"/>
      <c r="V156" s="102"/>
      <c r="W156" s="109"/>
      <c r="X156" s="109"/>
      <c r="Y156" s="110" t="s">
        <v>31</v>
      </c>
      <c r="Z156" s="111" t="str">
        <f>MID(E156,4,2)</f>
        <v>CA</v>
      </c>
    </row>
    <row r="157" spans="1:26" s="111" customFormat="1" x14ac:dyDescent="0.2">
      <c r="A157" s="101">
        <v>46237</v>
      </c>
      <c r="B157" s="91" t="s">
        <v>275</v>
      </c>
      <c r="C157" s="102" t="s">
        <v>276</v>
      </c>
      <c r="D157" s="103" t="s">
        <v>26</v>
      </c>
      <c r="E157" s="91" t="s">
        <v>277</v>
      </c>
      <c r="F157" s="91" t="s">
        <v>284</v>
      </c>
      <c r="G157" s="91" t="s">
        <v>283</v>
      </c>
      <c r="H157" s="104" t="str">
        <f t="shared" si="11"/>
        <v>F5100J20</v>
      </c>
      <c r="I157" s="104"/>
      <c r="J157" s="105">
        <v>38.15</v>
      </c>
      <c r="K157" s="106">
        <f>IF(D157="CAESARSTONE LTD",VLOOKUP(H157,'[2]GIA CA'!G:H,2,0),IF(OR(D157="STONE FACINGS LIMITED",D157="NORDIA SA",D157="INVICTUS STONE COUNTERTOPS INC",D157="QUARTZTOP LLC"),VLOOKUP(H157,'[2] Giá ngoài Mỹ - SI-GR'!$B$5:$AZ$84,51,0),IF(OR(D157="HYUNDAI L&amp;C CANADA INC",D157="Hyundai L&amp; C USA LLC"),VLOOKUP(H157,'[2]GIA HS'!A:D,4,0),IF(Y157="Mỹ",VLOOKUP(H157,'[2]giá mỹ từ 6.8.2025'!B:I,2,0),VLOOKUP(H157,'[2]giá ngoài mỹ 6.8.2025 (final)'!B:BP,51,0)))))</f>
        <v>62</v>
      </c>
      <c r="L157" s="106">
        <v>65.099999999999994</v>
      </c>
      <c r="M157" s="106">
        <f t="shared" si="10"/>
        <v>3.0999999999999943</v>
      </c>
      <c r="N157" s="106">
        <v>65</v>
      </c>
      <c r="O157" s="107">
        <v>2479.75</v>
      </c>
      <c r="P157" s="107">
        <v>26110</v>
      </c>
      <c r="Q157" s="107">
        <v>64746273</v>
      </c>
      <c r="R157" s="102" t="s">
        <v>30</v>
      </c>
      <c r="S157" s="108"/>
      <c r="T157" s="109"/>
      <c r="U157" s="109"/>
      <c r="V157" s="102"/>
      <c r="W157" s="109"/>
      <c r="X157" s="109"/>
      <c r="Y157" s="110" t="s">
        <v>31</v>
      </c>
      <c r="Z157" s="111" t="str">
        <f>MID(E157,4,2)</f>
        <v>CA</v>
      </c>
    </row>
    <row r="158" spans="1:26" s="111" customFormat="1" x14ac:dyDescent="0.2">
      <c r="A158" s="101">
        <v>46237</v>
      </c>
      <c r="B158" s="91" t="s">
        <v>275</v>
      </c>
      <c r="C158" s="102" t="s">
        <v>276</v>
      </c>
      <c r="D158" s="103" t="s">
        <v>26</v>
      </c>
      <c r="E158" s="91" t="s">
        <v>277</v>
      </c>
      <c r="F158" s="91" t="s">
        <v>36</v>
      </c>
      <c r="G158" s="91" t="s">
        <v>37</v>
      </c>
      <c r="H158" s="104" t="str">
        <f t="shared" si="11"/>
        <v>F5105J30</v>
      </c>
      <c r="I158" s="104"/>
      <c r="J158" s="105">
        <v>76.3</v>
      </c>
      <c r="K158" s="106">
        <f>IF(D158="CAESARSTONE LTD",VLOOKUP(H158,'[2]GIA CA'!G:H,2,0),IF(OR(D158="STONE FACINGS LIMITED",D158="NORDIA SA",D158="INVICTUS STONE COUNTERTOPS INC",D158="QUARTZTOP LLC"),VLOOKUP(H158,'[2] Giá ngoài Mỹ - SI-GR'!$B$5:$AZ$84,51,0),IF(OR(D158="HYUNDAI L&amp;C CANADA INC",D158="Hyundai L&amp; C USA LLC"),VLOOKUP(H158,'[2]GIA HS'!A:D,4,0),IF(Y158="Mỹ",VLOOKUP(H158,'[2]giá mỹ từ 6.8.2025'!B:I,2,0),VLOOKUP(H158,'[2]giá ngoài mỹ 6.8.2025 (final)'!B:BP,51,0)))))</f>
        <v>85</v>
      </c>
      <c r="L158" s="106">
        <v>89.3</v>
      </c>
      <c r="M158" s="106">
        <f t="shared" si="10"/>
        <v>4.2999999999999972</v>
      </c>
      <c r="N158" s="106">
        <v>89</v>
      </c>
      <c r="O158" s="106">
        <v>6790.7</v>
      </c>
      <c r="P158" s="107">
        <v>26110</v>
      </c>
      <c r="Q158" s="107">
        <v>177305177</v>
      </c>
      <c r="R158" s="102" t="s">
        <v>30</v>
      </c>
      <c r="S158" s="108"/>
      <c r="T158" s="109"/>
      <c r="U158" s="109"/>
      <c r="V158" s="102"/>
      <c r="W158" s="109"/>
      <c r="X158" s="109"/>
      <c r="Y158" s="110" t="s">
        <v>31</v>
      </c>
      <c r="Z158" s="111" t="str">
        <f>MID(E158,4,2)</f>
        <v>CA</v>
      </c>
    </row>
    <row r="159" spans="1:26" s="111" customFormat="1" x14ac:dyDescent="0.2">
      <c r="A159" s="101">
        <v>46237</v>
      </c>
      <c r="B159" s="91" t="s">
        <v>285</v>
      </c>
      <c r="C159" s="102" t="s">
        <v>286</v>
      </c>
      <c r="D159" s="103" t="s">
        <v>26</v>
      </c>
      <c r="E159" s="91" t="s">
        <v>287</v>
      </c>
      <c r="F159" s="91" t="s">
        <v>288</v>
      </c>
      <c r="G159" s="91" t="s">
        <v>289</v>
      </c>
      <c r="H159" s="104" t="str">
        <f t="shared" si="11"/>
        <v>F4044J20</v>
      </c>
      <c r="I159" s="104"/>
      <c r="J159" s="105">
        <v>1.47</v>
      </c>
      <c r="K159" s="106"/>
      <c r="L159" s="106">
        <v>0</v>
      </c>
      <c r="M159" s="106">
        <f t="shared" si="10"/>
        <v>0</v>
      </c>
      <c r="N159" s="106">
        <v>95</v>
      </c>
      <c r="O159" s="107">
        <v>139.65</v>
      </c>
      <c r="P159" s="107">
        <v>26110</v>
      </c>
      <c r="Q159" s="107">
        <v>3646262</v>
      </c>
      <c r="R159" s="102"/>
      <c r="S159" s="108"/>
      <c r="T159" s="109"/>
      <c r="U159" s="109" t="s">
        <v>30</v>
      </c>
      <c r="V159" s="102"/>
      <c r="W159" s="109"/>
      <c r="X159" s="109"/>
      <c r="Y159" s="110" t="s">
        <v>290</v>
      </c>
      <c r="Z159" s="111" t="str">
        <f>MID(E159,4,2)</f>
        <v>CA</v>
      </c>
    </row>
    <row r="160" spans="1:26" s="111" customFormat="1" x14ac:dyDescent="0.2">
      <c r="A160" s="101">
        <v>46237</v>
      </c>
      <c r="B160" s="91" t="s">
        <v>285</v>
      </c>
      <c r="C160" s="102" t="s">
        <v>286</v>
      </c>
      <c r="D160" s="103" t="s">
        <v>26</v>
      </c>
      <c r="E160" s="91" t="s">
        <v>287</v>
      </c>
      <c r="F160" s="91" t="s">
        <v>291</v>
      </c>
      <c r="G160" s="91" t="s">
        <v>292</v>
      </c>
      <c r="H160" s="104" t="str">
        <f t="shared" si="11"/>
        <v>F5133J20</v>
      </c>
      <c r="I160" s="104"/>
      <c r="J160" s="105">
        <v>479.6</v>
      </c>
      <c r="K160" s="106">
        <f>IF(D160="CAESARSTONE LTD",VLOOKUP(H160,'[2]GIA CA'!G:H,2,0),IF(OR(D160="STONE FACINGS LIMITED",D160="NORDIA SA",D160="INVICTUS STONE COUNTERTOPS INC",D160="QUARTZTOP LLC"),VLOOKUP(H160,'[2] Giá ngoài Mỹ - SI-GR'!$B$5:$AZ$84,51,0),IF(OR(D160="HYUNDAI L&amp;C CANADA INC",D160="Hyundai L&amp; C USA LLC"),VLOOKUP(H160,'[2]GIA HS'!A:D,4,0),IF(Y160="Mỹ",VLOOKUP(H160,'[2]giá mỹ từ 6.8.2025'!B:I,2,0),VLOOKUP(H160,'[2]giá ngoài mỹ 6.8.2025 (final)'!B:BP,51,0)))))</f>
        <v>62</v>
      </c>
      <c r="L160" s="106">
        <v>65.040000000000006</v>
      </c>
      <c r="M160" s="106">
        <f t="shared" si="10"/>
        <v>3.0400000000000063</v>
      </c>
      <c r="N160" s="106">
        <v>65.040000000000006</v>
      </c>
      <c r="O160" s="107">
        <v>31193.71</v>
      </c>
      <c r="P160" s="107">
        <v>26110</v>
      </c>
      <c r="Q160" s="107">
        <v>814467768</v>
      </c>
      <c r="R160" s="102" t="s">
        <v>30</v>
      </c>
      <c r="S160" s="108"/>
      <c r="T160" s="109"/>
      <c r="U160" s="109"/>
      <c r="V160" s="102"/>
      <c r="W160" s="109"/>
      <c r="X160" s="109"/>
      <c r="Y160" s="110" t="s">
        <v>290</v>
      </c>
      <c r="Z160" s="111" t="str">
        <f>MID(E160,4,2)</f>
        <v>CA</v>
      </c>
    </row>
    <row r="161" spans="1:26" s="111" customFormat="1" x14ac:dyDescent="0.2">
      <c r="A161" s="101">
        <v>46237</v>
      </c>
      <c r="B161" s="91" t="s">
        <v>293</v>
      </c>
      <c r="C161" s="102" t="s">
        <v>294</v>
      </c>
      <c r="D161" s="103" t="s">
        <v>26</v>
      </c>
      <c r="E161" s="91" t="s">
        <v>295</v>
      </c>
      <c r="F161" s="91" t="s">
        <v>296</v>
      </c>
      <c r="G161" s="91" t="s">
        <v>297</v>
      </c>
      <c r="H161" s="104" t="str">
        <f t="shared" si="11"/>
        <v>F5130J20</v>
      </c>
      <c r="I161" s="104"/>
      <c r="J161" s="105">
        <v>479.6</v>
      </c>
      <c r="K161" s="106">
        <f>IF(D161="CAESARSTONE LTD",VLOOKUP(H161,'[2]GIA CA'!G:H,2,0),IF(OR(D161="STONE FACINGS LIMITED",D161="NORDIA SA",D161="INVICTUS STONE COUNTERTOPS INC",D161="QUARTZTOP LLC"),VLOOKUP(H161,'[2] Giá ngoài Mỹ - SI-GR'!$B$5:$AZ$84,51,0),IF(OR(D161="HYUNDAI L&amp;C CANADA INC",D161="Hyundai L&amp; C USA LLC"),VLOOKUP(H161,'[2]GIA HS'!A:D,4,0),IF(Y161="Mỹ",VLOOKUP(H161,'[2]giá mỹ từ 6.8.2025'!B:I,2,0),VLOOKUP(H161,'[2]giá ngoài mỹ 6.8.2025 (final)'!B:BP,51,0)))))</f>
        <v>62</v>
      </c>
      <c r="L161" s="106">
        <v>65</v>
      </c>
      <c r="M161" s="106">
        <f t="shared" si="10"/>
        <v>3</v>
      </c>
      <c r="N161" s="106">
        <v>65.040000000000006</v>
      </c>
      <c r="O161" s="107">
        <v>31193.360000000001</v>
      </c>
      <c r="P161" s="107">
        <v>26110</v>
      </c>
      <c r="Q161" s="107">
        <v>814458630</v>
      </c>
      <c r="R161" s="102" t="s">
        <v>30</v>
      </c>
      <c r="S161" s="108"/>
      <c r="T161" s="109"/>
      <c r="U161" s="109"/>
      <c r="V161" s="102"/>
      <c r="W161" s="109"/>
      <c r="X161" s="109"/>
      <c r="Y161" s="110" t="s">
        <v>290</v>
      </c>
      <c r="Z161" s="111" t="str">
        <f>MID(E161,4,2)</f>
        <v>CA</v>
      </c>
    </row>
    <row r="162" spans="1:26" s="111" customFormat="1" x14ac:dyDescent="0.2">
      <c r="A162" s="101">
        <v>46237</v>
      </c>
      <c r="B162" s="91" t="s">
        <v>293</v>
      </c>
      <c r="C162" s="102" t="s">
        <v>294</v>
      </c>
      <c r="D162" s="103" t="s">
        <v>26</v>
      </c>
      <c r="E162" s="91" t="s">
        <v>295</v>
      </c>
      <c r="F162" s="91" t="s">
        <v>296</v>
      </c>
      <c r="G162" s="91" t="s">
        <v>297</v>
      </c>
      <c r="H162" s="104" t="str">
        <f t="shared" si="11"/>
        <v>F5130J20</v>
      </c>
      <c r="I162" s="104"/>
      <c r="J162" s="105">
        <v>479.6</v>
      </c>
      <c r="K162" s="106">
        <f>IF(D162="CAESARSTONE LTD",VLOOKUP(H162,'[2]GIA CA'!G:H,2,0),IF(OR(D162="STONE FACINGS LIMITED",D162="NORDIA SA",D162="INVICTUS STONE COUNTERTOPS INC",D162="QUARTZTOP LLC"),VLOOKUP(H162,'[2] Giá ngoài Mỹ - SI-GR'!$B$5:$AZ$84,51,0),IF(OR(D162="HYUNDAI L&amp;C CANADA INC",D162="Hyundai L&amp; C USA LLC"),VLOOKUP(H162,'[2]GIA HS'!A:D,4,0),IF(Y162="Mỹ",VLOOKUP(H162,'[2]giá mỹ từ 6.8.2025'!B:I,2,0),VLOOKUP(H162,'[2]giá ngoài mỹ 6.8.2025 (final)'!B:BP,51,0)))))</f>
        <v>62</v>
      </c>
      <c r="L162" s="106">
        <v>65</v>
      </c>
      <c r="M162" s="106">
        <f t="shared" si="10"/>
        <v>3</v>
      </c>
      <c r="N162" s="106">
        <v>65.040000000000006</v>
      </c>
      <c r="O162" s="106">
        <v>31193.360000000001</v>
      </c>
      <c r="P162" s="107">
        <v>26110</v>
      </c>
      <c r="Q162" s="107">
        <v>814458630</v>
      </c>
      <c r="R162" s="102" t="s">
        <v>30</v>
      </c>
      <c r="S162" s="108"/>
      <c r="T162" s="109"/>
      <c r="U162" s="109"/>
      <c r="V162" s="102"/>
      <c r="W162" s="109"/>
      <c r="X162" s="109"/>
      <c r="Y162" s="110" t="s">
        <v>290</v>
      </c>
      <c r="Z162" s="111" t="str">
        <f>MID(E162,4,2)</f>
        <v>CA</v>
      </c>
    </row>
    <row r="163" spans="1:26" s="111" customFormat="1" x14ac:dyDescent="0.2">
      <c r="A163" s="101">
        <v>46237</v>
      </c>
      <c r="B163" s="91" t="s">
        <v>293</v>
      </c>
      <c r="C163" s="102" t="s">
        <v>294</v>
      </c>
      <c r="D163" s="103" t="s">
        <v>26</v>
      </c>
      <c r="E163" s="91" t="s">
        <v>295</v>
      </c>
      <c r="F163" s="91" t="s">
        <v>296</v>
      </c>
      <c r="G163" s="91" t="s">
        <v>297</v>
      </c>
      <c r="H163" s="104" t="str">
        <f t="shared" si="11"/>
        <v>F5130J20</v>
      </c>
      <c r="I163" s="104"/>
      <c r="J163" s="105">
        <v>479.6</v>
      </c>
      <c r="K163" s="106">
        <f>IF(D163="CAESARSTONE LTD",VLOOKUP(H163,'[2]GIA CA'!G:H,2,0),IF(OR(D163="STONE FACINGS LIMITED",D163="NORDIA SA",D163="INVICTUS STONE COUNTERTOPS INC",D163="QUARTZTOP LLC"),VLOOKUP(H163,'[2] Giá ngoài Mỹ - SI-GR'!$B$5:$AZ$84,51,0),IF(OR(D163="HYUNDAI L&amp;C CANADA INC",D163="Hyundai L&amp; C USA LLC"),VLOOKUP(H163,'[2]GIA HS'!A:D,4,0),IF(Y163="Mỹ",VLOOKUP(H163,'[2]giá mỹ từ 6.8.2025'!B:I,2,0),VLOOKUP(H163,'[2]giá ngoài mỹ 6.8.2025 (final)'!B:BP,51,0)))))</f>
        <v>62</v>
      </c>
      <c r="L163" s="106">
        <v>65</v>
      </c>
      <c r="M163" s="106">
        <f t="shared" si="10"/>
        <v>3</v>
      </c>
      <c r="N163" s="106">
        <v>65.040000000000006</v>
      </c>
      <c r="O163" s="107">
        <v>31193.360000000001</v>
      </c>
      <c r="P163" s="107">
        <v>26110</v>
      </c>
      <c r="Q163" s="107">
        <v>814458630</v>
      </c>
      <c r="R163" s="102" t="s">
        <v>30</v>
      </c>
      <c r="S163" s="108"/>
      <c r="T163" s="109"/>
      <c r="U163" s="109"/>
      <c r="V163" s="102"/>
      <c r="W163" s="109"/>
      <c r="X163" s="109"/>
      <c r="Y163" s="110" t="s">
        <v>290</v>
      </c>
      <c r="Z163" s="111" t="str">
        <f>MID(E163,4,2)</f>
        <v>CA</v>
      </c>
    </row>
    <row r="164" spans="1:26" s="111" customFormat="1" x14ac:dyDescent="0.2">
      <c r="A164" s="101">
        <v>46237</v>
      </c>
      <c r="B164" s="91" t="s">
        <v>298</v>
      </c>
      <c r="C164" s="102" t="s">
        <v>299</v>
      </c>
      <c r="D164" s="103" t="s">
        <v>26</v>
      </c>
      <c r="E164" s="91" t="s">
        <v>300</v>
      </c>
      <c r="F164" s="91" t="s">
        <v>301</v>
      </c>
      <c r="G164" s="91" t="s">
        <v>302</v>
      </c>
      <c r="H164" s="104" t="str">
        <f t="shared" si="11"/>
        <v>F5105J20</v>
      </c>
      <c r="I164" s="104"/>
      <c r="J164" s="105">
        <v>0.88</v>
      </c>
      <c r="K164" s="106">
        <f>IF(D164="CAESARSTONE LTD",VLOOKUP(H164,'[2]GIA CA'!G:H,2,0),IF(OR(D164="STONE FACINGS LIMITED",D164="NORDIA SA",D164="INVICTUS STONE COUNTERTOPS INC",D164="QUARTZTOP LLC"),VLOOKUP(H164,'[2] Giá ngoài Mỹ - SI-GR'!$B$5:$AZ$84,51,0),IF(OR(D164="HYUNDAI L&amp;C CANADA INC",D164="Hyundai L&amp; C USA LLC"),VLOOKUP(H164,'[2]GIA HS'!A:D,4,0),IF(Y164="Mỹ",VLOOKUP(H164,'[2]giá mỹ từ 6.8.2025'!B:I,2,0),VLOOKUP(H164,'[2]giá ngoài mỹ 6.8.2025 (final)'!B:BP,51,0)))))</f>
        <v>68</v>
      </c>
      <c r="L164" s="106">
        <v>131</v>
      </c>
      <c r="M164" s="106">
        <f t="shared" si="10"/>
        <v>63</v>
      </c>
      <c r="N164" s="106">
        <v>131</v>
      </c>
      <c r="O164" s="107">
        <v>115.28</v>
      </c>
      <c r="P164" s="107">
        <v>26110</v>
      </c>
      <c r="Q164" s="107">
        <v>3009961</v>
      </c>
      <c r="R164" s="102"/>
      <c r="S164" s="108"/>
      <c r="T164" s="109" t="s">
        <v>30</v>
      </c>
      <c r="U164" s="109"/>
      <c r="V164" s="102"/>
      <c r="W164" s="109"/>
      <c r="X164" s="109"/>
      <c r="Y164" s="110" t="s">
        <v>303</v>
      </c>
      <c r="Z164" s="111" t="str">
        <f>MID(E164,4,2)</f>
        <v>CA</v>
      </c>
    </row>
    <row r="165" spans="1:26" s="111" customFormat="1" x14ac:dyDescent="0.2">
      <c r="A165" s="101">
        <v>46237</v>
      </c>
      <c r="B165" s="91" t="s">
        <v>298</v>
      </c>
      <c r="C165" s="102" t="s">
        <v>299</v>
      </c>
      <c r="D165" s="103" t="s">
        <v>26</v>
      </c>
      <c r="E165" s="91" t="s">
        <v>300</v>
      </c>
      <c r="F165" s="91" t="s">
        <v>304</v>
      </c>
      <c r="G165" s="91" t="s">
        <v>305</v>
      </c>
      <c r="H165" s="104" t="str">
        <f t="shared" si="11"/>
        <v>F5105J20</v>
      </c>
      <c r="I165" s="104"/>
      <c r="J165" s="105">
        <v>1.2</v>
      </c>
      <c r="K165" s="106">
        <f>IF(D165="CAESARSTONE LTD",VLOOKUP(H165,'[2]GIA CA'!G:H,2,0),IF(OR(D165="STONE FACINGS LIMITED",D165="NORDIA SA",D165="INVICTUS STONE COUNTERTOPS INC",D165="QUARTZTOP LLC"),VLOOKUP(H165,'[2] Giá ngoài Mỹ - SI-GR'!$B$5:$AZ$84,51,0),IF(OR(D165="HYUNDAI L&amp;C CANADA INC",D165="Hyundai L&amp; C USA LLC"),VLOOKUP(H165,'[2]GIA HS'!A:D,4,0),IF(Y165="Mỹ",VLOOKUP(H165,'[2]giá mỹ từ 6.8.2025'!B:I,2,0),VLOOKUP(H165,'[2]giá ngoài mỹ 6.8.2025 (final)'!B:BP,51,0)))))</f>
        <v>68</v>
      </c>
      <c r="L165" s="106">
        <v>131</v>
      </c>
      <c r="M165" s="106">
        <f t="shared" si="10"/>
        <v>63</v>
      </c>
      <c r="N165" s="106">
        <v>131</v>
      </c>
      <c r="O165" s="107">
        <v>157.19999999999999</v>
      </c>
      <c r="P165" s="107">
        <v>26110</v>
      </c>
      <c r="Q165" s="107">
        <v>4104492</v>
      </c>
      <c r="R165" s="102"/>
      <c r="S165" s="108"/>
      <c r="T165" s="109" t="s">
        <v>30</v>
      </c>
      <c r="U165" s="109"/>
      <c r="V165" s="102"/>
      <c r="W165" s="109"/>
      <c r="X165" s="109"/>
      <c r="Y165" s="110" t="s">
        <v>303</v>
      </c>
      <c r="Z165" s="111" t="str">
        <f>MID(E165,4,2)</f>
        <v>CA</v>
      </c>
    </row>
    <row r="166" spans="1:26" s="111" customFormat="1" x14ac:dyDescent="0.2">
      <c r="A166" s="101">
        <v>46237</v>
      </c>
      <c r="B166" s="91" t="s">
        <v>298</v>
      </c>
      <c r="C166" s="102" t="s">
        <v>299</v>
      </c>
      <c r="D166" s="103" t="s">
        <v>26</v>
      </c>
      <c r="E166" s="91" t="s">
        <v>300</v>
      </c>
      <c r="F166" s="91" t="s">
        <v>306</v>
      </c>
      <c r="G166" s="91" t="s">
        <v>307</v>
      </c>
      <c r="H166" s="104" t="str">
        <f t="shared" si="11"/>
        <v>F5105J20</v>
      </c>
      <c r="I166" s="104"/>
      <c r="J166" s="105">
        <v>1.88</v>
      </c>
      <c r="K166" s="106">
        <f>IF(D166="CAESARSTONE LTD",VLOOKUP(H166,'[2]GIA CA'!G:H,2,0),IF(OR(D166="STONE FACINGS LIMITED",D166="NORDIA SA",D166="INVICTUS STONE COUNTERTOPS INC",D166="QUARTZTOP LLC"),VLOOKUP(H166,'[2] Giá ngoài Mỹ - SI-GR'!$B$5:$AZ$84,51,0),IF(OR(D166="HYUNDAI L&amp;C CANADA INC",D166="Hyundai L&amp; C USA LLC"),VLOOKUP(H166,'[2]GIA HS'!A:D,4,0),IF(Y166="Mỹ",VLOOKUP(H166,'[2]giá mỹ từ 6.8.2025'!B:I,2,0),VLOOKUP(H166,'[2]giá ngoài mỹ 6.8.2025 (final)'!B:BP,51,0)))))</f>
        <v>68</v>
      </c>
      <c r="L166" s="106">
        <v>129</v>
      </c>
      <c r="M166" s="106">
        <f t="shared" si="10"/>
        <v>61</v>
      </c>
      <c r="N166" s="106">
        <v>129</v>
      </c>
      <c r="O166" s="107">
        <v>242.52</v>
      </c>
      <c r="P166" s="107">
        <v>26110</v>
      </c>
      <c r="Q166" s="107">
        <v>6332197</v>
      </c>
      <c r="R166" s="102"/>
      <c r="S166" s="108"/>
      <c r="T166" s="109" t="s">
        <v>30</v>
      </c>
      <c r="U166" s="109"/>
      <c r="V166" s="102"/>
      <c r="W166" s="109"/>
      <c r="X166" s="109"/>
      <c r="Y166" s="110" t="s">
        <v>303</v>
      </c>
      <c r="Z166" s="111" t="str">
        <f>MID(E166,4,2)</f>
        <v>CA</v>
      </c>
    </row>
    <row r="167" spans="1:26" s="111" customFormat="1" x14ac:dyDescent="0.2">
      <c r="A167" s="101">
        <v>46237</v>
      </c>
      <c r="B167" s="91" t="s">
        <v>298</v>
      </c>
      <c r="C167" s="102" t="s">
        <v>299</v>
      </c>
      <c r="D167" s="103" t="s">
        <v>26</v>
      </c>
      <c r="E167" s="91" t="s">
        <v>300</v>
      </c>
      <c r="F167" s="91" t="s">
        <v>308</v>
      </c>
      <c r="G167" s="91" t="s">
        <v>309</v>
      </c>
      <c r="H167" s="104" t="str">
        <f t="shared" si="11"/>
        <v>F5140J20</v>
      </c>
      <c r="I167" s="104"/>
      <c r="J167" s="105">
        <v>0.88</v>
      </c>
      <c r="K167" s="106">
        <f>IF(D167="CAESARSTONE LTD",VLOOKUP(H167,'[2]GIA CA'!G:H,2,0),IF(OR(D167="STONE FACINGS LIMITED",D167="NORDIA SA",D167="INVICTUS STONE COUNTERTOPS INC",D167="QUARTZTOP LLC"),VLOOKUP(H167,'[2] Giá ngoài Mỹ - SI-GR'!$B$5:$AZ$84,51,0),IF(OR(D167="HYUNDAI L&amp;C CANADA INC",D167="Hyundai L&amp; C USA LLC"),VLOOKUP(H167,'[2]GIA HS'!A:D,4,0),IF(Y167="Mỹ",VLOOKUP(H167,'[2]giá mỹ từ 6.8.2025'!B:I,2,0),VLOOKUP(H167,'[2]giá ngoài mỹ 6.8.2025 (final)'!B:BP,51,0)))))</f>
        <v>62</v>
      </c>
      <c r="L167" s="106">
        <v>95</v>
      </c>
      <c r="M167" s="106">
        <f t="shared" si="10"/>
        <v>33</v>
      </c>
      <c r="N167" s="106">
        <v>95</v>
      </c>
      <c r="O167" s="107">
        <v>83.6</v>
      </c>
      <c r="P167" s="107">
        <v>26110</v>
      </c>
      <c r="Q167" s="107">
        <v>2182796</v>
      </c>
      <c r="R167" s="102"/>
      <c r="S167" s="108"/>
      <c r="T167" s="109" t="s">
        <v>30</v>
      </c>
      <c r="U167" s="109"/>
      <c r="V167" s="102"/>
      <c r="W167" s="109"/>
      <c r="X167" s="109"/>
      <c r="Y167" s="110" t="s">
        <v>303</v>
      </c>
      <c r="Z167" s="111" t="str">
        <f>MID(E167,4,2)</f>
        <v>CA</v>
      </c>
    </row>
    <row r="168" spans="1:26" s="111" customFormat="1" x14ac:dyDescent="0.2">
      <c r="A168" s="101">
        <v>46237</v>
      </c>
      <c r="B168" s="91" t="s">
        <v>298</v>
      </c>
      <c r="C168" s="102" t="s">
        <v>299</v>
      </c>
      <c r="D168" s="103" t="s">
        <v>26</v>
      </c>
      <c r="E168" s="91" t="s">
        <v>300</v>
      </c>
      <c r="F168" s="91" t="s">
        <v>308</v>
      </c>
      <c r="G168" s="91" t="s">
        <v>309</v>
      </c>
      <c r="H168" s="104" t="str">
        <f t="shared" si="11"/>
        <v>F5140J20</v>
      </c>
      <c r="I168" s="104"/>
      <c r="J168" s="105">
        <v>0.59</v>
      </c>
      <c r="K168" s="106">
        <f>IF(D168="CAESARSTONE LTD",VLOOKUP(H168,'[2]GIA CA'!G:H,2,0),IF(OR(D168="STONE FACINGS LIMITED",D168="NORDIA SA",D168="INVICTUS STONE COUNTERTOPS INC",D168="QUARTZTOP LLC"),VLOOKUP(H168,'[2] Giá ngoài Mỹ - SI-GR'!$B$5:$AZ$84,51,0),IF(OR(D168="HYUNDAI L&amp;C CANADA INC",D168="Hyundai L&amp; C USA LLC"),VLOOKUP(H168,'[2]GIA HS'!A:D,4,0),IF(Y168="Mỹ",VLOOKUP(H168,'[2]giá mỹ từ 6.8.2025'!B:I,2,0),VLOOKUP(H168,'[2]giá ngoài mỹ 6.8.2025 (final)'!B:BP,51,0)))))</f>
        <v>62</v>
      </c>
      <c r="L168" s="106">
        <v>95</v>
      </c>
      <c r="M168" s="106">
        <f t="shared" si="10"/>
        <v>33</v>
      </c>
      <c r="N168" s="106">
        <v>95</v>
      </c>
      <c r="O168" s="107">
        <v>56.05</v>
      </c>
      <c r="P168" s="107">
        <v>26110</v>
      </c>
      <c r="Q168" s="107">
        <v>1463466</v>
      </c>
      <c r="R168" s="102"/>
      <c r="S168" s="108"/>
      <c r="T168" s="109" t="s">
        <v>30</v>
      </c>
      <c r="U168" s="109"/>
      <c r="V168" s="102"/>
      <c r="W168" s="109"/>
      <c r="X168" s="109"/>
      <c r="Y168" s="110" t="s">
        <v>303</v>
      </c>
      <c r="Z168" s="111" t="str">
        <f>MID(E168,4,2)</f>
        <v>CA</v>
      </c>
    </row>
    <row r="169" spans="1:26" s="111" customFormat="1" x14ac:dyDescent="0.2">
      <c r="A169" s="101">
        <v>46237</v>
      </c>
      <c r="B169" s="91" t="s">
        <v>298</v>
      </c>
      <c r="C169" s="102" t="s">
        <v>299</v>
      </c>
      <c r="D169" s="103" t="s">
        <v>26</v>
      </c>
      <c r="E169" s="91" t="s">
        <v>300</v>
      </c>
      <c r="F169" s="91" t="s">
        <v>310</v>
      </c>
      <c r="G169" s="91" t="s">
        <v>311</v>
      </c>
      <c r="H169" s="104" t="str">
        <f t="shared" si="11"/>
        <v>F5441J20</v>
      </c>
      <c r="I169" s="104"/>
      <c r="J169" s="105">
        <v>0.88</v>
      </c>
      <c r="K169" s="106">
        <f>IF(D169="CAESARSTONE LTD",VLOOKUP(H169,'[2]GIA CA'!G:H,2,0),IF(OR(D169="STONE FACINGS LIMITED",D169="NORDIA SA",D169="INVICTUS STONE COUNTERTOPS INC",D169="QUARTZTOP LLC"),VLOOKUP(H169,'[2] Giá ngoài Mỹ - SI-GR'!$B$5:$AZ$84,51,0),IF(OR(D169="HYUNDAI L&amp;C CANADA INC",D169="Hyundai L&amp; C USA LLC"),VLOOKUP(H169,'[2]GIA HS'!A:D,4,0),IF(Y169="Mỹ",VLOOKUP(H169,'[2]giá mỹ từ 6.8.2025'!B:I,2,0),VLOOKUP(H169,'[2]giá ngoài mỹ 6.8.2025 (final)'!B:BP,51,0)))))</f>
        <v>74</v>
      </c>
      <c r="L169" s="106">
        <v>143</v>
      </c>
      <c r="M169" s="106">
        <f t="shared" si="10"/>
        <v>69</v>
      </c>
      <c r="N169" s="106">
        <v>143</v>
      </c>
      <c r="O169" s="106">
        <v>125.84</v>
      </c>
      <c r="P169" s="107">
        <v>26110</v>
      </c>
      <c r="Q169" s="107">
        <v>3285682</v>
      </c>
      <c r="R169" s="102"/>
      <c r="S169" s="108"/>
      <c r="T169" s="109" t="s">
        <v>30</v>
      </c>
      <c r="U169" s="109"/>
      <c r="V169" s="102"/>
      <c r="W169" s="109"/>
      <c r="X169" s="109"/>
      <c r="Y169" s="110" t="s">
        <v>303</v>
      </c>
      <c r="Z169" s="111" t="str">
        <f>MID(E169,4,2)</f>
        <v>CA</v>
      </c>
    </row>
    <row r="170" spans="1:26" s="111" customFormat="1" x14ac:dyDescent="0.2">
      <c r="A170" s="101">
        <v>46237</v>
      </c>
      <c r="B170" s="91" t="s">
        <v>298</v>
      </c>
      <c r="C170" s="102" t="s">
        <v>299</v>
      </c>
      <c r="D170" s="103" t="s">
        <v>26</v>
      </c>
      <c r="E170" s="91" t="s">
        <v>300</v>
      </c>
      <c r="F170" s="91" t="s">
        <v>312</v>
      </c>
      <c r="G170" s="91" t="s">
        <v>313</v>
      </c>
      <c r="H170" s="104" t="str">
        <f t="shared" si="11"/>
        <v>F5441J20</v>
      </c>
      <c r="I170" s="104"/>
      <c r="J170" s="105">
        <v>1.2</v>
      </c>
      <c r="K170" s="106">
        <f>IF(D170="CAESARSTONE LTD",VLOOKUP(H170,'[2]GIA CA'!G:H,2,0),IF(OR(D170="STONE FACINGS LIMITED",D170="NORDIA SA",D170="INVICTUS STONE COUNTERTOPS INC",D170="QUARTZTOP LLC"),VLOOKUP(H170,'[2] Giá ngoài Mỹ - SI-GR'!$B$5:$AZ$84,51,0),IF(OR(D170="HYUNDAI L&amp;C CANADA INC",D170="Hyundai L&amp; C USA LLC"),VLOOKUP(H170,'[2]GIA HS'!A:D,4,0),IF(Y170="Mỹ",VLOOKUP(H170,'[2]giá mỹ từ 6.8.2025'!B:I,2,0),VLOOKUP(H170,'[2]giá ngoài mỹ 6.8.2025 (final)'!B:BP,51,0)))))</f>
        <v>74</v>
      </c>
      <c r="L170" s="106">
        <v>143</v>
      </c>
      <c r="M170" s="106">
        <f t="shared" si="10"/>
        <v>69</v>
      </c>
      <c r="N170" s="106">
        <v>143</v>
      </c>
      <c r="O170" s="106">
        <v>171.6</v>
      </c>
      <c r="P170" s="107">
        <v>26110</v>
      </c>
      <c r="Q170" s="107">
        <v>4480476</v>
      </c>
      <c r="R170" s="102"/>
      <c r="S170" s="108"/>
      <c r="T170" s="109" t="s">
        <v>30</v>
      </c>
      <c r="U170" s="109"/>
      <c r="V170" s="102"/>
      <c r="W170" s="109"/>
      <c r="X170" s="109"/>
      <c r="Y170" s="110" t="s">
        <v>303</v>
      </c>
      <c r="Z170" s="111" t="str">
        <f>MID(E170,4,2)</f>
        <v>CA</v>
      </c>
    </row>
    <row r="171" spans="1:26" s="111" customFormat="1" x14ac:dyDescent="0.2">
      <c r="A171" s="101">
        <v>46237</v>
      </c>
      <c r="B171" s="91" t="s">
        <v>298</v>
      </c>
      <c r="C171" s="102" t="s">
        <v>299</v>
      </c>
      <c r="D171" s="103" t="s">
        <v>26</v>
      </c>
      <c r="E171" s="91" t="s">
        <v>300</v>
      </c>
      <c r="F171" s="91" t="s">
        <v>314</v>
      </c>
      <c r="G171" s="91" t="s">
        <v>315</v>
      </c>
      <c r="H171" s="104" t="str">
        <f t="shared" si="11"/>
        <v>F8251J20</v>
      </c>
      <c r="I171" s="104"/>
      <c r="J171" s="105">
        <v>0.88</v>
      </c>
      <c r="K171" s="106">
        <f>IF(D171="CAESARSTONE LTD",VLOOKUP(H171,'[2]GIA CA'!G:H,2,0),IF(OR(D171="STONE FACINGS LIMITED",D171="NORDIA SA",D171="INVICTUS STONE COUNTERTOPS INC",D171="QUARTZTOP LLC"),VLOOKUP(H171,'[2] Giá ngoài Mỹ - SI-GR'!$B$5:$AZ$84,51,0),IF(OR(D171="HYUNDAI L&amp;C CANADA INC",D171="Hyundai L&amp; C USA LLC"),VLOOKUP(H171,'[2]GIA HS'!A:D,4,0),IF(Y171="Mỹ",VLOOKUP(H171,'[2]giá mỹ từ 6.8.2025'!B:I,2,0),VLOOKUP(H171,'[2]giá ngoài mỹ 6.8.2025 (final)'!B:BP,51,0)))))</f>
        <v>74</v>
      </c>
      <c r="L171" s="106">
        <v>95</v>
      </c>
      <c r="M171" s="106">
        <f t="shared" si="10"/>
        <v>21</v>
      </c>
      <c r="N171" s="106">
        <v>95</v>
      </c>
      <c r="O171" s="106">
        <v>83.6</v>
      </c>
      <c r="P171" s="107">
        <v>26110</v>
      </c>
      <c r="Q171" s="107">
        <v>2182796</v>
      </c>
      <c r="R171" s="102"/>
      <c r="S171" s="108"/>
      <c r="T171" s="109" t="s">
        <v>30</v>
      </c>
      <c r="U171" s="109"/>
      <c r="V171" s="102"/>
      <c r="W171" s="109"/>
      <c r="X171" s="109"/>
      <c r="Y171" s="110" t="s">
        <v>303</v>
      </c>
      <c r="Z171" s="111" t="str">
        <f>MID(E171,4,2)</f>
        <v>CA</v>
      </c>
    </row>
    <row r="172" spans="1:26" s="111" customFormat="1" x14ac:dyDescent="0.2">
      <c r="A172" s="101">
        <v>46237</v>
      </c>
      <c r="B172" s="91" t="s">
        <v>298</v>
      </c>
      <c r="C172" s="102" t="s">
        <v>299</v>
      </c>
      <c r="D172" s="103" t="s">
        <v>26</v>
      </c>
      <c r="E172" s="91" t="s">
        <v>300</v>
      </c>
      <c r="F172" s="91" t="s">
        <v>316</v>
      </c>
      <c r="G172" s="91" t="s">
        <v>317</v>
      </c>
      <c r="H172" s="104" t="str">
        <f t="shared" si="11"/>
        <v>F8251J20</v>
      </c>
      <c r="I172" s="104"/>
      <c r="J172" s="105">
        <v>1.2</v>
      </c>
      <c r="K172" s="106">
        <f>IF(D172="CAESARSTONE LTD",VLOOKUP(H172,'[2]GIA CA'!G:H,2,0),IF(OR(D172="STONE FACINGS LIMITED",D172="NORDIA SA",D172="INVICTUS STONE COUNTERTOPS INC",D172="QUARTZTOP LLC"),VLOOKUP(H172,'[2] Giá ngoài Mỹ - SI-GR'!$B$5:$AZ$84,51,0),IF(OR(D172="HYUNDAI L&amp;C CANADA INC",D172="Hyundai L&amp; C USA LLC"),VLOOKUP(H172,'[2]GIA HS'!A:D,4,0),IF(Y172="Mỹ",VLOOKUP(H172,'[2]giá mỹ từ 6.8.2025'!B:I,2,0),VLOOKUP(H172,'[2]giá ngoài mỹ 6.8.2025 (final)'!B:BP,51,0)))))</f>
        <v>74</v>
      </c>
      <c r="L172" s="106">
        <v>96</v>
      </c>
      <c r="M172" s="106">
        <f t="shared" si="10"/>
        <v>22</v>
      </c>
      <c r="N172" s="106">
        <v>96</v>
      </c>
      <c r="O172" s="106">
        <v>115.2</v>
      </c>
      <c r="P172" s="107">
        <v>26110</v>
      </c>
      <c r="Q172" s="107">
        <v>3007872</v>
      </c>
      <c r="R172" s="102"/>
      <c r="S172" s="108"/>
      <c r="T172" s="109" t="s">
        <v>30</v>
      </c>
      <c r="U172" s="109"/>
      <c r="V172" s="102"/>
      <c r="W172" s="109"/>
      <c r="X172" s="109"/>
      <c r="Y172" s="110" t="s">
        <v>303</v>
      </c>
      <c r="Z172" s="111" t="str">
        <f>MID(E172,4,2)</f>
        <v>CA</v>
      </c>
    </row>
    <row r="173" spans="1:26" s="111" customFormat="1" x14ac:dyDescent="0.2">
      <c r="A173" s="101">
        <v>46237</v>
      </c>
      <c r="B173" s="91" t="s">
        <v>298</v>
      </c>
      <c r="C173" s="102" t="s">
        <v>299</v>
      </c>
      <c r="D173" s="103" t="s">
        <v>26</v>
      </c>
      <c r="E173" s="91" t="s">
        <v>300</v>
      </c>
      <c r="F173" s="91" t="s">
        <v>318</v>
      </c>
      <c r="G173" s="91" t="s">
        <v>319</v>
      </c>
      <c r="H173" s="104" t="str">
        <f t="shared" si="11"/>
        <v>F8251J20</v>
      </c>
      <c r="I173" s="104"/>
      <c r="J173" s="105">
        <v>1.88</v>
      </c>
      <c r="K173" s="106">
        <f>IF(D173="CAESARSTONE LTD",VLOOKUP(H173,'[2]GIA CA'!G:H,2,0),IF(OR(D173="STONE FACINGS LIMITED",D173="NORDIA SA",D173="INVICTUS STONE COUNTERTOPS INC",D173="QUARTZTOP LLC"),VLOOKUP(H173,'[2] Giá ngoài Mỹ - SI-GR'!$B$5:$AZ$84,51,0),IF(OR(D173="HYUNDAI L&amp;C CANADA INC",D173="Hyundai L&amp; C USA LLC"),VLOOKUP(H173,'[2]GIA HS'!A:D,4,0),IF(Y173="Mỹ",VLOOKUP(H173,'[2]giá mỹ từ 6.8.2025'!B:I,2,0),VLOOKUP(H173,'[2]giá ngoài mỹ 6.8.2025 (final)'!B:BP,51,0)))))</f>
        <v>74</v>
      </c>
      <c r="L173" s="106">
        <v>94</v>
      </c>
      <c r="M173" s="106">
        <f t="shared" si="10"/>
        <v>20</v>
      </c>
      <c r="N173" s="106">
        <v>94</v>
      </c>
      <c r="O173" s="106">
        <v>176.72</v>
      </c>
      <c r="P173" s="107">
        <v>26110</v>
      </c>
      <c r="Q173" s="107">
        <v>4614159</v>
      </c>
      <c r="R173" s="102"/>
      <c r="S173" s="108"/>
      <c r="T173" s="109" t="s">
        <v>30</v>
      </c>
      <c r="U173" s="109"/>
      <c r="V173" s="102"/>
      <c r="W173" s="109"/>
      <c r="X173" s="109"/>
      <c r="Y173" s="110" t="s">
        <v>303</v>
      </c>
      <c r="Z173" s="111" t="str">
        <f>MID(E173,4,2)</f>
        <v>CA</v>
      </c>
    </row>
    <row r="174" spans="1:26" s="111" customFormat="1" x14ac:dyDescent="0.2">
      <c r="A174" s="101">
        <v>46237</v>
      </c>
      <c r="B174" s="91" t="s">
        <v>298</v>
      </c>
      <c r="C174" s="102" t="s">
        <v>299</v>
      </c>
      <c r="D174" s="103" t="s">
        <v>26</v>
      </c>
      <c r="E174" s="91" t="s">
        <v>300</v>
      </c>
      <c r="F174" s="91" t="s">
        <v>320</v>
      </c>
      <c r="G174" s="91" t="s">
        <v>321</v>
      </c>
      <c r="H174" s="104" t="str">
        <f t="shared" si="11"/>
        <v>F8252J20</v>
      </c>
      <c r="I174" s="104"/>
      <c r="J174" s="105">
        <v>1.2</v>
      </c>
      <c r="K174" s="106">
        <f>IF(D174="CAESARSTONE LTD",VLOOKUP(H174,'[2]GIA CA'!G:H,2,0),IF(OR(D174="STONE FACINGS LIMITED",D174="NORDIA SA",D174="INVICTUS STONE COUNTERTOPS INC",D174="QUARTZTOP LLC"),VLOOKUP(H174,'[2] Giá ngoài Mỹ - SI-GR'!$B$5:$AZ$84,51,0),IF(OR(D174="HYUNDAI L&amp;C CANADA INC",D174="Hyundai L&amp; C USA LLC"),VLOOKUP(H174,'[2]GIA HS'!A:D,4,0),IF(Y174="Mỹ",VLOOKUP(H174,'[2]giá mỹ từ 6.8.2025'!B:I,2,0),VLOOKUP(H174,'[2]giá ngoài mỹ 6.8.2025 (final)'!B:BP,51,0)))))</f>
        <v>68</v>
      </c>
      <c r="L174" s="106">
        <v>131</v>
      </c>
      <c r="M174" s="106">
        <f t="shared" si="10"/>
        <v>63</v>
      </c>
      <c r="N174" s="106">
        <v>131</v>
      </c>
      <c r="O174" s="106">
        <v>157.19999999999999</v>
      </c>
      <c r="P174" s="107">
        <v>26110</v>
      </c>
      <c r="Q174" s="107">
        <v>4104492</v>
      </c>
      <c r="R174" s="102"/>
      <c r="S174" s="108"/>
      <c r="T174" s="109" t="s">
        <v>30</v>
      </c>
      <c r="U174" s="109"/>
      <c r="V174" s="102"/>
      <c r="W174" s="109"/>
      <c r="X174" s="109"/>
      <c r="Y174" s="110" t="s">
        <v>303</v>
      </c>
      <c r="Z174" s="111" t="str">
        <f>MID(E174,4,2)</f>
        <v>CA</v>
      </c>
    </row>
    <row r="175" spans="1:26" s="111" customFormat="1" x14ac:dyDescent="0.2">
      <c r="A175" s="101">
        <v>46237</v>
      </c>
      <c r="B175" s="91" t="s">
        <v>298</v>
      </c>
      <c r="C175" s="102" t="s">
        <v>299</v>
      </c>
      <c r="D175" s="103" t="s">
        <v>26</v>
      </c>
      <c r="E175" s="91" t="s">
        <v>300</v>
      </c>
      <c r="F175" s="91" t="s">
        <v>322</v>
      </c>
      <c r="G175" s="91" t="s">
        <v>323</v>
      </c>
      <c r="H175" s="104" t="str">
        <f t="shared" si="11"/>
        <v>F8252J20</v>
      </c>
      <c r="I175" s="104"/>
      <c r="J175" s="105">
        <v>1.88</v>
      </c>
      <c r="K175" s="106">
        <f>IF(D175="CAESARSTONE LTD",VLOOKUP(H175,'[2]GIA CA'!G:H,2,0),IF(OR(D175="STONE FACINGS LIMITED",D175="NORDIA SA",D175="INVICTUS STONE COUNTERTOPS INC",D175="QUARTZTOP LLC"),VLOOKUP(H175,'[2] Giá ngoài Mỹ - SI-GR'!$B$5:$AZ$84,51,0),IF(OR(D175="HYUNDAI L&amp;C CANADA INC",D175="Hyundai L&amp; C USA LLC"),VLOOKUP(H175,'[2]GIA HS'!A:D,4,0),IF(Y175="Mỹ",VLOOKUP(H175,'[2]giá mỹ từ 6.8.2025'!B:I,2,0),VLOOKUP(H175,'[2]giá ngoài mỹ 6.8.2025 (final)'!B:BP,51,0)))))</f>
        <v>68</v>
      </c>
      <c r="L175" s="106">
        <v>129</v>
      </c>
      <c r="M175" s="106">
        <f t="shared" si="10"/>
        <v>61</v>
      </c>
      <c r="N175" s="106">
        <v>129</v>
      </c>
      <c r="O175" s="106">
        <v>242.52</v>
      </c>
      <c r="P175" s="107">
        <v>26110</v>
      </c>
      <c r="Q175" s="107">
        <v>6332197</v>
      </c>
      <c r="R175" s="102"/>
      <c r="S175" s="108"/>
      <c r="T175" s="109" t="s">
        <v>30</v>
      </c>
      <c r="U175" s="109"/>
      <c r="V175" s="102"/>
      <c r="W175" s="109"/>
      <c r="X175" s="109"/>
      <c r="Y175" s="110" t="s">
        <v>303</v>
      </c>
      <c r="Z175" s="111" t="str">
        <f>MID(E175,4,2)</f>
        <v>CA</v>
      </c>
    </row>
    <row r="176" spans="1:26" s="111" customFormat="1" x14ac:dyDescent="0.2">
      <c r="A176" s="101">
        <v>46237</v>
      </c>
      <c r="B176" s="91" t="s">
        <v>298</v>
      </c>
      <c r="C176" s="102" t="s">
        <v>299</v>
      </c>
      <c r="D176" s="103" t="s">
        <v>26</v>
      </c>
      <c r="E176" s="91" t="s">
        <v>300</v>
      </c>
      <c r="F176" s="91" t="s">
        <v>324</v>
      </c>
      <c r="G176" s="91" t="s">
        <v>325</v>
      </c>
      <c r="H176" s="104" t="str">
        <f t="shared" si="11"/>
        <v>F5140J20</v>
      </c>
      <c r="I176" s="104"/>
      <c r="J176" s="105">
        <v>1.2</v>
      </c>
      <c r="K176" s="106">
        <f>IF(D176="CAESARSTONE LTD",VLOOKUP(H176,'[2]GIA CA'!G:H,2,0),IF(OR(D176="STONE FACINGS LIMITED",D176="NORDIA SA",D176="INVICTUS STONE COUNTERTOPS INC",D176="QUARTZTOP LLC"),VLOOKUP(H176,'[2] Giá ngoài Mỹ - SI-GR'!$B$5:$AZ$84,51,0),IF(OR(D176="HYUNDAI L&amp;C CANADA INC",D176="Hyundai L&amp; C USA LLC"),VLOOKUP(H176,'[2]GIA HS'!A:D,4,0),IF(Y176="Mỹ",VLOOKUP(H176,'[2]giá mỹ từ 6.8.2025'!B:I,2,0),VLOOKUP(H176,'[2]giá ngoài mỹ 6.8.2025 (final)'!B:BP,51,0)))))</f>
        <v>62</v>
      </c>
      <c r="L176" s="106">
        <v>96</v>
      </c>
      <c r="M176" s="106">
        <f t="shared" si="10"/>
        <v>34</v>
      </c>
      <c r="N176" s="106">
        <v>96</v>
      </c>
      <c r="O176" s="106">
        <v>115.2</v>
      </c>
      <c r="P176" s="107">
        <v>26110</v>
      </c>
      <c r="Q176" s="107">
        <v>3007872</v>
      </c>
      <c r="R176" s="102"/>
      <c r="S176" s="108"/>
      <c r="T176" s="109" t="s">
        <v>30</v>
      </c>
      <c r="U176" s="109"/>
      <c r="V176" s="102"/>
      <c r="W176" s="109"/>
      <c r="X176" s="109"/>
      <c r="Y176" s="110" t="s">
        <v>303</v>
      </c>
      <c r="Z176" s="111" t="str">
        <f>MID(E176,4,2)</f>
        <v>CA</v>
      </c>
    </row>
    <row r="177" spans="1:26" s="111" customFormat="1" x14ac:dyDescent="0.2">
      <c r="A177" s="101">
        <v>46237</v>
      </c>
      <c r="B177" s="91" t="s">
        <v>298</v>
      </c>
      <c r="C177" s="102" t="s">
        <v>299</v>
      </c>
      <c r="D177" s="103" t="s">
        <v>26</v>
      </c>
      <c r="E177" s="91" t="s">
        <v>300</v>
      </c>
      <c r="F177" s="91" t="s">
        <v>308</v>
      </c>
      <c r="G177" s="91" t="s">
        <v>309</v>
      </c>
      <c r="H177" s="104" t="str">
        <f t="shared" si="11"/>
        <v>F5140J20</v>
      </c>
      <c r="I177" s="104"/>
      <c r="J177" s="105">
        <v>0.88</v>
      </c>
      <c r="K177" s="106">
        <f>IF(D177="CAESARSTONE LTD",VLOOKUP(H177,'[2]GIA CA'!G:H,2,0),IF(OR(D177="STONE FACINGS LIMITED",D177="NORDIA SA",D177="INVICTUS STONE COUNTERTOPS INC",D177="QUARTZTOP LLC"),VLOOKUP(H177,'[2] Giá ngoài Mỹ - SI-GR'!$B$5:$AZ$84,51,0),IF(OR(D177="HYUNDAI L&amp;C CANADA INC",D177="Hyundai L&amp; C USA LLC"),VLOOKUP(H177,'[2]GIA HS'!A:D,4,0),IF(Y177="Mỹ",VLOOKUP(H177,'[2]giá mỹ từ 6.8.2025'!B:I,2,0),VLOOKUP(H177,'[2]giá ngoài mỹ 6.8.2025 (final)'!B:BP,51,0)))))</f>
        <v>62</v>
      </c>
      <c r="L177" s="106">
        <v>95</v>
      </c>
      <c r="M177" s="106">
        <f t="shared" si="10"/>
        <v>33</v>
      </c>
      <c r="N177" s="106">
        <v>95</v>
      </c>
      <c r="O177" s="106">
        <v>83.6</v>
      </c>
      <c r="P177" s="107">
        <v>26110</v>
      </c>
      <c r="Q177" s="107">
        <v>2182796</v>
      </c>
      <c r="R177" s="102"/>
      <c r="S177" s="108"/>
      <c r="T177" s="109" t="s">
        <v>30</v>
      </c>
      <c r="U177" s="109"/>
      <c r="V177" s="102"/>
      <c r="W177" s="109"/>
      <c r="X177" s="109"/>
      <c r="Y177" s="110" t="s">
        <v>303</v>
      </c>
      <c r="Z177" s="111" t="str">
        <f>MID(E177,4,2)</f>
        <v>CA</v>
      </c>
    </row>
    <row r="178" spans="1:26" s="111" customFormat="1" x14ac:dyDescent="0.2">
      <c r="A178" s="101">
        <v>46237</v>
      </c>
      <c r="B178" s="91" t="s">
        <v>298</v>
      </c>
      <c r="C178" s="102" t="s">
        <v>299</v>
      </c>
      <c r="D178" s="103" t="s">
        <v>26</v>
      </c>
      <c r="E178" s="91" t="s">
        <v>300</v>
      </c>
      <c r="F178" s="91" t="s">
        <v>326</v>
      </c>
      <c r="G178" s="91" t="s">
        <v>327</v>
      </c>
      <c r="H178" s="104" t="str">
        <f t="shared" si="11"/>
        <v>F5152J20</v>
      </c>
      <c r="I178" s="104"/>
      <c r="J178" s="105">
        <v>1.2</v>
      </c>
      <c r="K178" s="106">
        <f>IF(D178="CAESARSTONE LTD",VLOOKUP(H178,'[2]GIA CA'!G:H,2,0),IF(OR(D178="STONE FACINGS LIMITED",D178="NORDIA SA",D178="INVICTUS STONE COUNTERTOPS INC",D178="QUARTZTOP LLC"),VLOOKUP(H178,'[2] Giá ngoài Mỹ - SI-GR'!$B$5:$AZ$84,51,0),IF(OR(D178="HYUNDAI L&amp;C CANADA INC",D178="Hyundai L&amp; C USA LLC"),VLOOKUP(H178,'[2]GIA HS'!A:D,4,0),IF(Y178="Mỹ",VLOOKUP(H178,'[2]giá mỹ từ 6.8.2025'!B:I,2,0),VLOOKUP(H178,'[2]giá ngoài mỹ 6.8.2025 (final)'!B:BP,51,0)))))</f>
        <v>62</v>
      </c>
      <c r="L178" s="106">
        <v>131</v>
      </c>
      <c r="M178" s="106">
        <f t="shared" si="10"/>
        <v>69</v>
      </c>
      <c r="N178" s="106">
        <v>131</v>
      </c>
      <c r="O178" s="106">
        <v>157.19999999999999</v>
      </c>
      <c r="P178" s="107">
        <v>26110</v>
      </c>
      <c r="Q178" s="107">
        <v>4104492</v>
      </c>
      <c r="R178" s="102"/>
      <c r="S178" s="108"/>
      <c r="T178" s="109" t="s">
        <v>30</v>
      </c>
      <c r="U178" s="109"/>
      <c r="V178" s="102"/>
      <c r="W178" s="109"/>
      <c r="X178" s="109"/>
      <c r="Y178" s="110" t="s">
        <v>303</v>
      </c>
      <c r="Z178" s="111" t="str">
        <f>MID(E178,4,2)</f>
        <v>CA</v>
      </c>
    </row>
    <row r="179" spans="1:26" s="111" customFormat="1" x14ac:dyDescent="0.2">
      <c r="A179" s="101">
        <v>46237</v>
      </c>
      <c r="B179" s="91" t="s">
        <v>298</v>
      </c>
      <c r="C179" s="102" t="s">
        <v>299</v>
      </c>
      <c r="D179" s="103" t="s">
        <v>26</v>
      </c>
      <c r="E179" s="91" t="s">
        <v>300</v>
      </c>
      <c r="F179" s="91" t="s">
        <v>312</v>
      </c>
      <c r="G179" s="91" t="s">
        <v>313</v>
      </c>
      <c r="H179" s="104" t="str">
        <f t="shared" si="11"/>
        <v>F5441J20</v>
      </c>
      <c r="I179" s="104"/>
      <c r="J179" s="105">
        <v>1.6</v>
      </c>
      <c r="K179" s="106">
        <f>IF(D179="CAESARSTONE LTD",VLOOKUP(H179,'[2]GIA CA'!G:H,2,0),IF(OR(D179="STONE FACINGS LIMITED",D179="NORDIA SA",D179="INVICTUS STONE COUNTERTOPS INC",D179="QUARTZTOP LLC"),VLOOKUP(H179,'[2] Giá ngoài Mỹ - SI-GR'!$B$5:$AZ$84,51,0),IF(OR(D179="HYUNDAI L&amp;C CANADA INC",D179="Hyundai L&amp; C USA LLC"),VLOOKUP(H179,'[2]GIA HS'!A:D,4,0),IF(Y179="Mỹ",VLOOKUP(H179,'[2]giá mỹ từ 6.8.2025'!B:I,2,0),VLOOKUP(H179,'[2]giá ngoài mỹ 6.8.2025 (final)'!B:BP,51,0)))))</f>
        <v>74</v>
      </c>
      <c r="L179" s="106">
        <v>143</v>
      </c>
      <c r="M179" s="106">
        <f t="shared" si="10"/>
        <v>69</v>
      </c>
      <c r="N179" s="106">
        <v>143</v>
      </c>
      <c r="O179" s="107">
        <v>228.8</v>
      </c>
      <c r="P179" s="107">
        <v>26110</v>
      </c>
      <c r="Q179" s="107">
        <v>5973968</v>
      </c>
      <c r="R179" s="102"/>
      <c r="S179" s="108"/>
      <c r="T179" s="109" t="s">
        <v>30</v>
      </c>
      <c r="U179" s="109"/>
      <c r="V179" s="102"/>
      <c r="W179" s="109"/>
      <c r="X179" s="109"/>
      <c r="Y179" s="110" t="s">
        <v>303</v>
      </c>
      <c r="Z179" s="111" t="str">
        <f>MID(E179,4,2)</f>
        <v>CA</v>
      </c>
    </row>
    <row r="180" spans="1:26" s="111" customFormat="1" x14ac:dyDescent="0.2">
      <c r="A180" s="101">
        <v>46237</v>
      </c>
      <c r="B180" s="91" t="s">
        <v>298</v>
      </c>
      <c r="C180" s="102" t="s">
        <v>299</v>
      </c>
      <c r="D180" s="103" t="s">
        <v>26</v>
      </c>
      <c r="E180" s="91" t="s">
        <v>300</v>
      </c>
      <c r="F180" s="91" t="s">
        <v>328</v>
      </c>
      <c r="G180" s="91" t="s">
        <v>329</v>
      </c>
      <c r="H180" s="104" t="str">
        <f t="shared" si="11"/>
        <v>F5444J20</v>
      </c>
      <c r="I180" s="104"/>
      <c r="J180" s="105">
        <v>2.5</v>
      </c>
      <c r="K180" s="106">
        <f>IF(D180="CAESARSTONE LTD",VLOOKUP(H180,'[2]GIA CA'!G:H,2,0),IF(OR(D180="STONE FACINGS LIMITED",D180="NORDIA SA",D180="INVICTUS STONE COUNTERTOPS INC",D180="QUARTZTOP LLC"),VLOOKUP(H180,'[2] Giá ngoài Mỹ - SI-GR'!$B$5:$AZ$84,51,0),IF(OR(D180="HYUNDAI L&amp;C CANADA INC",D180="Hyundai L&amp; C USA LLC"),VLOOKUP(H180,'[2]GIA HS'!A:D,4,0),IF(Y180="Mỹ",VLOOKUP(H180,'[2]giá mỹ từ 6.8.2025'!B:I,2,0),VLOOKUP(H180,'[2]giá ngoài mỹ 6.8.2025 (final)'!B:BP,51,0)))))</f>
        <v>74</v>
      </c>
      <c r="L180" s="106">
        <v>140</v>
      </c>
      <c r="M180" s="106">
        <f t="shared" si="10"/>
        <v>66</v>
      </c>
      <c r="N180" s="106">
        <v>140</v>
      </c>
      <c r="O180" s="107">
        <v>350</v>
      </c>
      <c r="P180" s="107">
        <v>26110</v>
      </c>
      <c r="Q180" s="107">
        <v>9138500</v>
      </c>
      <c r="R180" s="102"/>
      <c r="S180" s="108"/>
      <c r="T180" s="109" t="s">
        <v>30</v>
      </c>
      <c r="U180" s="109"/>
      <c r="V180" s="102"/>
      <c r="W180" s="109"/>
      <c r="X180" s="109"/>
      <c r="Y180" s="110" t="s">
        <v>303</v>
      </c>
      <c r="Z180" s="111" t="str">
        <f>MID(E180,4,2)</f>
        <v>CA</v>
      </c>
    </row>
    <row r="181" spans="1:26" s="111" customFormat="1" x14ac:dyDescent="0.2">
      <c r="A181" s="101">
        <v>46237</v>
      </c>
      <c r="B181" s="91" t="s">
        <v>298</v>
      </c>
      <c r="C181" s="102" t="s">
        <v>299</v>
      </c>
      <c r="D181" s="103" t="s">
        <v>26</v>
      </c>
      <c r="E181" s="91" t="s">
        <v>300</v>
      </c>
      <c r="F181" s="91" t="s">
        <v>328</v>
      </c>
      <c r="G181" s="91" t="s">
        <v>329</v>
      </c>
      <c r="H181" s="104" t="str">
        <f t="shared" si="11"/>
        <v>F5444J20</v>
      </c>
      <c r="I181" s="104"/>
      <c r="J181" s="105">
        <v>2.5</v>
      </c>
      <c r="K181" s="106">
        <f>IF(D181="CAESARSTONE LTD",VLOOKUP(H181,'[2]GIA CA'!G:H,2,0),IF(OR(D181="STONE FACINGS LIMITED",D181="NORDIA SA",D181="INVICTUS STONE COUNTERTOPS INC",D181="QUARTZTOP LLC"),VLOOKUP(H181,'[2] Giá ngoài Mỹ - SI-GR'!$B$5:$AZ$84,51,0),IF(OR(D181="HYUNDAI L&amp;C CANADA INC",D181="Hyundai L&amp; C USA LLC"),VLOOKUP(H181,'[2]GIA HS'!A:D,4,0),IF(Y181="Mỹ",VLOOKUP(H181,'[2]giá mỹ từ 6.8.2025'!B:I,2,0),VLOOKUP(H181,'[2]giá ngoài mỹ 6.8.2025 (final)'!B:BP,51,0)))))</f>
        <v>74</v>
      </c>
      <c r="L181" s="106">
        <v>140</v>
      </c>
      <c r="M181" s="106">
        <f t="shared" si="10"/>
        <v>66</v>
      </c>
      <c r="N181" s="106">
        <v>140</v>
      </c>
      <c r="O181" s="107">
        <v>350</v>
      </c>
      <c r="P181" s="107">
        <v>26110</v>
      </c>
      <c r="Q181" s="107">
        <v>9138500</v>
      </c>
      <c r="R181" s="102"/>
      <c r="S181" s="108"/>
      <c r="T181" s="109" t="s">
        <v>30</v>
      </c>
      <c r="U181" s="109"/>
      <c r="V181" s="102"/>
      <c r="W181" s="109"/>
      <c r="X181" s="109"/>
      <c r="Y181" s="110" t="s">
        <v>303</v>
      </c>
      <c r="Z181" s="111" t="str">
        <f>MID(E181,4,2)</f>
        <v>CA</v>
      </c>
    </row>
    <row r="182" spans="1:26" s="111" customFormat="1" x14ac:dyDescent="0.2">
      <c r="A182" s="101">
        <v>46237</v>
      </c>
      <c r="B182" s="91" t="s">
        <v>298</v>
      </c>
      <c r="C182" s="102" t="s">
        <v>299</v>
      </c>
      <c r="D182" s="103" t="s">
        <v>26</v>
      </c>
      <c r="E182" s="91" t="s">
        <v>300</v>
      </c>
      <c r="F182" s="91" t="s">
        <v>328</v>
      </c>
      <c r="G182" s="91" t="s">
        <v>329</v>
      </c>
      <c r="H182" s="104" t="str">
        <f t="shared" si="11"/>
        <v>F5444J20</v>
      </c>
      <c r="I182" s="104"/>
      <c r="J182" s="105">
        <v>2.5</v>
      </c>
      <c r="K182" s="106">
        <f>IF(D182="CAESARSTONE LTD",VLOOKUP(H182,'[2]GIA CA'!G:H,2,0),IF(OR(D182="STONE FACINGS LIMITED",D182="NORDIA SA",D182="INVICTUS STONE COUNTERTOPS INC",D182="QUARTZTOP LLC"),VLOOKUP(H182,'[2] Giá ngoài Mỹ - SI-GR'!$B$5:$AZ$84,51,0),IF(OR(D182="HYUNDAI L&amp;C CANADA INC",D182="Hyundai L&amp; C USA LLC"),VLOOKUP(H182,'[2]GIA HS'!A:D,4,0),IF(Y182="Mỹ",VLOOKUP(H182,'[2]giá mỹ từ 6.8.2025'!B:I,2,0),VLOOKUP(H182,'[2]giá ngoài mỹ 6.8.2025 (final)'!B:BP,51,0)))))</f>
        <v>74</v>
      </c>
      <c r="L182" s="106">
        <v>140</v>
      </c>
      <c r="M182" s="106">
        <f t="shared" si="10"/>
        <v>66</v>
      </c>
      <c r="N182" s="106">
        <v>140</v>
      </c>
      <c r="O182" s="107">
        <v>350</v>
      </c>
      <c r="P182" s="107">
        <v>26110</v>
      </c>
      <c r="Q182" s="107">
        <v>9138500</v>
      </c>
      <c r="R182" s="102"/>
      <c r="S182" s="108"/>
      <c r="T182" s="109" t="s">
        <v>30</v>
      </c>
      <c r="U182" s="109"/>
      <c r="V182" s="102"/>
      <c r="W182" s="109"/>
      <c r="X182" s="109"/>
      <c r="Y182" s="110" t="s">
        <v>303</v>
      </c>
      <c r="Z182" s="111" t="str">
        <f>MID(E182,4,2)</f>
        <v>CA</v>
      </c>
    </row>
    <row r="183" spans="1:26" s="111" customFormat="1" x14ac:dyDescent="0.2">
      <c r="A183" s="101">
        <v>46237</v>
      </c>
      <c r="B183" s="91" t="s">
        <v>298</v>
      </c>
      <c r="C183" s="102" t="s">
        <v>299</v>
      </c>
      <c r="D183" s="103" t="s">
        <v>26</v>
      </c>
      <c r="E183" s="91" t="s">
        <v>300</v>
      </c>
      <c r="F183" s="91" t="s">
        <v>322</v>
      </c>
      <c r="G183" s="91" t="s">
        <v>323</v>
      </c>
      <c r="H183" s="104" t="str">
        <f t="shared" si="11"/>
        <v>F8252J20</v>
      </c>
      <c r="I183" s="104"/>
      <c r="J183" s="105">
        <v>2.5</v>
      </c>
      <c r="K183" s="106">
        <f>IF(D183="CAESARSTONE LTD",VLOOKUP(H183,'[2]GIA CA'!G:H,2,0),IF(OR(D183="STONE FACINGS LIMITED",D183="NORDIA SA",D183="INVICTUS STONE COUNTERTOPS INC",D183="QUARTZTOP LLC"),VLOOKUP(H183,'[2] Giá ngoài Mỹ - SI-GR'!$B$5:$AZ$84,51,0),IF(OR(D183="HYUNDAI L&amp;C CANADA INC",D183="Hyundai L&amp; C USA LLC"),VLOOKUP(H183,'[2]GIA HS'!A:D,4,0),IF(Y183="Mỹ",VLOOKUP(H183,'[2]giá mỹ từ 6.8.2025'!B:I,2,0),VLOOKUP(H183,'[2]giá ngoài mỹ 6.8.2025 (final)'!B:BP,51,0)))))</f>
        <v>68</v>
      </c>
      <c r="L183" s="106">
        <v>129</v>
      </c>
      <c r="M183" s="106">
        <f t="shared" si="10"/>
        <v>61</v>
      </c>
      <c r="N183" s="106">
        <v>129</v>
      </c>
      <c r="O183" s="107">
        <v>322.5</v>
      </c>
      <c r="P183" s="107">
        <v>26110</v>
      </c>
      <c r="Q183" s="107">
        <v>8420475</v>
      </c>
      <c r="R183" s="102"/>
      <c r="S183" s="108"/>
      <c r="T183" s="109" t="s">
        <v>30</v>
      </c>
      <c r="U183" s="109"/>
      <c r="V183" s="102"/>
      <c r="W183" s="109"/>
      <c r="X183" s="109"/>
      <c r="Y183" s="110" t="s">
        <v>303</v>
      </c>
      <c r="Z183" s="111" t="str">
        <f>MID(E183,4,2)</f>
        <v>CA</v>
      </c>
    </row>
    <row r="184" spans="1:26" s="111" customFormat="1" x14ac:dyDescent="0.2">
      <c r="A184" s="101">
        <v>46237</v>
      </c>
      <c r="B184" s="91" t="s">
        <v>298</v>
      </c>
      <c r="C184" s="102" t="s">
        <v>299</v>
      </c>
      <c r="D184" s="103" t="s">
        <v>26</v>
      </c>
      <c r="E184" s="91" t="s">
        <v>300</v>
      </c>
      <c r="F184" s="91" t="s">
        <v>330</v>
      </c>
      <c r="G184" s="91" t="s">
        <v>331</v>
      </c>
      <c r="H184" s="104" t="str">
        <f t="shared" si="11"/>
        <v>C4033J20</v>
      </c>
      <c r="I184" s="104"/>
      <c r="J184" s="105">
        <v>2.5</v>
      </c>
      <c r="K184" s="106">
        <f t="shared" ref="K184:K186" si="14">+L184</f>
        <v>95</v>
      </c>
      <c r="L184" s="106">
        <v>95</v>
      </c>
      <c r="M184" s="106">
        <f t="shared" si="10"/>
        <v>0</v>
      </c>
      <c r="N184" s="106">
        <v>95</v>
      </c>
      <c r="O184" s="107">
        <v>237.5</v>
      </c>
      <c r="P184" s="107">
        <v>26110</v>
      </c>
      <c r="Q184" s="107">
        <v>6201125</v>
      </c>
      <c r="R184" s="102"/>
      <c r="S184" s="108"/>
      <c r="T184" s="109" t="s">
        <v>30</v>
      </c>
      <c r="U184" s="109"/>
      <c r="V184" s="102"/>
      <c r="W184" s="109"/>
      <c r="X184" s="109"/>
      <c r="Y184" s="110" t="s">
        <v>303</v>
      </c>
      <c r="Z184" s="111" t="str">
        <f>MID(E184,4,2)</f>
        <v>CA</v>
      </c>
    </row>
    <row r="185" spans="1:26" s="111" customFormat="1" x14ac:dyDescent="0.2">
      <c r="A185" s="101">
        <v>46237</v>
      </c>
      <c r="B185" s="91" t="s">
        <v>298</v>
      </c>
      <c r="C185" s="102" t="s">
        <v>299</v>
      </c>
      <c r="D185" s="103" t="s">
        <v>26</v>
      </c>
      <c r="E185" s="91" t="s">
        <v>300</v>
      </c>
      <c r="F185" s="91" t="s">
        <v>330</v>
      </c>
      <c r="G185" s="91" t="s">
        <v>331</v>
      </c>
      <c r="H185" s="104" t="str">
        <f t="shared" si="11"/>
        <v>C4033J20</v>
      </c>
      <c r="I185" s="104"/>
      <c r="J185" s="105">
        <v>1.88</v>
      </c>
      <c r="K185" s="106">
        <f t="shared" si="14"/>
        <v>95</v>
      </c>
      <c r="L185" s="106">
        <v>95</v>
      </c>
      <c r="M185" s="106">
        <f t="shared" si="10"/>
        <v>0</v>
      </c>
      <c r="N185" s="106">
        <v>95</v>
      </c>
      <c r="O185" s="107">
        <v>178.6</v>
      </c>
      <c r="P185" s="107">
        <v>26110</v>
      </c>
      <c r="Q185" s="107">
        <v>4663246</v>
      </c>
      <c r="R185" s="102"/>
      <c r="S185" s="108"/>
      <c r="T185" s="109" t="s">
        <v>30</v>
      </c>
      <c r="U185" s="109"/>
      <c r="V185" s="102"/>
      <c r="W185" s="109"/>
      <c r="X185" s="109"/>
      <c r="Y185" s="110" t="s">
        <v>303</v>
      </c>
      <c r="Z185" s="111" t="str">
        <f>MID(E185,4,2)</f>
        <v>CA</v>
      </c>
    </row>
    <row r="186" spans="1:26" s="111" customFormat="1" x14ac:dyDescent="0.2">
      <c r="A186" s="101">
        <v>46237</v>
      </c>
      <c r="B186" s="91" t="s">
        <v>298</v>
      </c>
      <c r="C186" s="102" t="s">
        <v>299</v>
      </c>
      <c r="D186" s="103" t="s">
        <v>26</v>
      </c>
      <c r="E186" s="91" t="s">
        <v>300</v>
      </c>
      <c r="F186" s="91" t="s">
        <v>330</v>
      </c>
      <c r="G186" s="91" t="s">
        <v>331</v>
      </c>
      <c r="H186" s="104" t="str">
        <f t="shared" si="11"/>
        <v>C4033J20</v>
      </c>
      <c r="I186" s="104"/>
      <c r="J186" s="105">
        <v>1.88</v>
      </c>
      <c r="K186" s="106">
        <f t="shared" si="14"/>
        <v>95</v>
      </c>
      <c r="L186" s="106">
        <v>95</v>
      </c>
      <c r="M186" s="106">
        <f t="shared" si="10"/>
        <v>0</v>
      </c>
      <c r="N186" s="106">
        <v>95</v>
      </c>
      <c r="O186" s="107">
        <v>178.6</v>
      </c>
      <c r="P186" s="107">
        <v>26110</v>
      </c>
      <c r="Q186" s="107">
        <v>4663246</v>
      </c>
      <c r="R186" s="102"/>
      <c r="S186" s="108"/>
      <c r="T186" s="109" t="s">
        <v>30</v>
      </c>
      <c r="U186" s="109"/>
      <c r="V186" s="102"/>
      <c r="W186" s="109"/>
      <c r="X186" s="109"/>
      <c r="Y186" s="110" t="s">
        <v>303</v>
      </c>
      <c r="Z186" s="111" t="str">
        <f>MID(E186,4,2)</f>
        <v>CA</v>
      </c>
    </row>
    <row r="187" spans="1:26" s="111" customFormat="1" x14ac:dyDescent="0.2">
      <c r="A187" s="101">
        <v>46237</v>
      </c>
      <c r="B187" s="91" t="s">
        <v>298</v>
      </c>
      <c r="C187" s="102" t="s">
        <v>299</v>
      </c>
      <c r="D187" s="103" t="s">
        <v>26</v>
      </c>
      <c r="E187" s="91" t="s">
        <v>300</v>
      </c>
      <c r="F187" s="91" t="s">
        <v>188</v>
      </c>
      <c r="G187" s="91" t="s">
        <v>189</v>
      </c>
      <c r="H187" s="104" t="str">
        <f t="shared" si="11"/>
        <v>C5133J20</v>
      </c>
      <c r="I187" s="104"/>
      <c r="J187" s="105">
        <v>1.88</v>
      </c>
      <c r="K187" s="106">
        <f>IF(D187="CAESARSTONE LTD",VLOOKUP(H187,'[2]GIA CA'!G:H,2,0),IF(OR(D187="STONE FACINGS LIMITED",D187="NORDIA SA",D187="INVICTUS STONE COUNTERTOPS INC",D187="QUARTZTOP LLC"),VLOOKUP(H187,'[2] Giá ngoài Mỹ - SI-GR'!$B$5:$AZ$84,51,0),IF(OR(D187="HYUNDAI L&amp;C CANADA INC",D187="Hyundai L&amp; C USA LLC"),VLOOKUP(H187,'[2]GIA HS'!A:D,4,0),IF(Y187="Mỹ",VLOOKUP(H187,'[2]giá mỹ từ 6.8.2025'!B:I,2,0),VLOOKUP(H187,'[2]giá ngoài mỹ 6.8.2025 (final)'!B:BP,51,0)))))</f>
        <v>59</v>
      </c>
      <c r="L187" s="106">
        <v>94</v>
      </c>
      <c r="M187" s="106">
        <f t="shared" si="10"/>
        <v>35</v>
      </c>
      <c r="N187" s="106">
        <v>94</v>
      </c>
      <c r="O187" s="107">
        <v>176.72</v>
      </c>
      <c r="P187" s="107">
        <v>26110</v>
      </c>
      <c r="Q187" s="107">
        <v>4614159</v>
      </c>
      <c r="R187" s="102"/>
      <c r="S187" s="108"/>
      <c r="T187" s="109" t="s">
        <v>30</v>
      </c>
      <c r="U187" s="109"/>
      <c r="V187" s="102"/>
      <c r="W187" s="109"/>
      <c r="X187" s="109"/>
      <c r="Y187" s="110" t="s">
        <v>303</v>
      </c>
      <c r="Z187" s="111" t="str">
        <f>MID(E187,4,2)</f>
        <v>CA</v>
      </c>
    </row>
    <row r="188" spans="1:26" s="111" customFormat="1" x14ac:dyDescent="0.2">
      <c r="A188" s="101">
        <v>46237</v>
      </c>
      <c r="B188" s="91" t="s">
        <v>298</v>
      </c>
      <c r="C188" s="102" t="s">
        <v>299</v>
      </c>
      <c r="D188" s="103" t="s">
        <v>26</v>
      </c>
      <c r="E188" s="91" t="s">
        <v>300</v>
      </c>
      <c r="F188" s="91" t="s">
        <v>332</v>
      </c>
      <c r="G188" s="91" t="s">
        <v>333</v>
      </c>
      <c r="H188" s="104" t="str">
        <f t="shared" si="11"/>
        <v>C5133J20</v>
      </c>
      <c r="I188" s="104"/>
      <c r="J188" s="105">
        <v>0.88</v>
      </c>
      <c r="K188" s="106">
        <f>IF(D188="CAESARSTONE LTD",VLOOKUP(H188,'[2]GIA CA'!G:H,2,0),IF(OR(D188="STONE FACINGS LIMITED",D188="NORDIA SA",D188="INVICTUS STONE COUNTERTOPS INC",D188="QUARTZTOP LLC"),VLOOKUP(H188,'[2] Giá ngoài Mỹ - SI-GR'!$B$5:$AZ$84,51,0),IF(OR(D188="HYUNDAI L&amp;C CANADA INC",D188="Hyundai L&amp; C USA LLC"),VLOOKUP(H188,'[2]GIA HS'!A:D,4,0),IF(Y188="Mỹ",VLOOKUP(H188,'[2]giá mỹ từ 6.8.2025'!B:I,2,0),VLOOKUP(H188,'[2]giá ngoài mỹ 6.8.2025 (final)'!B:BP,51,0)))))</f>
        <v>59</v>
      </c>
      <c r="L188" s="106">
        <v>95</v>
      </c>
      <c r="M188" s="106">
        <f t="shared" si="10"/>
        <v>36</v>
      </c>
      <c r="N188" s="106">
        <v>95</v>
      </c>
      <c r="O188" s="106">
        <v>83.6</v>
      </c>
      <c r="P188" s="107">
        <v>26110</v>
      </c>
      <c r="Q188" s="107">
        <v>2182796</v>
      </c>
      <c r="R188" s="102"/>
      <c r="S188" s="108"/>
      <c r="T188" s="109" t="s">
        <v>30</v>
      </c>
      <c r="U188" s="109"/>
      <c r="V188" s="102"/>
      <c r="W188" s="109"/>
      <c r="X188" s="109"/>
      <c r="Y188" s="110" t="s">
        <v>303</v>
      </c>
      <c r="Z188" s="111" t="str">
        <f>MID(E188,4,2)</f>
        <v>CA</v>
      </c>
    </row>
    <row r="189" spans="1:26" s="111" customFormat="1" x14ac:dyDescent="0.2">
      <c r="A189" s="101">
        <v>46237</v>
      </c>
      <c r="B189" s="91" t="s">
        <v>298</v>
      </c>
      <c r="C189" s="102" t="s">
        <v>299</v>
      </c>
      <c r="D189" s="103" t="s">
        <v>26</v>
      </c>
      <c r="E189" s="91" t="s">
        <v>300</v>
      </c>
      <c r="F189" s="91" t="s">
        <v>334</v>
      </c>
      <c r="G189" s="91" t="s">
        <v>335</v>
      </c>
      <c r="H189" s="104" t="str">
        <f t="shared" si="11"/>
        <v>C5820J20</v>
      </c>
      <c r="I189" s="104"/>
      <c r="J189" s="105">
        <v>0.88</v>
      </c>
      <c r="K189" s="106">
        <f>+L189</f>
        <v>95</v>
      </c>
      <c r="L189" s="106">
        <v>95</v>
      </c>
      <c r="M189" s="106">
        <f t="shared" si="10"/>
        <v>0</v>
      </c>
      <c r="N189" s="106">
        <v>95</v>
      </c>
      <c r="O189" s="107">
        <v>83.6</v>
      </c>
      <c r="P189" s="107">
        <v>26110</v>
      </c>
      <c r="Q189" s="107">
        <v>2182796</v>
      </c>
      <c r="R189" s="102"/>
      <c r="S189" s="108"/>
      <c r="T189" s="109" t="s">
        <v>30</v>
      </c>
      <c r="U189" s="109"/>
      <c r="V189" s="102"/>
      <c r="W189" s="109"/>
      <c r="X189" s="109"/>
      <c r="Y189" s="110" t="s">
        <v>303</v>
      </c>
      <c r="Z189" s="111" t="str">
        <f>MID(E189,4,2)</f>
        <v>CA</v>
      </c>
    </row>
    <row r="190" spans="1:26" s="111" customFormat="1" x14ac:dyDescent="0.2">
      <c r="A190" s="101">
        <v>46237</v>
      </c>
      <c r="B190" s="91" t="s">
        <v>298</v>
      </c>
      <c r="C190" s="102" t="s">
        <v>299</v>
      </c>
      <c r="D190" s="103" t="s">
        <v>26</v>
      </c>
      <c r="E190" s="91" t="s">
        <v>300</v>
      </c>
      <c r="F190" s="91" t="s">
        <v>336</v>
      </c>
      <c r="G190" s="91" t="s">
        <v>337</v>
      </c>
      <c r="H190" s="104" t="str">
        <f t="shared" si="11"/>
        <v>C6046J20</v>
      </c>
      <c r="I190" s="104"/>
      <c r="J190" s="105">
        <v>1.88</v>
      </c>
      <c r="K190" s="106">
        <f>IF(D190="CAESARSTONE LTD",VLOOKUP(H190,'[2]GIA CA'!G:H,2,0),IF(OR(D190="STONE FACINGS LIMITED",D190="NORDIA SA",D190="INVICTUS STONE COUNTERTOPS INC",D190="QUARTZTOP LLC"),VLOOKUP(H190,'[2] Giá ngoài Mỹ - SI-GR'!$B$5:$AZ$84,51,0),IF(OR(D190="HYUNDAI L&amp;C CANADA INC",D190="Hyundai L&amp; C USA LLC"),VLOOKUP(H190,'[2]GIA HS'!A:D,4,0),IF(Y190="Mỹ",VLOOKUP(H190,'[2]giá mỹ từ 6.8.2025'!B:I,2,0),VLOOKUP(H190,'[2]giá ngoài mỹ 6.8.2025 (final)'!B:BP,51,0)))))</f>
        <v>59</v>
      </c>
      <c r="L190" s="106">
        <v>94</v>
      </c>
      <c r="M190" s="106">
        <f t="shared" si="10"/>
        <v>35</v>
      </c>
      <c r="N190" s="106">
        <v>94</v>
      </c>
      <c r="O190" s="107">
        <v>176.72</v>
      </c>
      <c r="P190" s="107">
        <v>26110</v>
      </c>
      <c r="Q190" s="107">
        <v>4614159</v>
      </c>
      <c r="R190" s="102"/>
      <c r="S190" s="108"/>
      <c r="T190" s="109" t="s">
        <v>30</v>
      </c>
      <c r="U190" s="109"/>
      <c r="V190" s="102"/>
      <c r="W190" s="109"/>
      <c r="X190" s="109"/>
      <c r="Y190" s="110" t="s">
        <v>303</v>
      </c>
      <c r="Z190" s="111" t="str">
        <f>MID(E190,4,2)</f>
        <v>CA</v>
      </c>
    </row>
    <row r="191" spans="1:26" s="111" customFormat="1" x14ac:dyDescent="0.2">
      <c r="A191" s="101">
        <v>46237</v>
      </c>
      <c r="B191" s="91" t="s">
        <v>298</v>
      </c>
      <c r="C191" s="102" t="s">
        <v>299</v>
      </c>
      <c r="D191" s="103" t="s">
        <v>26</v>
      </c>
      <c r="E191" s="91" t="s">
        <v>300</v>
      </c>
      <c r="F191" s="91" t="s">
        <v>338</v>
      </c>
      <c r="G191" s="91" t="s">
        <v>339</v>
      </c>
      <c r="H191" s="104" t="str">
        <f t="shared" si="11"/>
        <v>C6131J20</v>
      </c>
      <c r="I191" s="104"/>
      <c r="J191" s="105">
        <v>1.2</v>
      </c>
      <c r="K191" s="106">
        <f>IF(D191="CAESARSTONE LTD",VLOOKUP(H191,'[2]GIA CA'!G:H,2,0),IF(OR(D191="STONE FACINGS LIMITED",D191="NORDIA SA",D191="INVICTUS STONE COUNTERTOPS INC",D191="QUARTZTOP LLC"),VLOOKUP(H191,'[2] Giá ngoài Mỹ - SI-GR'!$B$5:$AZ$84,51,0),IF(OR(D191="HYUNDAI L&amp;C CANADA INC",D191="Hyundai L&amp; C USA LLC"),VLOOKUP(H191,'[2]GIA HS'!A:D,4,0),IF(Y191="Mỹ",VLOOKUP(H191,'[2]giá mỹ từ 6.8.2025'!B:I,2,0),VLOOKUP(H191,'[2]giá ngoài mỹ 6.8.2025 (final)'!B:BP,51,0)))))</f>
        <v>59</v>
      </c>
      <c r="L191" s="106">
        <v>96</v>
      </c>
      <c r="M191" s="106">
        <f t="shared" si="10"/>
        <v>37</v>
      </c>
      <c r="N191" s="106">
        <v>96</v>
      </c>
      <c r="O191" s="106">
        <v>115.2</v>
      </c>
      <c r="P191" s="107">
        <v>26110</v>
      </c>
      <c r="Q191" s="107">
        <v>3007872</v>
      </c>
      <c r="R191" s="102"/>
      <c r="S191" s="108"/>
      <c r="T191" s="109" t="s">
        <v>30</v>
      </c>
      <c r="U191" s="109"/>
      <c r="V191" s="102"/>
      <c r="W191" s="109"/>
      <c r="X191" s="109"/>
      <c r="Y191" s="110" t="s">
        <v>303</v>
      </c>
      <c r="Z191" s="111" t="str">
        <f>MID(E191,4,2)</f>
        <v>CA</v>
      </c>
    </row>
    <row r="192" spans="1:26" s="111" customFormat="1" x14ac:dyDescent="0.2">
      <c r="A192" s="101">
        <v>46237</v>
      </c>
      <c r="B192" s="91" t="s">
        <v>298</v>
      </c>
      <c r="C192" s="102" t="s">
        <v>299</v>
      </c>
      <c r="D192" s="103" t="s">
        <v>26</v>
      </c>
      <c r="E192" s="91" t="s">
        <v>300</v>
      </c>
      <c r="F192" s="91" t="s">
        <v>306</v>
      </c>
      <c r="G192" s="91" t="s">
        <v>307</v>
      </c>
      <c r="H192" s="104" t="str">
        <f t="shared" si="11"/>
        <v>F5105J20</v>
      </c>
      <c r="I192" s="104"/>
      <c r="J192" s="105">
        <v>2.5</v>
      </c>
      <c r="K192" s="106">
        <f>IF(D192="CAESARSTONE LTD",VLOOKUP(H192,'[2]GIA CA'!G:H,2,0),IF(OR(D192="STONE FACINGS LIMITED",D192="NORDIA SA",D192="INVICTUS STONE COUNTERTOPS INC",D192="QUARTZTOP LLC"),VLOOKUP(H192,'[2] Giá ngoài Mỹ - SI-GR'!$B$5:$AZ$84,51,0),IF(OR(D192="HYUNDAI L&amp;C CANADA INC",D192="Hyundai L&amp; C USA LLC"),VLOOKUP(H192,'[2]GIA HS'!A:D,4,0),IF(Y192="Mỹ",VLOOKUP(H192,'[2]giá mỹ từ 6.8.2025'!B:I,2,0),VLOOKUP(H192,'[2]giá ngoài mỹ 6.8.2025 (final)'!B:BP,51,0)))))</f>
        <v>68</v>
      </c>
      <c r="L192" s="106">
        <v>129</v>
      </c>
      <c r="M192" s="106">
        <f t="shared" si="10"/>
        <v>61</v>
      </c>
      <c r="N192" s="106">
        <v>129</v>
      </c>
      <c r="O192" s="107">
        <v>322.5</v>
      </c>
      <c r="P192" s="107">
        <v>26110</v>
      </c>
      <c r="Q192" s="107">
        <v>8420475</v>
      </c>
      <c r="R192" s="102"/>
      <c r="S192" s="108"/>
      <c r="T192" s="109" t="s">
        <v>30</v>
      </c>
      <c r="U192" s="109"/>
      <c r="V192" s="102"/>
      <c r="W192" s="109"/>
      <c r="X192" s="109"/>
      <c r="Y192" s="110" t="s">
        <v>303</v>
      </c>
      <c r="Z192" s="111" t="str">
        <f>MID(E192,4,2)</f>
        <v>CA</v>
      </c>
    </row>
    <row r="193" spans="1:26" s="111" customFormat="1" x14ac:dyDescent="0.2">
      <c r="A193" s="101">
        <v>46237</v>
      </c>
      <c r="B193" s="91" t="s">
        <v>298</v>
      </c>
      <c r="C193" s="102" t="s">
        <v>299</v>
      </c>
      <c r="D193" s="103" t="s">
        <v>26</v>
      </c>
      <c r="E193" s="91" t="s">
        <v>300</v>
      </c>
      <c r="F193" s="91" t="s">
        <v>306</v>
      </c>
      <c r="G193" s="91" t="s">
        <v>307</v>
      </c>
      <c r="H193" s="104" t="str">
        <f t="shared" si="11"/>
        <v>F5105J20</v>
      </c>
      <c r="I193" s="104"/>
      <c r="J193" s="105">
        <v>2.5</v>
      </c>
      <c r="K193" s="106">
        <f>IF(D193="CAESARSTONE LTD",VLOOKUP(H193,'[2]GIA CA'!G:H,2,0),IF(OR(D193="STONE FACINGS LIMITED",D193="NORDIA SA",D193="INVICTUS STONE COUNTERTOPS INC",D193="QUARTZTOP LLC"),VLOOKUP(H193,'[2] Giá ngoài Mỹ - SI-GR'!$B$5:$AZ$84,51,0),IF(OR(D193="HYUNDAI L&amp;C CANADA INC",D193="Hyundai L&amp; C USA LLC"),VLOOKUP(H193,'[2]GIA HS'!A:D,4,0),IF(Y193="Mỹ",VLOOKUP(H193,'[2]giá mỹ từ 6.8.2025'!B:I,2,0),VLOOKUP(H193,'[2]giá ngoài mỹ 6.8.2025 (final)'!B:BP,51,0)))))</f>
        <v>68</v>
      </c>
      <c r="L193" s="106">
        <v>129</v>
      </c>
      <c r="M193" s="106">
        <f t="shared" si="10"/>
        <v>61</v>
      </c>
      <c r="N193" s="106">
        <v>129</v>
      </c>
      <c r="O193" s="107">
        <v>322.5</v>
      </c>
      <c r="P193" s="107">
        <v>26110</v>
      </c>
      <c r="Q193" s="107">
        <v>8420475</v>
      </c>
      <c r="R193" s="102"/>
      <c r="S193" s="108"/>
      <c r="T193" s="109" t="s">
        <v>30</v>
      </c>
      <c r="U193" s="109"/>
      <c r="V193" s="102"/>
      <c r="W193" s="109"/>
      <c r="X193" s="109"/>
      <c r="Y193" s="110" t="s">
        <v>303</v>
      </c>
      <c r="Z193" s="111" t="str">
        <f>MID(E193,4,2)</f>
        <v>CA</v>
      </c>
    </row>
    <row r="194" spans="1:26" s="111" customFormat="1" x14ac:dyDescent="0.2">
      <c r="A194" s="101">
        <v>46237</v>
      </c>
      <c r="B194" s="91" t="s">
        <v>298</v>
      </c>
      <c r="C194" s="102" t="s">
        <v>299</v>
      </c>
      <c r="D194" s="103" t="s">
        <v>26</v>
      </c>
      <c r="E194" s="91" t="s">
        <v>300</v>
      </c>
      <c r="F194" s="91" t="s">
        <v>336</v>
      </c>
      <c r="G194" s="91" t="s">
        <v>337</v>
      </c>
      <c r="H194" s="104" t="str">
        <f t="shared" si="11"/>
        <v>C6046J20</v>
      </c>
      <c r="I194" s="104"/>
      <c r="J194" s="105">
        <v>1.88</v>
      </c>
      <c r="K194" s="106">
        <f>IF(D194="CAESARSTONE LTD",VLOOKUP(H194,'[2]GIA CA'!G:H,2,0),IF(OR(D194="STONE FACINGS LIMITED",D194="NORDIA SA",D194="INVICTUS STONE COUNTERTOPS INC",D194="QUARTZTOP LLC"),VLOOKUP(H194,'[2] Giá ngoài Mỹ - SI-GR'!$B$5:$AZ$84,51,0),IF(OR(D194="HYUNDAI L&amp;C CANADA INC",D194="Hyundai L&amp; C USA LLC"),VLOOKUP(H194,'[2]GIA HS'!A:D,4,0),IF(Y194="Mỹ",VLOOKUP(H194,'[2]giá mỹ từ 6.8.2025'!B:I,2,0),VLOOKUP(H194,'[2]giá ngoài mỹ 6.8.2025 (final)'!B:BP,51,0)))))</f>
        <v>59</v>
      </c>
      <c r="L194" s="106">
        <v>94</v>
      </c>
      <c r="M194" s="106">
        <f t="shared" si="10"/>
        <v>35</v>
      </c>
      <c r="N194" s="106">
        <v>94</v>
      </c>
      <c r="O194" s="107">
        <v>176.72</v>
      </c>
      <c r="P194" s="107">
        <v>26110</v>
      </c>
      <c r="Q194" s="107">
        <v>4614159</v>
      </c>
      <c r="R194" s="102"/>
      <c r="S194" s="108"/>
      <c r="T194" s="109" t="s">
        <v>30</v>
      </c>
      <c r="U194" s="109"/>
      <c r="V194" s="102"/>
      <c r="W194" s="109"/>
      <c r="X194" s="109"/>
      <c r="Y194" s="110" t="s">
        <v>303</v>
      </c>
      <c r="Z194" s="111" t="str">
        <f>MID(E194,4,2)</f>
        <v>CA</v>
      </c>
    </row>
    <row r="195" spans="1:26" s="111" customFormat="1" x14ac:dyDescent="0.2">
      <c r="A195" s="101">
        <v>46237</v>
      </c>
      <c r="B195" s="91" t="s">
        <v>298</v>
      </c>
      <c r="C195" s="102" t="s">
        <v>299</v>
      </c>
      <c r="D195" s="103" t="s">
        <v>26</v>
      </c>
      <c r="E195" s="91" t="s">
        <v>300</v>
      </c>
      <c r="F195" s="91" t="s">
        <v>186</v>
      </c>
      <c r="G195" s="91" t="s">
        <v>187</v>
      </c>
      <c r="H195" s="104" t="str">
        <f t="shared" si="11"/>
        <v>C6131J20</v>
      </c>
      <c r="I195" s="104"/>
      <c r="J195" s="105">
        <v>1.88</v>
      </c>
      <c r="K195" s="106">
        <f>IF(D195="CAESARSTONE LTD",VLOOKUP(H195,'[2]GIA CA'!G:H,2,0),IF(OR(D195="STONE FACINGS LIMITED",D195="NORDIA SA",D195="INVICTUS STONE COUNTERTOPS INC",D195="QUARTZTOP LLC"),VLOOKUP(H195,'[2] Giá ngoài Mỹ - SI-GR'!$B$5:$AZ$84,51,0),IF(OR(D195="HYUNDAI L&amp;C CANADA INC",D195="Hyundai L&amp; C USA LLC"),VLOOKUP(H195,'[2]GIA HS'!A:D,4,0),IF(Y195="Mỹ",VLOOKUP(H195,'[2]giá mỹ từ 6.8.2025'!B:I,2,0),VLOOKUP(H195,'[2]giá ngoài mỹ 6.8.2025 (final)'!B:BP,51,0)))))</f>
        <v>59</v>
      </c>
      <c r="L195" s="106">
        <v>94</v>
      </c>
      <c r="M195" s="106">
        <f t="shared" si="10"/>
        <v>35</v>
      </c>
      <c r="N195" s="106">
        <v>94</v>
      </c>
      <c r="O195" s="107">
        <v>176.72</v>
      </c>
      <c r="P195" s="107">
        <v>26110</v>
      </c>
      <c r="Q195" s="107">
        <v>4614159</v>
      </c>
      <c r="R195" s="102"/>
      <c r="S195" s="108"/>
      <c r="T195" s="109" t="s">
        <v>30</v>
      </c>
      <c r="U195" s="109"/>
      <c r="V195" s="102"/>
      <c r="W195" s="109"/>
      <c r="X195" s="109"/>
      <c r="Y195" s="110" t="s">
        <v>303</v>
      </c>
      <c r="Z195" s="111" t="str">
        <f>MID(E195,4,2)</f>
        <v>CA</v>
      </c>
    </row>
    <row r="196" spans="1:26" s="111" customFormat="1" x14ac:dyDescent="0.2">
      <c r="A196" s="101">
        <v>46237</v>
      </c>
      <c r="B196" s="91" t="s">
        <v>298</v>
      </c>
      <c r="C196" s="102" t="s">
        <v>299</v>
      </c>
      <c r="D196" s="103" t="s">
        <v>26</v>
      </c>
      <c r="E196" s="91" t="s">
        <v>300</v>
      </c>
      <c r="F196" s="91" t="s">
        <v>306</v>
      </c>
      <c r="G196" s="91" t="s">
        <v>307</v>
      </c>
      <c r="H196" s="104" t="str">
        <f t="shared" si="11"/>
        <v>F5105J20</v>
      </c>
      <c r="I196" s="104"/>
      <c r="J196" s="105">
        <v>2.5</v>
      </c>
      <c r="K196" s="106">
        <f>IF(D196="CAESARSTONE LTD",VLOOKUP(H196,'[2]GIA CA'!G:H,2,0),IF(OR(D196="STONE FACINGS LIMITED",D196="NORDIA SA",D196="INVICTUS STONE COUNTERTOPS INC",D196="QUARTZTOP LLC"),VLOOKUP(H196,'[2] Giá ngoài Mỹ - SI-GR'!$B$5:$AZ$84,51,0),IF(OR(D196="HYUNDAI L&amp;C CANADA INC",D196="Hyundai L&amp; C USA LLC"),VLOOKUP(H196,'[2]GIA HS'!A:D,4,0),IF(Y196="Mỹ",VLOOKUP(H196,'[2]giá mỹ từ 6.8.2025'!B:I,2,0),VLOOKUP(H196,'[2]giá ngoài mỹ 6.8.2025 (final)'!B:BP,51,0)))))</f>
        <v>68</v>
      </c>
      <c r="L196" s="106">
        <v>129</v>
      </c>
      <c r="M196" s="106">
        <f t="shared" si="10"/>
        <v>61</v>
      </c>
      <c r="N196" s="106">
        <v>129</v>
      </c>
      <c r="O196" s="107">
        <v>322.5</v>
      </c>
      <c r="P196" s="107">
        <v>26110</v>
      </c>
      <c r="Q196" s="107">
        <v>8420475</v>
      </c>
      <c r="R196" s="102"/>
      <c r="S196" s="108"/>
      <c r="T196" s="109" t="s">
        <v>30</v>
      </c>
      <c r="U196" s="109"/>
      <c r="V196" s="102"/>
      <c r="W196" s="109"/>
      <c r="X196" s="109"/>
      <c r="Y196" s="110" t="s">
        <v>303</v>
      </c>
      <c r="Z196" s="111" t="str">
        <f>MID(E196,4,2)</f>
        <v>CA</v>
      </c>
    </row>
    <row r="197" spans="1:26" s="111" customFormat="1" x14ac:dyDescent="0.2">
      <c r="A197" s="101">
        <v>46237</v>
      </c>
      <c r="B197" s="91" t="s">
        <v>298</v>
      </c>
      <c r="C197" s="102" t="s">
        <v>299</v>
      </c>
      <c r="D197" s="103" t="s">
        <v>26</v>
      </c>
      <c r="E197" s="91" t="s">
        <v>300</v>
      </c>
      <c r="F197" s="91" t="s">
        <v>253</v>
      </c>
      <c r="G197" s="91" t="s">
        <v>254</v>
      </c>
      <c r="H197" s="104" t="str">
        <f t="shared" si="11"/>
        <v>F5144J20</v>
      </c>
      <c r="I197" s="104"/>
      <c r="J197" s="105">
        <v>1.88</v>
      </c>
      <c r="K197" s="106">
        <f>IF(D197="CAESARSTONE LTD",VLOOKUP(H197,'[2]GIA CA'!G:H,2,0),IF(OR(D197="STONE FACINGS LIMITED",D197="NORDIA SA",D197="INVICTUS STONE COUNTERTOPS INC",D197="QUARTZTOP LLC"),VLOOKUP(H197,'[2] Giá ngoài Mỹ - SI-GR'!$B$5:$AZ$84,51,0),IF(OR(D197="HYUNDAI L&amp;C CANADA INC",D197="Hyundai L&amp; C USA LLC"),VLOOKUP(H197,'[2]GIA HS'!A:D,4,0),IF(Y197="Mỹ",VLOOKUP(H197,'[2]giá mỹ từ 6.8.2025'!B:I,2,0),VLOOKUP(H197,'[2]giá ngoài mỹ 6.8.2025 (final)'!B:BP,51,0)))))</f>
        <v>62</v>
      </c>
      <c r="L197" s="106">
        <v>94</v>
      </c>
      <c r="M197" s="106">
        <f t="shared" si="10"/>
        <v>32</v>
      </c>
      <c r="N197" s="106">
        <v>94</v>
      </c>
      <c r="O197" s="107">
        <v>176.72</v>
      </c>
      <c r="P197" s="107">
        <v>26110</v>
      </c>
      <c r="Q197" s="107">
        <v>4614159</v>
      </c>
      <c r="R197" s="102"/>
      <c r="S197" s="108"/>
      <c r="T197" s="109" t="s">
        <v>30</v>
      </c>
      <c r="U197" s="109"/>
      <c r="V197" s="102"/>
      <c r="W197" s="109"/>
      <c r="X197" s="109"/>
      <c r="Y197" s="110" t="s">
        <v>303</v>
      </c>
      <c r="Z197" s="111" t="str">
        <f>MID(E197,4,2)</f>
        <v>CA</v>
      </c>
    </row>
    <row r="198" spans="1:26" s="111" customFormat="1" x14ac:dyDescent="0.2">
      <c r="A198" s="101">
        <v>46237</v>
      </c>
      <c r="B198" s="91" t="s">
        <v>298</v>
      </c>
      <c r="C198" s="102" t="s">
        <v>299</v>
      </c>
      <c r="D198" s="103" t="s">
        <v>26</v>
      </c>
      <c r="E198" s="91" t="s">
        <v>300</v>
      </c>
      <c r="F198" s="91" t="s">
        <v>320</v>
      </c>
      <c r="G198" s="91" t="s">
        <v>321</v>
      </c>
      <c r="H198" s="104" t="str">
        <f t="shared" si="11"/>
        <v>F8252J20</v>
      </c>
      <c r="I198" s="104"/>
      <c r="J198" s="105">
        <v>1.6</v>
      </c>
      <c r="K198" s="106">
        <f>IF(D198="CAESARSTONE LTD",VLOOKUP(H198,'[2]GIA CA'!G:H,2,0),IF(OR(D198="STONE FACINGS LIMITED",D198="NORDIA SA",D198="INVICTUS STONE COUNTERTOPS INC",D198="QUARTZTOP LLC"),VLOOKUP(H198,'[2] Giá ngoài Mỹ - SI-GR'!$B$5:$AZ$84,51,0),IF(OR(D198="HYUNDAI L&amp;C CANADA INC",D198="Hyundai L&amp; C USA LLC"),VLOOKUP(H198,'[2]GIA HS'!A:D,4,0),IF(Y198="Mỹ",VLOOKUP(H198,'[2]giá mỹ từ 6.8.2025'!B:I,2,0),VLOOKUP(H198,'[2]giá ngoài mỹ 6.8.2025 (final)'!B:BP,51,0)))))</f>
        <v>68</v>
      </c>
      <c r="L198" s="106">
        <v>131</v>
      </c>
      <c r="M198" s="106">
        <f t="shared" si="10"/>
        <v>63</v>
      </c>
      <c r="N198" s="106">
        <v>131</v>
      </c>
      <c r="O198" s="107">
        <v>209.6</v>
      </c>
      <c r="P198" s="107">
        <v>26110</v>
      </c>
      <c r="Q198" s="107">
        <v>5472656</v>
      </c>
      <c r="R198" s="102"/>
      <c r="S198" s="108"/>
      <c r="T198" s="109" t="s">
        <v>30</v>
      </c>
      <c r="U198" s="109"/>
      <c r="V198" s="102"/>
      <c r="W198" s="109"/>
      <c r="X198" s="109"/>
      <c r="Y198" s="110" t="s">
        <v>303</v>
      </c>
      <c r="Z198" s="111" t="str">
        <f>MID(E198,4,2)</f>
        <v>CA</v>
      </c>
    </row>
    <row r="199" spans="1:26" s="111" customFormat="1" x14ac:dyDescent="0.2">
      <c r="A199" s="101">
        <v>46237</v>
      </c>
      <c r="B199" s="91" t="s">
        <v>298</v>
      </c>
      <c r="C199" s="102" t="s">
        <v>299</v>
      </c>
      <c r="D199" s="103" t="s">
        <v>26</v>
      </c>
      <c r="E199" s="91" t="s">
        <v>300</v>
      </c>
      <c r="F199" s="91" t="s">
        <v>320</v>
      </c>
      <c r="G199" s="91" t="s">
        <v>321</v>
      </c>
      <c r="H199" s="104" t="str">
        <f t="shared" si="11"/>
        <v>F8252J20</v>
      </c>
      <c r="I199" s="104"/>
      <c r="J199" s="105">
        <v>1.6</v>
      </c>
      <c r="K199" s="106">
        <f>IF(D199="CAESARSTONE LTD",VLOOKUP(H199,'[2]GIA CA'!G:H,2,0),IF(OR(D199="STONE FACINGS LIMITED",D199="NORDIA SA",D199="INVICTUS STONE COUNTERTOPS INC",D199="QUARTZTOP LLC"),VLOOKUP(H199,'[2] Giá ngoài Mỹ - SI-GR'!$B$5:$AZ$84,51,0),IF(OR(D199="HYUNDAI L&amp;C CANADA INC",D199="Hyundai L&amp; C USA LLC"),VLOOKUP(H199,'[2]GIA HS'!A:D,4,0),IF(Y199="Mỹ",VLOOKUP(H199,'[2]giá mỹ từ 6.8.2025'!B:I,2,0),VLOOKUP(H199,'[2]giá ngoài mỹ 6.8.2025 (final)'!B:BP,51,0)))))</f>
        <v>68</v>
      </c>
      <c r="L199" s="106">
        <v>131</v>
      </c>
      <c r="M199" s="106">
        <f t="shared" si="10"/>
        <v>63</v>
      </c>
      <c r="N199" s="106">
        <v>131</v>
      </c>
      <c r="O199" s="107">
        <v>209.6</v>
      </c>
      <c r="P199" s="107">
        <v>26110</v>
      </c>
      <c r="Q199" s="107">
        <v>5472656</v>
      </c>
      <c r="R199" s="102"/>
      <c r="S199" s="108"/>
      <c r="T199" s="109" t="s">
        <v>30</v>
      </c>
      <c r="U199" s="109"/>
      <c r="V199" s="102"/>
      <c r="W199" s="109"/>
      <c r="X199" s="109"/>
      <c r="Y199" s="110" t="s">
        <v>303</v>
      </c>
      <c r="Z199" s="111" t="str">
        <f>MID(E199,4,2)</f>
        <v>CA</v>
      </c>
    </row>
    <row r="200" spans="1:26" s="111" customFormat="1" x14ac:dyDescent="0.2">
      <c r="A200" s="101">
        <v>46237</v>
      </c>
      <c r="B200" s="91" t="s">
        <v>298</v>
      </c>
      <c r="C200" s="102" t="s">
        <v>299</v>
      </c>
      <c r="D200" s="103" t="s">
        <v>26</v>
      </c>
      <c r="E200" s="91" t="s">
        <v>300</v>
      </c>
      <c r="F200" s="91" t="s">
        <v>322</v>
      </c>
      <c r="G200" s="91" t="s">
        <v>323</v>
      </c>
      <c r="H200" s="104" t="str">
        <f t="shared" si="11"/>
        <v>F8252J20</v>
      </c>
      <c r="I200" s="104"/>
      <c r="J200" s="105">
        <v>2.5</v>
      </c>
      <c r="K200" s="106">
        <f>IF(D200="CAESARSTONE LTD",VLOOKUP(H200,'[2]GIA CA'!G:H,2,0),IF(OR(D200="STONE FACINGS LIMITED",D200="NORDIA SA",D200="INVICTUS STONE COUNTERTOPS INC",D200="QUARTZTOP LLC"),VLOOKUP(H200,'[2] Giá ngoài Mỹ - SI-GR'!$B$5:$AZ$84,51,0),IF(OR(D200="HYUNDAI L&amp;C CANADA INC",D200="Hyundai L&amp; C USA LLC"),VLOOKUP(H200,'[2]GIA HS'!A:D,4,0),IF(Y200="Mỹ",VLOOKUP(H200,'[2]giá mỹ từ 6.8.2025'!B:I,2,0),VLOOKUP(H200,'[2]giá ngoài mỹ 6.8.2025 (final)'!B:BP,51,0)))))</f>
        <v>68</v>
      </c>
      <c r="L200" s="106">
        <v>129</v>
      </c>
      <c r="M200" s="106">
        <f t="shared" si="10"/>
        <v>61</v>
      </c>
      <c r="N200" s="106">
        <v>129</v>
      </c>
      <c r="O200" s="107">
        <v>322.5</v>
      </c>
      <c r="P200" s="107">
        <v>26110</v>
      </c>
      <c r="Q200" s="107">
        <v>8420475</v>
      </c>
      <c r="R200" s="102"/>
      <c r="S200" s="108"/>
      <c r="T200" s="109" t="s">
        <v>30</v>
      </c>
      <c r="U200" s="109"/>
      <c r="V200" s="102"/>
      <c r="W200" s="109"/>
      <c r="X200" s="109"/>
      <c r="Y200" s="110" t="s">
        <v>303</v>
      </c>
      <c r="Z200" s="111" t="str">
        <f>MID(E200,4,2)</f>
        <v>CA</v>
      </c>
    </row>
    <row r="201" spans="1:26" s="111" customFormat="1" x14ac:dyDescent="0.2">
      <c r="A201" s="101">
        <v>46237</v>
      </c>
      <c r="B201" s="91" t="s">
        <v>298</v>
      </c>
      <c r="C201" s="102" t="s">
        <v>299</v>
      </c>
      <c r="D201" s="103" t="s">
        <v>26</v>
      </c>
      <c r="E201" s="91" t="s">
        <v>300</v>
      </c>
      <c r="F201" s="91" t="s">
        <v>322</v>
      </c>
      <c r="G201" s="91" t="s">
        <v>323</v>
      </c>
      <c r="H201" s="104" t="str">
        <f t="shared" si="11"/>
        <v>F8252J20</v>
      </c>
      <c r="I201" s="104"/>
      <c r="J201" s="105">
        <v>2.5</v>
      </c>
      <c r="K201" s="106">
        <f>IF(D201="CAESARSTONE LTD",VLOOKUP(H201,'[2]GIA CA'!G:H,2,0),IF(OR(D201="STONE FACINGS LIMITED",D201="NORDIA SA",D201="INVICTUS STONE COUNTERTOPS INC",D201="QUARTZTOP LLC"),VLOOKUP(H201,'[2] Giá ngoài Mỹ - SI-GR'!$B$5:$AZ$84,51,0),IF(OR(D201="HYUNDAI L&amp;C CANADA INC",D201="Hyundai L&amp; C USA LLC"),VLOOKUP(H201,'[2]GIA HS'!A:D,4,0),IF(Y201="Mỹ",VLOOKUP(H201,'[2]giá mỹ từ 6.8.2025'!B:I,2,0),VLOOKUP(H201,'[2]giá ngoài mỹ 6.8.2025 (final)'!B:BP,51,0)))))</f>
        <v>68</v>
      </c>
      <c r="L201" s="106">
        <v>129</v>
      </c>
      <c r="M201" s="106">
        <f t="shared" si="10"/>
        <v>61</v>
      </c>
      <c r="N201" s="106">
        <v>129</v>
      </c>
      <c r="O201" s="107">
        <v>322.5</v>
      </c>
      <c r="P201" s="107">
        <v>26110</v>
      </c>
      <c r="Q201" s="107">
        <v>8420475</v>
      </c>
      <c r="R201" s="102"/>
      <c r="S201" s="108"/>
      <c r="T201" s="109" t="s">
        <v>30</v>
      </c>
      <c r="U201" s="109"/>
      <c r="V201" s="102"/>
      <c r="W201" s="109"/>
      <c r="X201" s="109"/>
      <c r="Y201" s="110" t="s">
        <v>303</v>
      </c>
      <c r="Z201" s="111" t="str">
        <f>MID(E201,4,2)</f>
        <v>CA</v>
      </c>
    </row>
    <row r="202" spans="1:26" s="111" customFormat="1" x14ac:dyDescent="0.2">
      <c r="A202" s="101">
        <v>46237</v>
      </c>
      <c r="B202" s="91" t="s">
        <v>298</v>
      </c>
      <c r="C202" s="102" t="s">
        <v>299</v>
      </c>
      <c r="D202" s="103" t="s">
        <v>26</v>
      </c>
      <c r="E202" s="91" t="s">
        <v>300</v>
      </c>
      <c r="F202" s="91" t="s">
        <v>340</v>
      </c>
      <c r="G202" s="91" t="s">
        <v>341</v>
      </c>
      <c r="H202" s="104" t="str">
        <f t="shared" si="11"/>
        <v>C0406J20</v>
      </c>
      <c r="I202" s="104"/>
      <c r="J202" s="105">
        <v>81.75</v>
      </c>
      <c r="K202" s="106">
        <f>IF(D202="CAESARSTONE LTD",VLOOKUP(H202,'[2]GIA CA'!G:H,2,0),IF(OR(D202="STONE FACINGS LIMITED",D202="NORDIA SA",D202="INVICTUS STONE COUNTERTOPS INC",D202="QUARTZTOP LLC"),VLOOKUP(H202,'[2] Giá ngoài Mỹ - SI-GR'!$B$5:$AZ$84,51,0),IF(OR(D202="HYUNDAI L&amp;C CANADA INC",D202="Hyundai L&amp; C USA LLC"),VLOOKUP(H202,'[2]GIA HS'!A:D,4,0),IF(Y202="Mỹ",VLOOKUP(H202,'[2]giá mỹ từ 6.8.2025'!B:I,2,0),VLOOKUP(H202,'[2]giá ngoài mỹ 6.8.2025 (final)'!B:BP,51,0)))))</f>
        <v>58</v>
      </c>
      <c r="L202" s="106">
        <v>456</v>
      </c>
      <c r="M202" s="106">
        <f t="shared" si="10"/>
        <v>398</v>
      </c>
      <c r="N202" s="106">
        <v>456</v>
      </c>
      <c r="O202" s="107">
        <v>37278</v>
      </c>
      <c r="P202" s="107">
        <v>26110</v>
      </c>
      <c r="Q202" s="107">
        <v>973328580</v>
      </c>
      <c r="R202" s="102" t="s">
        <v>30</v>
      </c>
      <c r="S202" s="108"/>
      <c r="T202" s="109"/>
      <c r="U202" s="109"/>
      <c r="V202" s="102"/>
      <c r="W202" s="109"/>
      <c r="X202" s="109"/>
      <c r="Y202" s="110" t="s">
        <v>303</v>
      </c>
      <c r="Z202" s="111" t="str">
        <f>MID(E202,4,2)</f>
        <v>CA</v>
      </c>
    </row>
    <row r="203" spans="1:26" s="111" customFormat="1" x14ac:dyDescent="0.2">
      <c r="A203" s="101">
        <v>46237</v>
      </c>
      <c r="B203" s="91" t="s">
        <v>298</v>
      </c>
      <c r="C203" s="102" t="s">
        <v>299</v>
      </c>
      <c r="D203" s="103" t="s">
        <v>26</v>
      </c>
      <c r="E203" s="91" t="s">
        <v>300</v>
      </c>
      <c r="F203" s="91" t="s">
        <v>342</v>
      </c>
      <c r="G203" s="91" t="s">
        <v>343</v>
      </c>
      <c r="H203" s="104" t="str">
        <f t="shared" si="11"/>
        <v>C0406J20</v>
      </c>
      <c r="I203" s="104"/>
      <c r="J203" s="105">
        <v>65.400000000000006</v>
      </c>
      <c r="K203" s="106">
        <f>IF(D203="CAESARSTONE LTD",VLOOKUP(H203,'[2]GIA CA'!G:H,2,0),IF(OR(D203="STONE FACINGS LIMITED",D203="NORDIA SA",D203="INVICTUS STONE COUNTERTOPS INC",D203="QUARTZTOP LLC"),VLOOKUP(H203,'[2] Giá ngoài Mỹ - SI-GR'!$B$5:$AZ$84,51,0),IF(OR(D203="HYUNDAI L&amp;C CANADA INC",D203="Hyundai L&amp; C USA LLC"),VLOOKUP(H203,'[2]GIA HS'!A:D,4,0),IF(Y203="Mỹ",VLOOKUP(H203,'[2]giá mỹ từ 6.8.2025'!B:I,2,0),VLOOKUP(H203,'[2]giá ngoài mỹ 6.8.2025 (final)'!B:BP,51,0)))))</f>
        <v>58</v>
      </c>
      <c r="L203" s="106">
        <v>417</v>
      </c>
      <c r="M203" s="106">
        <f t="shared" si="10"/>
        <v>359</v>
      </c>
      <c r="N203" s="106">
        <v>417</v>
      </c>
      <c r="O203" s="107">
        <v>27271.8</v>
      </c>
      <c r="P203" s="107">
        <v>26110</v>
      </c>
      <c r="Q203" s="107">
        <v>712066698</v>
      </c>
      <c r="R203" s="102" t="s">
        <v>30</v>
      </c>
      <c r="S203" s="108"/>
      <c r="T203" s="109"/>
      <c r="U203" s="109"/>
      <c r="V203" s="102"/>
      <c r="W203" s="109"/>
      <c r="X203" s="109"/>
      <c r="Y203" s="110" t="s">
        <v>303</v>
      </c>
      <c r="Z203" s="111" t="str">
        <f>MID(E203,4,2)</f>
        <v>CA</v>
      </c>
    </row>
    <row r="204" spans="1:26" s="111" customFormat="1" x14ac:dyDescent="0.2">
      <c r="A204" s="101">
        <v>46237</v>
      </c>
      <c r="B204" s="91" t="s">
        <v>298</v>
      </c>
      <c r="C204" s="102" t="s">
        <v>299</v>
      </c>
      <c r="D204" s="103" t="s">
        <v>26</v>
      </c>
      <c r="E204" s="91" t="s">
        <v>300</v>
      </c>
      <c r="F204" s="91" t="s">
        <v>342</v>
      </c>
      <c r="G204" s="91" t="s">
        <v>343</v>
      </c>
      <c r="H204" s="104" t="str">
        <f t="shared" si="11"/>
        <v>C0406J20</v>
      </c>
      <c r="I204" s="104"/>
      <c r="J204" s="105">
        <v>27.25</v>
      </c>
      <c r="K204" s="106">
        <f>IF(D204="CAESARSTONE LTD",VLOOKUP(H204,'[2]GIA CA'!G:H,2,0),IF(OR(D204="STONE FACINGS LIMITED",D204="NORDIA SA",D204="INVICTUS STONE COUNTERTOPS INC",D204="QUARTZTOP LLC"),VLOOKUP(H204,'[2] Giá ngoài Mỹ - SI-GR'!$B$5:$AZ$84,51,0),IF(OR(D204="HYUNDAI L&amp;C CANADA INC",D204="Hyundai L&amp; C USA LLC"),VLOOKUP(H204,'[2]GIA HS'!A:D,4,0),IF(Y204="Mỹ",VLOOKUP(H204,'[2]giá mỹ từ 6.8.2025'!B:I,2,0),VLOOKUP(H204,'[2]giá ngoài mỹ 6.8.2025 (final)'!B:BP,51,0)))))</f>
        <v>58</v>
      </c>
      <c r="L204" s="106">
        <v>417</v>
      </c>
      <c r="M204" s="106">
        <f t="shared" si="10"/>
        <v>359</v>
      </c>
      <c r="N204" s="106">
        <v>417</v>
      </c>
      <c r="O204" s="107">
        <v>11363.25</v>
      </c>
      <c r="P204" s="107">
        <v>26110</v>
      </c>
      <c r="Q204" s="107">
        <v>296694458</v>
      </c>
      <c r="R204" s="102" t="s">
        <v>30</v>
      </c>
      <c r="S204" s="108"/>
      <c r="T204" s="109"/>
      <c r="U204" s="109"/>
      <c r="V204" s="102"/>
      <c r="W204" s="109"/>
      <c r="X204" s="109"/>
      <c r="Y204" s="110" t="s">
        <v>303</v>
      </c>
      <c r="Z204" s="111" t="str">
        <f>MID(E204,4,2)</f>
        <v>CA</v>
      </c>
    </row>
    <row r="205" spans="1:26" s="111" customFormat="1" x14ac:dyDescent="0.2">
      <c r="A205" s="101">
        <v>46237</v>
      </c>
      <c r="B205" s="91" t="s">
        <v>298</v>
      </c>
      <c r="C205" s="102" t="s">
        <v>299</v>
      </c>
      <c r="D205" s="103" t="s">
        <v>26</v>
      </c>
      <c r="E205" s="91" t="s">
        <v>300</v>
      </c>
      <c r="F205" s="91" t="s">
        <v>342</v>
      </c>
      <c r="G205" s="91" t="s">
        <v>343</v>
      </c>
      <c r="H205" s="104" t="str">
        <f t="shared" si="11"/>
        <v>C0406J20</v>
      </c>
      <c r="I205" s="104"/>
      <c r="J205" s="105">
        <v>43.6</v>
      </c>
      <c r="K205" s="106">
        <f>IF(D205="CAESARSTONE LTD",VLOOKUP(H205,'[2]GIA CA'!G:H,2,0),IF(OR(D205="STONE FACINGS LIMITED",D205="NORDIA SA",D205="INVICTUS STONE COUNTERTOPS INC",D205="QUARTZTOP LLC"),VLOOKUP(H205,'[2] Giá ngoài Mỹ - SI-GR'!$B$5:$AZ$84,51,0),IF(OR(D205="HYUNDAI L&amp;C CANADA INC",D205="Hyundai L&amp; C USA LLC"),VLOOKUP(H205,'[2]GIA HS'!A:D,4,0),IF(Y205="Mỹ",VLOOKUP(H205,'[2]giá mỹ từ 6.8.2025'!B:I,2,0),VLOOKUP(H205,'[2]giá ngoài mỹ 6.8.2025 (final)'!B:BP,51,0)))))</f>
        <v>58</v>
      </c>
      <c r="L205" s="106">
        <v>417</v>
      </c>
      <c r="M205" s="106">
        <f t="shared" ref="M205:M268" si="15">L205-K205</f>
        <v>359</v>
      </c>
      <c r="N205" s="106">
        <v>417</v>
      </c>
      <c r="O205" s="107">
        <v>18181.2</v>
      </c>
      <c r="P205" s="107">
        <v>26110</v>
      </c>
      <c r="Q205" s="107">
        <v>474711132</v>
      </c>
      <c r="R205" s="102" t="s">
        <v>30</v>
      </c>
      <c r="S205" s="108"/>
      <c r="T205" s="109"/>
      <c r="U205" s="109"/>
      <c r="V205" s="102"/>
      <c r="W205" s="109"/>
      <c r="X205" s="109"/>
      <c r="Y205" s="110" t="s">
        <v>303</v>
      </c>
      <c r="Z205" s="111" t="str">
        <f>MID(E205,4,2)</f>
        <v>CA</v>
      </c>
    </row>
    <row r="206" spans="1:26" s="111" customFormat="1" x14ac:dyDescent="0.2">
      <c r="A206" s="101">
        <v>46237</v>
      </c>
      <c r="B206" s="91" t="s">
        <v>298</v>
      </c>
      <c r="C206" s="102" t="s">
        <v>299</v>
      </c>
      <c r="D206" s="103" t="s">
        <v>26</v>
      </c>
      <c r="E206" s="91" t="s">
        <v>300</v>
      </c>
      <c r="F206" s="91" t="s">
        <v>342</v>
      </c>
      <c r="G206" s="91" t="s">
        <v>343</v>
      </c>
      <c r="H206" s="104" t="str">
        <f t="shared" ref="H206:H269" si="16">IF(LEN(G206)=13,LEFT(G206,5)&amp;MID(G206,SEARCH("-J",G206)+1,3),LEFT(G206,5)&amp;"J20")</f>
        <v>C0406J20</v>
      </c>
      <c r="I206" s="104"/>
      <c r="J206" s="105">
        <v>16.350000000000001</v>
      </c>
      <c r="K206" s="106">
        <f>IF(D206="CAESARSTONE LTD",VLOOKUP(H206,'[2]GIA CA'!G:H,2,0),IF(OR(D206="STONE FACINGS LIMITED",D206="NORDIA SA",D206="INVICTUS STONE COUNTERTOPS INC",D206="QUARTZTOP LLC"),VLOOKUP(H206,'[2] Giá ngoài Mỹ - SI-GR'!$B$5:$AZ$84,51,0),IF(OR(D206="HYUNDAI L&amp;C CANADA INC",D206="Hyundai L&amp; C USA LLC"),VLOOKUP(H206,'[2]GIA HS'!A:D,4,0),IF(Y206="Mỹ",VLOOKUP(H206,'[2]giá mỹ từ 6.8.2025'!B:I,2,0),VLOOKUP(H206,'[2]giá ngoài mỹ 6.8.2025 (final)'!B:BP,51,0)))))</f>
        <v>58</v>
      </c>
      <c r="L206" s="106">
        <v>417</v>
      </c>
      <c r="M206" s="106">
        <f t="shared" si="15"/>
        <v>359</v>
      </c>
      <c r="N206" s="106">
        <v>417</v>
      </c>
      <c r="O206" s="107">
        <v>6817.95</v>
      </c>
      <c r="P206" s="107">
        <v>26110</v>
      </c>
      <c r="Q206" s="107">
        <v>178016675</v>
      </c>
      <c r="R206" s="102" t="s">
        <v>30</v>
      </c>
      <c r="S206" s="108"/>
      <c r="T206" s="109"/>
      <c r="U206" s="109"/>
      <c r="V206" s="102"/>
      <c r="W206" s="109"/>
      <c r="X206" s="109"/>
      <c r="Y206" s="110" t="s">
        <v>303</v>
      </c>
      <c r="Z206" s="111" t="str">
        <f>MID(E206,4,2)</f>
        <v>CA</v>
      </c>
    </row>
    <row r="207" spans="1:26" s="111" customFormat="1" x14ac:dyDescent="0.2">
      <c r="A207" s="101">
        <v>46237</v>
      </c>
      <c r="B207" s="91" t="s">
        <v>298</v>
      </c>
      <c r="C207" s="102" t="s">
        <v>299</v>
      </c>
      <c r="D207" s="103" t="s">
        <v>26</v>
      </c>
      <c r="E207" s="91" t="s">
        <v>300</v>
      </c>
      <c r="F207" s="91" t="s">
        <v>122</v>
      </c>
      <c r="G207" s="91" t="s">
        <v>123</v>
      </c>
      <c r="H207" s="104" t="str">
        <f t="shared" si="16"/>
        <v>C5100J20</v>
      </c>
      <c r="I207" s="104"/>
      <c r="J207" s="105">
        <v>54.5</v>
      </c>
      <c r="K207" s="106">
        <f>IF(D207="CAESARSTONE LTD",VLOOKUP(H207,'[2]GIA CA'!G:H,2,0),IF(OR(D207="STONE FACINGS LIMITED",D207="NORDIA SA",D207="INVICTUS STONE COUNTERTOPS INC",D207="QUARTZTOP LLC"),VLOOKUP(H207,'[2] Giá ngoài Mỹ - SI-GR'!$B$5:$AZ$84,51,0),IF(OR(D207="HYUNDAI L&amp;C CANADA INC",D207="Hyundai L&amp; C USA LLC"),VLOOKUP(H207,'[2]GIA HS'!A:D,4,0),IF(Y207="Mỹ",VLOOKUP(H207,'[2]giá mỹ từ 6.8.2025'!B:I,2,0),VLOOKUP(H207,'[2]giá ngoài mỹ 6.8.2025 (final)'!B:BP,51,0)))))</f>
        <v>59</v>
      </c>
      <c r="L207" s="106">
        <v>62</v>
      </c>
      <c r="M207" s="106">
        <f t="shared" si="15"/>
        <v>3</v>
      </c>
      <c r="N207" s="106">
        <v>62</v>
      </c>
      <c r="O207" s="107">
        <v>3379</v>
      </c>
      <c r="P207" s="107">
        <v>26110</v>
      </c>
      <c r="Q207" s="107">
        <v>88225690</v>
      </c>
      <c r="R207" s="102" t="s">
        <v>30</v>
      </c>
      <c r="S207" s="108"/>
      <c r="T207" s="109"/>
      <c r="U207" s="109"/>
      <c r="V207" s="102"/>
      <c r="W207" s="109"/>
      <c r="X207" s="109"/>
      <c r="Y207" s="110" t="s">
        <v>303</v>
      </c>
      <c r="Z207" s="111" t="str">
        <f>MID(E207,4,2)</f>
        <v>CA</v>
      </c>
    </row>
    <row r="208" spans="1:26" s="111" customFormat="1" x14ac:dyDescent="0.2">
      <c r="A208" s="101">
        <v>46237</v>
      </c>
      <c r="B208" s="91" t="s">
        <v>298</v>
      </c>
      <c r="C208" s="102" t="s">
        <v>299</v>
      </c>
      <c r="D208" s="103" t="s">
        <v>26</v>
      </c>
      <c r="E208" s="91" t="s">
        <v>300</v>
      </c>
      <c r="F208" s="91" t="s">
        <v>344</v>
      </c>
      <c r="G208" s="91" t="s">
        <v>345</v>
      </c>
      <c r="H208" s="104" t="str">
        <f t="shared" si="16"/>
        <v>F5105J20</v>
      </c>
      <c r="I208" s="104"/>
      <c r="J208" s="105">
        <v>114.45</v>
      </c>
      <c r="K208" s="106">
        <f>IF(D208="CAESARSTONE LTD",VLOOKUP(H208,'[2]GIA CA'!G:H,2,0),IF(OR(D208="STONE FACINGS LIMITED",D208="NORDIA SA",D208="INVICTUS STONE COUNTERTOPS INC",D208="QUARTZTOP LLC"),VLOOKUP(H208,'[2] Giá ngoài Mỹ - SI-GR'!$B$5:$AZ$84,51,0),IF(OR(D208="HYUNDAI L&amp;C CANADA INC",D208="Hyundai L&amp; C USA LLC"),VLOOKUP(H208,'[2]GIA HS'!A:D,4,0),IF(Y208="Mỹ",VLOOKUP(H208,'[2]giá mỹ từ 6.8.2025'!B:I,2,0),VLOOKUP(H208,'[2]giá ngoài mỹ 6.8.2025 (final)'!B:BP,51,0)))))</f>
        <v>68</v>
      </c>
      <c r="L208" s="106">
        <v>71</v>
      </c>
      <c r="M208" s="106">
        <f t="shared" si="15"/>
        <v>3</v>
      </c>
      <c r="N208" s="106">
        <v>71</v>
      </c>
      <c r="O208" s="107">
        <v>8125.95</v>
      </c>
      <c r="P208" s="107">
        <v>26110</v>
      </c>
      <c r="Q208" s="107">
        <v>212168555</v>
      </c>
      <c r="R208" s="102" t="s">
        <v>30</v>
      </c>
      <c r="S208" s="108"/>
      <c r="T208" s="109"/>
      <c r="U208" s="109"/>
      <c r="V208" s="102"/>
      <c r="W208" s="109"/>
      <c r="X208" s="109"/>
      <c r="Y208" s="110" t="s">
        <v>303</v>
      </c>
      <c r="Z208" s="111" t="str">
        <f>MID(E208,4,2)</f>
        <v>CA</v>
      </c>
    </row>
    <row r="209" spans="1:26" s="111" customFormat="1" x14ac:dyDescent="0.2">
      <c r="A209" s="101">
        <v>46237</v>
      </c>
      <c r="B209" s="91" t="s">
        <v>298</v>
      </c>
      <c r="C209" s="102" t="s">
        <v>299</v>
      </c>
      <c r="D209" s="103" t="s">
        <v>26</v>
      </c>
      <c r="E209" s="91" t="s">
        <v>300</v>
      </c>
      <c r="F209" s="91" t="s">
        <v>346</v>
      </c>
      <c r="G209" s="91" t="s">
        <v>345</v>
      </c>
      <c r="H209" s="104" t="str">
        <f t="shared" si="16"/>
        <v>F5105J20</v>
      </c>
      <c r="I209" s="104"/>
      <c r="J209" s="105">
        <v>5.45</v>
      </c>
      <c r="K209" s="106">
        <f>IF(D209="CAESARSTONE LTD",VLOOKUP(H209,'[2]GIA CA'!G:H,2,0),IF(OR(D209="STONE FACINGS LIMITED",D209="NORDIA SA",D209="INVICTUS STONE COUNTERTOPS INC",D209="QUARTZTOP LLC"),VLOOKUP(H209,'[2] Giá ngoài Mỹ - SI-GR'!$B$5:$AZ$84,51,0),IF(OR(D209="HYUNDAI L&amp;C CANADA INC",D209="Hyundai L&amp; C USA LLC"),VLOOKUP(H209,'[2]GIA HS'!A:D,4,0),IF(Y209="Mỹ",VLOOKUP(H209,'[2]giá mỹ từ 6.8.2025'!B:I,2,0),VLOOKUP(H209,'[2]giá ngoài mỹ 6.8.2025 (final)'!B:BP,51,0)))))</f>
        <v>68</v>
      </c>
      <c r="L209" s="106">
        <v>71</v>
      </c>
      <c r="M209" s="106">
        <f t="shared" si="15"/>
        <v>3</v>
      </c>
      <c r="N209" s="106">
        <v>71</v>
      </c>
      <c r="O209" s="107">
        <v>386.95</v>
      </c>
      <c r="P209" s="107">
        <v>26110</v>
      </c>
      <c r="Q209" s="107">
        <v>10103265</v>
      </c>
      <c r="R209" s="102" t="s">
        <v>30</v>
      </c>
      <c r="S209" s="108"/>
      <c r="T209" s="109"/>
      <c r="U209" s="109"/>
      <c r="V209" s="102"/>
      <c r="W209" s="109"/>
      <c r="X209" s="109"/>
      <c r="Y209" s="110" t="s">
        <v>303</v>
      </c>
      <c r="Z209" s="111" t="str">
        <f>MID(E209,4,2)</f>
        <v>CA</v>
      </c>
    </row>
    <row r="210" spans="1:26" s="111" customFormat="1" x14ac:dyDescent="0.2">
      <c r="A210" s="101">
        <v>46237</v>
      </c>
      <c r="B210" s="91" t="s">
        <v>298</v>
      </c>
      <c r="C210" s="102" t="s">
        <v>299</v>
      </c>
      <c r="D210" s="103" t="s">
        <v>26</v>
      </c>
      <c r="E210" s="91" t="s">
        <v>300</v>
      </c>
      <c r="F210" s="91" t="s">
        <v>203</v>
      </c>
      <c r="G210" s="91" t="s">
        <v>204</v>
      </c>
      <c r="H210" s="104" t="str">
        <f t="shared" si="16"/>
        <v>F5132J20</v>
      </c>
      <c r="I210" s="104"/>
      <c r="J210" s="105">
        <v>54.5</v>
      </c>
      <c r="K210" s="106">
        <f>IF(D210="CAESARSTONE LTD",VLOOKUP(H210,'[2]GIA CA'!G:H,2,0),IF(OR(D210="STONE FACINGS LIMITED",D210="NORDIA SA",D210="INVICTUS STONE COUNTERTOPS INC",D210="QUARTZTOP LLC"),VLOOKUP(H210,'[2] Giá ngoài Mỹ - SI-GR'!$B$5:$AZ$84,51,0),IF(OR(D210="HYUNDAI L&amp;C CANADA INC",D210="Hyundai L&amp; C USA LLC"),VLOOKUP(H210,'[2]GIA HS'!A:D,4,0),IF(Y210="Mỹ",VLOOKUP(H210,'[2]giá mỹ từ 6.8.2025'!B:I,2,0),VLOOKUP(H210,'[2]giá ngoài mỹ 6.8.2025 (final)'!B:BP,51,0)))))</f>
        <v>62</v>
      </c>
      <c r="L210" s="106">
        <v>74.569999999999993</v>
      </c>
      <c r="M210" s="106">
        <f t="shared" si="15"/>
        <v>12.569999999999993</v>
      </c>
      <c r="N210" s="106">
        <v>74.569999999999993</v>
      </c>
      <c r="O210" s="107">
        <v>4063.9</v>
      </c>
      <c r="P210" s="107">
        <v>26110</v>
      </c>
      <c r="Q210" s="107">
        <v>106108429</v>
      </c>
      <c r="R210" s="102" t="s">
        <v>30</v>
      </c>
      <c r="S210" s="108"/>
      <c r="T210" s="109"/>
      <c r="U210" s="109"/>
      <c r="V210" s="102"/>
      <c r="W210" s="109"/>
      <c r="X210" s="109"/>
      <c r="Y210" s="110" t="s">
        <v>303</v>
      </c>
      <c r="Z210" s="111" t="str">
        <f>MID(E210,4,2)</f>
        <v>CA</v>
      </c>
    </row>
    <row r="211" spans="1:26" s="111" customFormat="1" x14ac:dyDescent="0.2">
      <c r="A211" s="101">
        <v>46237</v>
      </c>
      <c r="B211" s="91" t="s">
        <v>298</v>
      </c>
      <c r="C211" s="102" t="s">
        <v>299</v>
      </c>
      <c r="D211" s="103" t="s">
        <v>26</v>
      </c>
      <c r="E211" s="91" t="s">
        <v>300</v>
      </c>
      <c r="F211" s="91" t="s">
        <v>347</v>
      </c>
      <c r="G211" s="91" t="s">
        <v>348</v>
      </c>
      <c r="H211" s="104" t="str">
        <f t="shared" si="16"/>
        <v>F6313J13</v>
      </c>
      <c r="I211" s="104"/>
      <c r="J211" s="105">
        <v>5.45</v>
      </c>
      <c r="K211" s="106">
        <f>IF(D211="CAESARSTONE LTD",VLOOKUP(H211,'[2]GIA CA'!G:H,2,0),IF(OR(D211="STONE FACINGS LIMITED",D211="NORDIA SA",D211="INVICTUS STONE COUNTERTOPS INC",D211="QUARTZTOP LLC"),VLOOKUP(H211,'[2] Giá ngoài Mỹ - SI-GR'!$B$5:$AZ$84,51,0),IF(OR(D211="HYUNDAI L&amp;C CANADA INC",D211="Hyundai L&amp; C USA LLC"),VLOOKUP(H211,'[2]GIA HS'!A:D,4,0),IF(Y211="Mỹ",VLOOKUP(H211,'[2]giá mỹ từ 6.8.2025'!B:I,2,0),VLOOKUP(H211,'[2]giá ngoài mỹ 6.8.2025 (final)'!B:BP,51,0)))))</f>
        <v>52.699999999999996</v>
      </c>
      <c r="L211" s="106">
        <v>55</v>
      </c>
      <c r="M211" s="106">
        <f t="shared" si="15"/>
        <v>2.3000000000000043</v>
      </c>
      <c r="N211" s="106">
        <v>55</v>
      </c>
      <c r="O211" s="107">
        <v>299.75</v>
      </c>
      <c r="P211" s="107">
        <v>26110</v>
      </c>
      <c r="Q211" s="107">
        <v>7826473</v>
      </c>
      <c r="R211" s="102" t="s">
        <v>30</v>
      </c>
      <c r="S211" s="108"/>
      <c r="T211" s="109"/>
      <c r="U211" s="109"/>
      <c r="V211" s="102"/>
      <c r="W211" s="109"/>
      <c r="X211" s="109"/>
      <c r="Y211" s="110" t="s">
        <v>303</v>
      </c>
      <c r="Z211" s="111" t="str">
        <f>MID(E211,4,2)</f>
        <v>CA</v>
      </c>
    </row>
    <row r="212" spans="1:26" s="111" customFormat="1" x14ac:dyDescent="0.2">
      <c r="A212" s="101">
        <v>46237</v>
      </c>
      <c r="B212" s="91" t="s">
        <v>298</v>
      </c>
      <c r="C212" s="102" t="s">
        <v>299</v>
      </c>
      <c r="D212" s="103" t="s">
        <v>26</v>
      </c>
      <c r="E212" s="91" t="s">
        <v>300</v>
      </c>
      <c r="F212" s="91" t="s">
        <v>349</v>
      </c>
      <c r="G212" s="91" t="s">
        <v>348</v>
      </c>
      <c r="H212" s="104" t="str">
        <f t="shared" si="16"/>
        <v>F6313J13</v>
      </c>
      <c r="I212" s="104"/>
      <c r="J212" s="105">
        <v>5.45</v>
      </c>
      <c r="K212" s="106">
        <f>IF(D212="CAESARSTONE LTD",VLOOKUP(H212,'[2]GIA CA'!G:H,2,0),IF(OR(D212="STONE FACINGS LIMITED",D212="NORDIA SA",D212="INVICTUS STONE COUNTERTOPS INC",D212="QUARTZTOP LLC"),VLOOKUP(H212,'[2] Giá ngoài Mỹ - SI-GR'!$B$5:$AZ$84,51,0),IF(OR(D212="HYUNDAI L&amp;C CANADA INC",D212="Hyundai L&amp; C USA LLC"),VLOOKUP(H212,'[2]GIA HS'!A:D,4,0),IF(Y212="Mỹ",VLOOKUP(H212,'[2]giá mỹ từ 6.8.2025'!B:I,2,0),VLOOKUP(H212,'[2]giá ngoài mỹ 6.8.2025 (final)'!B:BP,51,0)))))</f>
        <v>52.699999999999996</v>
      </c>
      <c r="L212" s="106">
        <v>55</v>
      </c>
      <c r="M212" s="106">
        <f t="shared" si="15"/>
        <v>2.3000000000000043</v>
      </c>
      <c r="N212" s="106">
        <v>55</v>
      </c>
      <c r="O212" s="107">
        <v>299.75</v>
      </c>
      <c r="P212" s="107">
        <v>26110</v>
      </c>
      <c r="Q212" s="107">
        <v>7826473</v>
      </c>
      <c r="R212" s="102" t="s">
        <v>30</v>
      </c>
      <c r="S212" s="108"/>
      <c r="T212" s="109"/>
      <c r="U212" s="109"/>
      <c r="V212" s="102"/>
      <c r="W212" s="109"/>
      <c r="X212" s="109"/>
      <c r="Y212" s="110" t="s">
        <v>303</v>
      </c>
      <c r="Z212" s="111" t="str">
        <f>MID(E212,4,2)</f>
        <v>CA</v>
      </c>
    </row>
    <row r="213" spans="1:26" s="111" customFormat="1" x14ac:dyDescent="0.2">
      <c r="A213" s="101">
        <v>46237</v>
      </c>
      <c r="B213" s="91" t="s">
        <v>298</v>
      </c>
      <c r="C213" s="102" t="s">
        <v>299</v>
      </c>
      <c r="D213" s="103" t="s">
        <v>26</v>
      </c>
      <c r="E213" s="91" t="s">
        <v>300</v>
      </c>
      <c r="F213" s="91" t="s">
        <v>350</v>
      </c>
      <c r="G213" s="91" t="s">
        <v>341</v>
      </c>
      <c r="H213" s="104" t="str">
        <f t="shared" si="16"/>
        <v>C0406J20</v>
      </c>
      <c r="I213" s="104"/>
      <c r="J213" s="105">
        <v>152.6</v>
      </c>
      <c r="K213" s="106">
        <f>IF(D213="CAESARSTONE LTD",VLOOKUP(H213,'[2]GIA CA'!G:H,2,0),IF(OR(D213="STONE FACINGS LIMITED",D213="NORDIA SA",D213="INVICTUS STONE COUNTERTOPS INC",D213="QUARTZTOP LLC"),VLOOKUP(H213,'[2] Giá ngoài Mỹ - SI-GR'!$B$5:$AZ$84,51,0),IF(OR(D213="HYUNDAI L&amp;C CANADA INC",D213="Hyundai L&amp; C USA LLC"),VLOOKUP(H213,'[2]GIA HS'!A:D,4,0),IF(Y213="Mỹ",VLOOKUP(H213,'[2]giá mỹ từ 6.8.2025'!B:I,2,0),VLOOKUP(H213,'[2]giá ngoài mỹ 6.8.2025 (final)'!B:BP,51,0)))))</f>
        <v>58</v>
      </c>
      <c r="L213" s="106">
        <v>456</v>
      </c>
      <c r="M213" s="106">
        <f t="shared" si="15"/>
        <v>398</v>
      </c>
      <c r="N213" s="106">
        <v>456</v>
      </c>
      <c r="O213" s="106">
        <v>69585.600000000006</v>
      </c>
      <c r="P213" s="107">
        <v>26110</v>
      </c>
      <c r="Q213" s="107">
        <v>1816880016</v>
      </c>
      <c r="R213" s="102" t="s">
        <v>30</v>
      </c>
      <c r="S213" s="108"/>
      <c r="T213" s="109"/>
      <c r="U213" s="109"/>
      <c r="V213" s="102"/>
      <c r="W213" s="109"/>
      <c r="X213" s="109"/>
      <c r="Y213" s="110" t="s">
        <v>303</v>
      </c>
      <c r="Z213" s="111" t="str">
        <f>MID(E213,4,2)</f>
        <v>CA</v>
      </c>
    </row>
    <row r="214" spans="1:26" s="111" customFormat="1" x14ac:dyDescent="0.2">
      <c r="A214" s="101">
        <v>46237</v>
      </c>
      <c r="B214" s="91" t="s">
        <v>298</v>
      </c>
      <c r="C214" s="102" t="s">
        <v>299</v>
      </c>
      <c r="D214" s="103" t="s">
        <v>26</v>
      </c>
      <c r="E214" s="91" t="s">
        <v>300</v>
      </c>
      <c r="F214" s="91" t="s">
        <v>340</v>
      </c>
      <c r="G214" s="91" t="s">
        <v>341</v>
      </c>
      <c r="H214" s="104" t="str">
        <f t="shared" si="16"/>
        <v>C0406J20</v>
      </c>
      <c r="I214" s="104"/>
      <c r="J214" s="105">
        <v>337.9</v>
      </c>
      <c r="K214" s="106">
        <f>IF(D214="CAESARSTONE LTD",VLOOKUP(H214,'[2]GIA CA'!G:H,2,0),IF(OR(D214="STONE FACINGS LIMITED",D214="NORDIA SA",D214="INVICTUS STONE COUNTERTOPS INC",D214="QUARTZTOP LLC"),VLOOKUP(H214,'[2] Giá ngoài Mỹ - SI-GR'!$B$5:$AZ$84,51,0),IF(OR(D214="HYUNDAI L&amp;C CANADA INC",D214="Hyundai L&amp; C USA LLC"),VLOOKUP(H214,'[2]GIA HS'!A:D,4,0),IF(Y214="Mỹ",VLOOKUP(H214,'[2]giá mỹ từ 6.8.2025'!B:I,2,0),VLOOKUP(H214,'[2]giá ngoài mỹ 6.8.2025 (final)'!B:BP,51,0)))))</f>
        <v>58</v>
      </c>
      <c r="L214" s="106">
        <v>456</v>
      </c>
      <c r="M214" s="106">
        <f t="shared" si="15"/>
        <v>398</v>
      </c>
      <c r="N214" s="106">
        <v>456</v>
      </c>
      <c r="O214" s="106">
        <v>154082.4</v>
      </c>
      <c r="P214" s="107">
        <v>26110</v>
      </c>
      <c r="Q214" s="107">
        <v>4023091464</v>
      </c>
      <c r="R214" s="102" t="s">
        <v>30</v>
      </c>
      <c r="S214" s="108"/>
      <c r="T214" s="109"/>
      <c r="U214" s="109"/>
      <c r="V214" s="102"/>
      <c r="W214" s="109"/>
      <c r="X214" s="109"/>
      <c r="Y214" s="110" t="s">
        <v>303</v>
      </c>
      <c r="Z214" s="111" t="str">
        <f>MID(E214,4,2)</f>
        <v>CA</v>
      </c>
    </row>
    <row r="215" spans="1:26" s="111" customFormat="1" x14ac:dyDescent="0.2">
      <c r="A215" s="101">
        <v>46237</v>
      </c>
      <c r="B215" s="91" t="s">
        <v>298</v>
      </c>
      <c r="C215" s="102" t="s">
        <v>299</v>
      </c>
      <c r="D215" s="103" t="s">
        <v>26</v>
      </c>
      <c r="E215" s="91" t="s">
        <v>300</v>
      </c>
      <c r="F215" s="91" t="s">
        <v>350</v>
      </c>
      <c r="G215" s="91" t="s">
        <v>341</v>
      </c>
      <c r="H215" s="104" t="str">
        <f t="shared" si="16"/>
        <v>C0406J20</v>
      </c>
      <c r="I215" s="104"/>
      <c r="J215" s="105">
        <v>103.55</v>
      </c>
      <c r="K215" s="106">
        <f>IF(D215="CAESARSTONE LTD",VLOOKUP(H215,'[2]GIA CA'!G:H,2,0),IF(OR(D215="STONE FACINGS LIMITED",D215="NORDIA SA",D215="INVICTUS STONE COUNTERTOPS INC",D215="QUARTZTOP LLC"),VLOOKUP(H215,'[2] Giá ngoài Mỹ - SI-GR'!$B$5:$AZ$84,51,0),IF(OR(D215="HYUNDAI L&amp;C CANADA INC",D215="Hyundai L&amp; C USA LLC"),VLOOKUP(H215,'[2]GIA HS'!A:D,4,0),IF(Y215="Mỹ",VLOOKUP(H215,'[2]giá mỹ từ 6.8.2025'!B:I,2,0),VLOOKUP(H215,'[2]giá ngoài mỹ 6.8.2025 (final)'!B:BP,51,0)))))</f>
        <v>58</v>
      </c>
      <c r="L215" s="106">
        <v>456</v>
      </c>
      <c r="M215" s="106">
        <f t="shared" si="15"/>
        <v>398</v>
      </c>
      <c r="N215" s="106">
        <v>456</v>
      </c>
      <c r="O215" s="106">
        <v>47218.8</v>
      </c>
      <c r="P215" s="107">
        <v>26110</v>
      </c>
      <c r="Q215" s="107">
        <v>1232882868</v>
      </c>
      <c r="R215" s="102" t="s">
        <v>30</v>
      </c>
      <c r="S215" s="108"/>
      <c r="T215" s="109"/>
      <c r="U215" s="109"/>
      <c r="V215" s="102"/>
      <c r="W215" s="109"/>
      <c r="X215" s="109"/>
      <c r="Y215" s="110" t="s">
        <v>303</v>
      </c>
      <c r="Z215" s="111" t="str">
        <f>MID(E215,4,2)</f>
        <v>CA</v>
      </c>
    </row>
    <row r="216" spans="1:26" s="111" customFormat="1" x14ac:dyDescent="0.2">
      <c r="A216" s="101">
        <v>46237</v>
      </c>
      <c r="B216" s="91" t="s">
        <v>298</v>
      </c>
      <c r="C216" s="102" t="s">
        <v>299</v>
      </c>
      <c r="D216" s="103" t="s">
        <v>26</v>
      </c>
      <c r="E216" s="91" t="s">
        <v>300</v>
      </c>
      <c r="F216" s="91" t="s">
        <v>340</v>
      </c>
      <c r="G216" s="91" t="s">
        <v>341</v>
      </c>
      <c r="H216" s="104" t="str">
        <f t="shared" si="16"/>
        <v>C0406J20</v>
      </c>
      <c r="I216" s="104"/>
      <c r="J216" s="105">
        <v>316.10000000000002</v>
      </c>
      <c r="K216" s="106">
        <f>IF(D216="CAESARSTONE LTD",VLOOKUP(H216,'[2]GIA CA'!G:H,2,0),IF(OR(D216="STONE FACINGS LIMITED",D216="NORDIA SA",D216="INVICTUS STONE COUNTERTOPS INC",D216="QUARTZTOP LLC"),VLOOKUP(H216,'[2] Giá ngoài Mỹ - SI-GR'!$B$5:$AZ$84,51,0),IF(OR(D216="HYUNDAI L&amp;C CANADA INC",D216="Hyundai L&amp; C USA LLC"),VLOOKUP(H216,'[2]GIA HS'!A:D,4,0),IF(Y216="Mỹ",VLOOKUP(H216,'[2]giá mỹ từ 6.8.2025'!B:I,2,0),VLOOKUP(H216,'[2]giá ngoài mỹ 6.8.2025 (final)'!B:BP,51,0)))))</f>
        <v>58</v>
      </c>
      <c r="L216" s="106">
        <v>456</v>
      </c>
      <c r="M216" s="106">
        <f t="shared" si="15"/>
        <v>398</v>
      </c>
      <c r="N216" s="106">
        <v>456</v>
      </c>
      <c r="O216" s="106">
        <v>144141.6</v>
      </c>
      <c r="P216" s="107">
        <v>26110</v>
      </c>
      <c r="Q216" s="107">
        <v>3763537176</v>
      </c>
      <c r="R216" s="102" t="s">
        <v>30</v>
      </c>
      <c r="S216" s="108"/>
      <c r="T216" s="109"/>
      <c r="U216" s="109"/>
      <c r="V216" s="102"/>
      <c r="W216" s="109"/>
      <c r="X216" s="109"/>
      <c r="Y216" s="110" t="s">
        <v>303</v>
      </c>
      <c r="Z216" s="111" t="str">
        <f>MID(E216,4,2)</f>
        <v>CA</v>
      </c>
    </row>
    <row r="217" spans="1:26" s="111" customFormat="1" x14ac:dyDescent="0.2">
      <c r="A217" s="101">
        <v>46237</v>
      </c>
      <c r="B217" s="91" t="s">
        <v>298</v>
      </c>
      <c r="C217" s="102" t="s">
        <v>299</v>
      </c>
      <c r="D217" s="103" t="s">
        <v>26</v>
      </c>
      <c r="E217" s="91" t="s">
        <v>300</v>
      </c>
      <c r="F217" s="91" t="s">
        <v>351</v>
      </c>
      <c r="G217" s="91" t="s">
        <v>343</v>
      </c>
      <c r="H217" s="104" t="str">
        <f t="shared" si="16"/>
        <v>C0406J20</v>
      </c>
      <c r="I217" s="104"/>
      <c r="J217" s="105">
        <v>5.45</v>
      </c>
      <c r="K217" s="106">
        <f>IF(D217="CAESARSTONE LTD",VLOOKUP(H217,'[2]GIA CA'!G:H,2,0),IF(OR(D217="STONE FACINGS LIMITED",D217="NORDIA SA",D217="INVICTUS STONE COUNTERTOPS INC",D217="QUARTZTOP LLC"),VLOOKUP(H217,'[2] Giá ngoài Mỹ - SI-GR'!$B$5:$AZ$84,51,0),IF(OR(D217="HYUNDAI L&amp;C CANADA INC",D217="Hyundai L&amp; C USA LLC"),VLOOKUP(H217,'[2]GIA HS'!A:D,4,0),IF(Y217="Mỹ",VLOOKUP(H217,'[2]giá mỹ từ 6.8.2025'!B:I,2,0),VLOOKUP(H217,'[2]giá ngoài mỹ 6.8.2025 (final)'!B:BP,51,0)))))</f>
        <v>58</v>
      </c>
      <c r="L217" s="106">
        <v>417</v>
      </c>
      <c r="M217" s="106">
        <f t="shared" si="15"/>
        <v>359</v>
      </c>
      <c r="N217" s="106">
        <v>417</v>
      </c>
      <c r="O217" s="106">
        <v>2272.65</v>
      </c>
      <c r="P217" s="107">
        <v>26110</v>
      </c>
      <c r="Q217" s="107">
        <v>59338892</v>
      </c>
      <c r="R217" s="102" t="s">
        <v>30</v>
      </c>
      <c r="S217" s="108"/>
      <c r="T217" s="109"/>
      <c r="U217" s="109"/>
      <c r="V217" s="102"/>
      <c r="W217" s="109"/>
      <c r="X217" s="109"/>
      <c r="Y217" s="110" t="s">
        <v>303</v>
      </c>
      <c r="Z217" s="111" t="str">
        <f>MID(E217,4,2)</f>
        <v>CA</v>
      </c>
    </row>
    <row r="218" spans="1:26" s="111" customFormat="1" x14ac:dyDescent="0.2">
      <c r="A218" s="101">
        <v>46237</v>
      </c>
      <c r="B218" s="91" t="s">
        <v>298</v>
      </c>
      <c r="C218" s="102" t="s">
        <v>299</v>
      </c>
      <c r="D218" s="103" t="s">
        <v>26</v>
      </c>
      <c r="E218" s="91" t="s">
        <v>300</v>
      </c>
      <c r="F218" s="91" t="s">
        <v>342</v>
      </c>
      <c r="G218" s="91" t="s">
        <v>343</v>
      </c>
      <c r="H218" s="104" t="str">
        <f t="shared" si="16"/>
        <v>C0406J20</v>
      </c>
      <c r="I218" s="104"/>
      <c r="J218" s="105">
        <v>5.45</v>
      </c>
      <c r="K218" s="106">
        <f>IF(D218="CAESARSTONE LTD",VLOOKUP(H218,'[2]GIA CA'!G:H,2,0),IF(OR(D218="STONE FACINGS LIMITED",D218="NORDIA SA",D218="INVICTUS STONE COUNTERTOPS INC",D218="QUARTZTOP LLC"),VLOOKUP(H218,'[2] Giá ngoài Mỹ - SI-GR'!$B$5:$AZ$84,51,0),IF(OR(D218="HYUNDAI L&amp;C CANADA INC",D218="Hyundai L&amp; C USA LLC"),VLOOKUP(H218,'[2]GIA HS'!A:D,4,0),IF(Y218="Mỹ",VLOOKUP(H218,'[2]giá mỹ từ 6.8.2025'!B:I,2,0),VLOOKUP(H218,'[2]giá ngoài mỹ 6.8.2025 (final)'!B:BP,51,0)))))</f>
        <v>58</v>
      </c>
      <c r="L218" s="106">
        <v>417</v>
      </c>
      <c r="M218" s="106">
        <f t="shared" si="15"/>
        <v>359</v>
      </c>
      <c r="N218" s="106">
        <v>417</v>
      </c>
      <c r="O218" s="106">
        <v>2272.65</v>
      </c>
      <c r="P218" s="107">
        <v>26110</v>
      </c>
      <c r="Q218" s="107">
        <v>59338892</v>
      </c>
      <c r="R218" s="102" t="s">
        <v>30</v>
      </c>
      <c r="S218" s="108"/>
      <c r="T218" s="109"/>
      <c r="U218" s="109"/>
      <c r="V218" s="102"/>
      <c r="W218" s="109"/>
      <c r="X218" s="109"/>
      <c r="Y218" s="110" t="s">
        <v>303</v>
      </c>
      <c r="Z218" s="111" t="str">
        <f>MID(E218,4,2)</f>
        <v>CA</v>
      </c>
    </row>
    <row r="219" spans="1:26" s="111" customFormat="1" x14ac:dyDescent="0.2">
      <c r="A219" s="101">
        <v>46237</v>
      </c>
      <c r="B219" s="91" t="s">
        <v>298</v>
      </c>
      <c r="C219" s="102" t="s">
        <v>299</v>
      </c>
      <c r="D219" s="103" t="s">
        <v>26</v>
      </c>
      <c r="E219" s="91" t="s">
        <v>300</v>
      </c>
      <c r="F219" s="91" t="s">
        <v>342</v>
      </c>
      <c r="G219" s="91" t="s">
        <v>343</v>
      </c>
      <c r="H219" s="104" t="str">
        <f t="shared" si="16"/>
        <v>C0406J20</v>
      </c>
      <c r="I219" s="104"/>
      <c r="J219" s="105">
        <v>5.45</v>
      </c>
      <c r="K219" s="106">
        <f>IF(D219="CAESARSTONE LTD",VLOOKUP(H219,'[2]GIA CA'!G:H,2,0),IF(OR(D219="STONE FACINGS LIMITED",D219="NORDIA SA",D219="INVICTUS STONE COUNTERTOPS INC",D219="QUARTZTOP LLC"),VLOOKUP(H219,'[2] Giá ngoài Mỹ - SI-GR'!$B$5:$AZ$84,51,0),IF(OR(D219="HYUNDAI L&amp;C CANADA INC",D219="Hyundai L&amp; C USA LLC"),VLOOKUP(H219,'[2]GIA HS'!A:D,4,0),IF(Y219="Mỹ",VLOOKUP(H219,'[2]giá mỹ từ 6.8.2025'!B:I,2,0),VLOOKUP(H219,'[2]giá ngoài mỹ 6.8.2025 (final)'!B:BP,51,0)))))</f>
        <v>58</v>
      </c>
      <c r="L219" s="106">
        <v>417</v>
      </c>
      <c r="M219" s="106">
        <f t="shared" si="15"/>
        <v>359</v>
      </c>
      <c r="N219" s="106">
        <v>417</v>
      </c>
      <c r="O219" s="107">
        <v>2272.65</v>
      </c>
      <c r="P219" s="107">
        <v>26110</v>
      </c>
      <c r="Q219" s="107">
        <v>59338892</v>
      </c>
      <c r="R219" s="102" t="s">
        <v>30</v>
      </c>
      <c r="S219" s="108"/>
      <c r="T219" s="109"/>
      <c r="U219" s="109"/>
      <c r="V219" s="102"/>
      <c r="W219" s="109"/>
      <c r="X219" s="109"/>
      <c r="Y219" s="110" t="s">
        <v>303</v>
      </c>
      <c r="Z219" s="111" t="str">
        <f>MID(E219,4,2)</f>
        <v>CA</v>
      </c>
    </row>
    <row r="220" spans="1:26" s="111" customFormat="1" x14ac:dyDescent="0.2">
      <c r="A220" s="101">
        <v>46237</v>
      </c>
      <c r="B220" s="91" t="s">
        <v>298</v>
      </c>
      <c r="C220" s="102" t="s">
        <v>299</v>
      </c>
      <c r="D220" s="103" t="s">
        <v>26</v>
      </c>
      <c r="E220" s="91" t="s">
        <v>300</v>
      </c>
      <c r="F220" s="91" t="s">
        <v>342</v>
      </c>
      <c r="G220" s="91" t="s">
        <v>343</v>
      </c>
      <c r="H220" s="104" t="str">
        <f t="shared" si="16"/>
        <v>C0406J20</v>
      </c>
      <c r="I220" s="104"/>
      <c r="J220" s="105">
        <v>10.9</v>
      </c>
      <c r="K220" s="106">
        <f>IF(D220="CAESARSTONE LTD",VLOOKUP(H220,'[2]GIA CA'!G:H,2,0),IF(OR(D220="STONE FACINGS LIMITED",D220="NORDIA SA",D220="INVICTUS STONE COUNTERTOPS INC",D220="QUARTZTOP LLC"),VLOOKUP(H220,'[2] Giá ngoài Mỹ - SI-GR'!$B$5:$AZ$84,51,0),IF(OR(D220="HYUNDAI L&amp;C CANADA INC",D220="Hyundai L&amp; C USA LLC"),VLOOKUP(H220,'[2]GIA HS'!A:D,4,0),IF(Y220="Mỹ",VLOOKUP(H220,'[2]giá mỹ từ 6.8.2025'!B:I,2,0),VLOOKUP(H220,'[2]giá ngoài mỹ 6.8.2025 (final)'!B:BP,51,0)))))</f>
        <v>58</v>
      </c>
      <c r="L220" s="106">
        <v>417</v>
      </c>
      <c r="M220" s="106">
        <f t="shared" si="15"/>
        <v>359</v>
      </c>
      <c r="N220" s="106">
        <v>417</v>
      </c>
      <c r="O220" s="107">
        <v>4545.3</v>
      </c>
      <c r="P220" s="107">
        <v>26110</v>
      </c>
      <c r="Q220" s="107">
        <v>118677783</v>
      </c>
      <c r="R220" s="102" t="s">
        <v>30</v>
      </c>
      <c r="S220" s="108"/>
      <c r="T220" s="109"/>
      <c r="U220" s="109"/>
      <c r="V220" s="102"/>
      <c r="W220" s="109"/>
      <c r="X220" s="109"/>
      <c r="Y220" s="110" t="s">
        <v>303</v>
      </c>
      <c r="Z220" s="111" t="str">
        <f>MID(E220,4,2)</f>
        <v>CA</v>
      </c>
    </row>
    <row r="221" spans="1:26" s="111" customFormat="1" x14ac:dyDescent="0.2">
      <c r="A221" s="101">
        <v>46237</v>
      </c>
      <c r="B221" s="91" t="s">
        <v>298</v>
      </c>
      <c r="C221" s="102" t="s">
        <v>299</v>
      </c>
      <c r="D221" s="103" t="s">
        <v>26</v>
      </c>
      <c r="E221" s="91" t="s">
        <v>300</v>
      </c>
      <c r="F221" s="91" t="s">
        <v>342</v>
      </c>
      <c r="G221" s="91" t="s">
        <v>343</v>
      </c>
      <c r="H221" s="104" t="str">
        <f t="shared" si="16"/>
        <v>C0406J20</v>
      </c>
      <c r="I221" s="104"/>
      <c r="J221" s="105">
        <v>5.45</v>
      </c>
      <c r="K221" s="106">
        <f>IF(D221="CAESARSTONE LTD",VLOOKUP(H221,'[2]GIA CA'!G:H,2,0),IF(OR(D221="STONE FACINGS LIMITED",D221="NORDIA SA",D221="INVICTUS STONE COUNTERTOPS INC",D221="QUARTZTOP LLC"),VLOOKUP(H221,'[2] Giá ngoài Mỹ - SI-GR'!$B$5:$AZ$84,51,0),IF(OR(D221="HYUNDAI L&amp;C CANADA INC",D221="Hyundai L&amp; C USA LLC"),VLOOKUP(H221,'[2]GIA HS'!A:D,4,0),IF(Y221="Mỹ",VLOOKUP(H221,'[2]giá mỹ từ 6.8.2025'!B:I,2,0),VLOOKUP(H221,'[2]giá ngoài mỹ 6.8.2025 (final)'!B:BP,51,0)))))</f>
        <v>58</v>
      </c>
      <c r="L221" s="106">
        <v>417</v>
      </c>
      <c r="M221" s="106">
        <f t="shared" si="15"/>
        <v>359</v>
      </c>
      <c r="N221" s="106">
        <v>417</v>
      </c>
      <c r="O221" s="107">
        <v>2272.65</v>
      </c>
      <c r="P221" s="107">
        <v>26110</v>
      </c>
      <c r="Q221" s="107">
        <v>59338892</v>
      </c>
      <c r="R221" s="102" t="s">
        <v>30</v>
      </c>
      <c r="S221" s="108"/>
      <c r="T221" s="109"/>
      <c r="U221" s="109"/>
      <c r="V221" s="102"/>
      <c r="W221" s="109"/>
      <c r="X221" s="109"/>
      <c r="Y221" s="110" t="s">
        <v>303</v>
      </c>
      <c r="Z221" s="111" t="str">
        <f>MID(E221,4,2)</f>
        <v>CA</v>
      </c>
    </row>
    <row r="222" spans="1:26" s="111" customFormat="1" x14ac:dyDescent="0.2">
      <c r="A222" s="101">
        <v>46237</v>
      </c>
      <c r="B222" s="91" t="s">
        <v>298</v>
      </c>
      <c r="C222" s="102" t="s">
        <v>299</v>
      </c>
      <c r="D222" s="103" t="s">
        <v>26</v>
      </c>
      <c r="E222" s="91" t="s">
        <v>300</v>
      </c>
      <c r="F222" s="91" t="s">
        <v>342</v>
      </c>
      <c r="G222" s="91" t="s">
        <v>343</v>
      </c>
      <c r="H222" s="104" t="str">
        <f t="shared" si="16"/>
        <v>C0406J20</v>
      </c>
      <c r="I222" s="104"/>
      <c r="J222" s="105">
        <v>21.8</v>
      </c>
      <c r="K222" s="106">
        <f>IF(D222="CAESARSTONE LTD",VLOOKUP(H222,'[2]GIA CA'!G:H,2,0),IF(OR(D222="STONE FACINGS LIMITED",D222="NORDIA SA",D222="INVICTUS STONE COUNTERTOPS INC",D222="QUARTZTOP LLC"),VLOOKUP(H222,'[2] Giá ngoài Mỹ - SI-GR'!$B$5:$AZ$84,51,0),IF(OR(D222="HYUNDAI L&amp;C CANADA INC",D222="Hyundai L&amp; C USA LLC"),VLOOKUP(H222,'[2]GIA HS'!A:D,4,0),IF(Y222="Mỹ",VLOOKUP(H222,'[2]giá mỹ từ 6.8.2025'!B:I,2,0),VLOOKUP(H222,'[2]giá ngoài mỹ 6.8.2025 (final)'!B:BP,51,0)))))</f>
        <v>58</v>
      </c>
      <c r="L222" s="106">
        <v>417</v>
      </c>
      <c r="M222" s="106">
        <f t="shared" si="15"/>
        <v>359</v>
      </c>
      <c r="N222" s="106">
        <v>417</v>
      </c>
      <c r="O222" s="107">
        <v>9090.6</v>
      </c>
      <c r="P222" s="107">
        <v>26110</v>
      </c>
      <c r="Q222" s="107">
        <v>237355566</v>
      </c>
      <c r="R222" s="102" t="s">
        <v>30</v>
      </c>
      <c r="S222" s="108"/>
      <c r="T222" s="109"/>
      <c r="U222" s="109"/>
      <c r="V222" s="102"/>
      <c r="W222" s="109"/>
      <c r="X222" s="109"/>
      <c r="Y222" s="110" t="s">
        <v>303</v>
      </c>
      <c r="Z222" s="111" t="str">
        <f>MID(E222,4,2)</f>
        <v>CA</v>
      </c>
    </row>
    <row r="223" spans="1:26" s="111" customFormat="1" x14ac:dyDescent="0.2">
      <c r="A223" s="101">
        <v>46237</v>
      </c>
      <c r="B223" s="91" t="s">
        <v>298</v>
      </c>
      <c r="C223" s="102" t="s">
        <v>299</v>
      </c>
      <c r="D223" s="103" t="s">
        <v>26</v>
      </c>
      <c r="E223" s="91" t="s">
        <v>300</v>
      </c>
      <c r="F223" s="91" t="s">
        <v>352</v>
      </c>
      <c r="G223" s="91" t="s">
        <v>343</v>
      </c>
      <c r="H223" s="104" t="str">
        <f t="shared" si="16"/>
        <v>C0406J20</v>
      </c>
      <c r="I223" s="104"/>
      <c r="J223" s="105">
        <v>5.45</v>
      </c>
      <c r="K223" s="106">
        <f>IF(D223="CAESARSTONE LTD",VLOOKUP(H223,'[2]GIA CA'!G:H,2,0),IF(OR(D223="STONE FACINGS LIMITED",D223="NORDIA SA",D223="INVICTUS STONE COUNTERTOPS INC",D223="QUARTZTOP LLC"),VLOOKUP(H223,'[2] Giá ngoài Mỹ - SI-GR'!$B$5:$AZ$84,51,0),IF(OR(D223="HYUNDAI L&amp;C CANADA INC",D223="Hyundai L&amp; C USA LLC"),VLOOKUP(H223,'[2]GIA HS'!A:D,4,0),IF(Y223="Mỹ",VLOOKUP(H223,'[2]giá mỹ từ 6.8.2025'!B:I,2,0),VLOOKUP(H223,'[2]giá ngoài mỹ 6.8.2025 (final)'!B:BP,51,0)))))</f>
        <v>58</v>
      </c>
      <c r="L223" s="106">
        <v>417</v>
      </c>
      <c r="M223" s="106">
        <f t="shared" si="15"/>
        <v>359</v>
      </c>
      <c r="N223" s="106">
        <v>417</v>
      </c>
      <c r="O223" s="107">
        <v>2272.65</v>
      </c>
      <c r="P223" s="107">
        <v>26110</v>
      </c>
      <c r="Q223" s="107">
        <v>59338892</v>
      </c>
      <c r="R223" s="102" t="s">
        <v>30</v>
      </c>
      <c r="S223" s="108"/>
      <c r="T223" s="109"/>
      <c r="U223" s="109"/>
      <c r="V223" s="102"/>
      <c r="W223" s="109"/>
      <c r="X223" s="109"/>
      <c r="Y223" s="110" t="s">
        <v>303</v>
      </c>
      <c r="Z223" s="111" t="str">
        <f>MID(E223,4,2)</f>
        <v>CA</v>
      </c>
    </row>
    <row r="224" spans="1:26" s="111" customFormat="1" x14ac:dyDescent="0.2">
      <c r="A224" s="101">
        <v>46238</v>
      </c>
      <c r="B224" s="91" t="s">
        <v>353</v>
      </c>
      <c r="C224" s="102" t="s">
        <v>354</v>
      </c>
      <c r="D224" s="103" t="s">
        <v>26</v>
      </c>
      <c r="E224" s="91" t="s">
        <v>355</v>
      </c>
      <c r="F224" s="91" t="s">
        <v>356</v>
      </c>
      <c r="G224" s="91" t="s">
        <v>357</v>
      </c>
      <c r="H224" s="104" t="str">
        <f t="shared" si="16"/>
        <v>C5222J20</v>
      </c>
      <c r="I224" s="104"/>
      <c r="J224" s="105">
        <v>544.5</v>
      </c>
      <c r="K224" s="106">
        <f>+L224</f>
        <v>59.9</v>
      </c>
      <c r="L224" s="106">
        <v>59.9</v>
      </c>
      <c r="M224" s="106">
        <f t="shared" si="15"/>
        <v>0</v>
      </c>
      <c r="N224" s="106">
        <v>59.9</v>
      </c>
      <c r="O224" s="107">
        <v>32616</v>
      </c>
      <c r="P224" s="107">
        <v>26110</v>
      </c>
      <c r="Q224" s="107">
        <v>851603760</v>
      </c>
      <c r="R224" s="102" t="s">
        <v>30</v>
      </c>
      <c r="S224" s="108"/>
      <c r="T224" s="109"/>
      <c r="U224" s="109"/>
      <c r="V224" s="102"/>
      <c r="W224" s="109"/>
      <c r="X224" s="109"/>
      <c r="Y224" s="110" t="s">
        <v>358</v>
      </c>
      <c r="Z224" s="111" t="str">
        <f>MID(E224,4,2)</f>
        <v>CA</v>
      </c>
    </row>
    <row r="225" spans="1:26" s="111" customFormat="1" x14ac:dyDescent="0.2">
      <c r="A225" s="101">
        <v>46238</v>
      </c>
      <c r="B225" s="91" t="s">
        <v>359</v>
      </c>
      <c r="C225" s="102" t="s">
        <v>360</v>
      </c>
      <c r="D225" s="103" t="s">
        <v>26</v>
      </c>
      <c r="E225" s="91" t="s">
        <v>361</v>
      </c>
      <c r="F225" s="91" t="s">
        <v>124</v>
      </c>
      <c r="G225" s="91" t="s">
        <v>113</v>
      </c>
      <c r="H225" s="104" t="str">
        <f t="shared" si="16"/>
        <v>C5212J20</v>
      </c>
      <c r="I225" s="104"/>
      <c r="J225" s="105">
        <v>490.05</v>
      </c>
      <c r="K225" s="106">
        <f>IF(D225="CAESARSTONE LTD",VLOOKUP(H225,'[2]GIA CA'!G:H,2,0),IF(OR(D225="STONE FACINGS LIMITED",D225="NORDIA SA",D225="INVICTUS STONE COUNTERTOPS INC",D225="QUARTZTOP LLC"),VLOOKUP(H225,'[2] Giá ngoài Mỹ - SI-GR'!$B$5:$AZ$84,51,0),IF(OR(D225="HYUNDAI L&amp;C CANADA INC",D225="Hyundai L&amp; C USA LLC"),VLOOKUP(H225,'[2]GIA HS'!A:D,4,0),IF(Y225="Mỹ",VLOOKUP(H225,'[2]giá mỹ từ 6.8.2025'!B:I,2,0),VLOOKUP(H225,'[2]giá ngoài mỹ 6.8.2025 (final)'!B:BP,51,0)))))</f>
        <v>59</v>
      </c>
      <c r="L225" s="106">
        <v>62</v>
      </c>
      <c r="M225" s="106">
        <f t="shared" si="15"/>
        <v>3</v>
      </c>
      <c r="N225" s="106">
        <v>62</v>
      </c>
      <c r="O225" s="107">
        <v>30383.1</v>
      </c>
      <c r="P225" s="107">
        <v>26110</v>
      </c>
      <c r="Q225" s="107">
        <v>793302741</v>
      </c>
      <c r="R225" s="102" t="s">
        <v>30</v>
      </c>
      <c r="S225" s="108"/>
      <c r="T225" s="109"/>
      <c r="U225" s="109"/>
      <c r="V225" s="102"/>
      <c r="W225" s="109"/>
      <c r="X225" s="109"/>
      <c r="Y225" s="110" t="s">
        <v>358</v>
      </c>
      <c r="Z225" s="111" t="str">
        <f>MID(E225,4,2)</f>
        <v>CA</v>
      </c>
    </row>
    <row r="226" spans="1:26" s="111" customFormat="1" x14ac:dyDescent="0.2">
      <c r="A226" s="101">
        <v>46238</v>
      </c>
      <c r="B226" s="91" t="s">
        <v>359</v>
      </c>
      <c r="C226" s="102" t="s">
        <v>360</v>
      </c>
      <c r="D226" s="103" t="s">
        <v>26</v>
      </c>
      <c r="E226" s="91" t="s">
        <v>361</v>
      </c>
      <c r="F226" s="91" t="s">
        <v>356</v>
      </c>
      <c r="G226" s="91" t="s">
        <v>357</v>
      </c>
      <c r="H226" s="104" t="str">
        <f t="shared" si="16"/>
        <v>C5222J20</v>
      </c>
      <c r="I226" s="104"/>
      <c r="J226" s="105">
        <v>54.45</v>
      </c>
      <c r="K226" s="106">
        <f t="shared" ref="K226:K231" si="17">+L226</f>
        <v>59.9</v>
      </c>
      <c r="L226" s="106">
        <v>59.9</v>
      </c>
      <c r="M226" s="106">
        <f t="shared" si="15"/>
        <v>0</v>
      </c>
      <c r="N226" s="106">
        <v>59.9</v>
      </c>
      <c r="O226" s="107">
        <v>3261.6</v>
      </c>
      <c r="P226" s="107">
        <v>26110</v>
      </c>
      <c r="Q226" s="107">
        <v>85160376</v>
      </c>
      <c r="R226" s="102" t="s">
        <v>30</v>
      </c>
      <c r="S226" s="108"/>
      <c r="T226" s="109"/>
      <c r="U226" s="109"/>
      <c r="V226" s="102"/>
      <c r="W226" s="109"/>
      <c r="X226" s="109"/>
      <c r="Y226" s="110" t="s">
        <v>358</v>
      </c>
      <c r="Z226" s="111" t="str">
        <f>MID(E226,4,2)</f>
        <v>CA</v>
      </c>
    </row>
    <row r="227" spans="1:26" s="111" customFormat="1" x14ac:dyDescent="0.2">
      <c r="A227" s="101">
        <v>46238</v>
      </c>
      <c r="B227" s="91" t="s">
        <v>362</v>
      </c>
      <c r="C227" s="102" t="s">
        <v>363</v>
      </c>
      <c r="D227" s="103" t="s">
        <v>26</v>
      </c>
      <c r="E227" s="91" t="s">
        <v>364</v>
      </c>
      <c r="F227" s="91" t="s">
        <v>110</v>
      </c>
      <c r="G227" s="91" t="s">
        <v>111</v>
      </c>
      <c r="H227" s="104" t="str">
        <f t="shared" si="16"/>
        <v>C4023J20</v>
      </c>
      <c r="I227" s="104"/>
      <c r="J227" s="105">
        <v>266.81</v>
      </c>
      <c r="K227" s="106">
        <f t="shared" si="17"/>
        <v>59.9</v>
      </c>
      <c r="L227" s="106">
        <v>59.9</v>
      </c>
      <c r="M227" s="106">
        <f t="shared" si="15"/>
        <v>0</v>
      </c>
      <c r="N227" s="106">
        <v>59.9</v>
      </c>
      <c r="O227" s="107">
        <v>15981.84</v>
      </c>
      <c r="P227" s="107">
        <v>26110</v>
      </c>
      <c r="Q227" s="107">
        <v>417285842</v>
      </c>
      <c r="R227" s="102" t="s">
        <v>30</v>
      </c>
      <c r="S227" s="108"/>
      <c r="T227" s="109"/>
      <c r="U227" s="109"/>
      <c r="V227" s="102"/>
      <c r="W227" s="109"/>
      <c r="X227" s="109"/>
      <c r="Y227" s="110" t="s">
        <v>358</v>
      </c>
      <c r="Z227" s="111" t="str">
        <f>MID(E227,4,2)</f>
        <v>CA</v>
      </c>
    </row>
    <row r="228" spans="1:26" s="111" customFormat="1" x14ac:dyDescent="0.2">
      <c r="A228" s="101">
        <v>46238</v>
      </c>
      <c r="B228" s="91" t="s">
        <v>362</v>
      </c>
      <c r="C228" s="102" t="s">
        <v>363</v>
      </c>
      <c r="D228" s="103" t="s">
        <v>26</v>
      </c>
      <c r="E228" s="91" t="s">
        <v>364</v>
      </c>
      <c r="F228" s="91" t="s">
        <v>356</v>
      </c>
      <c r="G228" s="91" t="s">
        <v>357</v>
      </c>
      <c r="H228" s="104" t="str">
        <f t="shared" si="16"/>
        <v>C5222J20</v>
      </c>
      <c r="I228" s="104"/>
      <c r="J228" s="105">
        <v>59.9</v>
      </c>
      <c r="K228" s="106">
        <f t="shared" si="17"/>
        <v>59.9</v>
      </c>
      <c r="L228" s="106">
        <v>59.9</v>
      </c>
      <c r="M228" s="106">
        <f t="shared" si="15"/>
        <v>0</v>
      </c>
      <c r="N228" s="106">
        <v>59.9</v>
      </c>
      <c r="O228" s="107">
        <v>3587.99</v>
      </c>
      <c r="P228" s="107">
        <v>26110</v>
      </c>
      <c r="Q228" s="107">
        <v>93682419</v>
      </c>
      <c r="R228" s="102" t="s">
        <v>30</v>
      </c>
      <c r="S228" s="108"/>
      <c r="T228" s="109"/>
      <c r="U228" s="109"/>
      <c r="V228" s="102"/>
      <c r="W228" s="109"/>
      <c r="X228" s="109"/>
      <c r="Y228" s="110" t="s">
        <v>358</v>
      </c>
      <c r="Z228" s="111" t="str">
        <f>MID(E228,4,2)</f>
        <v>CA</v>
      </c>
    </row>
    <row r="229" spans="1:26" s="111" customFormat="1" x14ac:dyDescent="0.2">
      <c r="A229" s="101">
        <v>46238</v>
      </c>
      <c r="B229" s="91" t="s">
        <v>362</v>
      </c>
      <c r="C229" s="102" t="s">
        <v>363</v>
      </c>
      <c r="D229" s="103" t="s">
        <v>26</v>
      </c>
      <c r="E229" s="91" t="s">
        <v>364</v>
      </c>
      <c r="F229" s="91" t="s">
        <v>356</v>
      </c>
      <c r="G229" s="91" t="s">
        <v>357</v>
      </c>
      <c r="H229" s="104" t="str">
        <f t="shared" si="16"/>
        <v>C5222J20</v>
      </c>
      <c r="I229" s="104"/>
      <c r="J229" s="105">
        <v>10.89</v>
      </c>
      <c r="K229" s="106">
        <f t="shared" si="17"/>
        <v>59.9</v>
      </c>
      <c r="L229" s="106">
        <v>59.9</v>
      </c>
      <c r="M229" s="106">
        <f t="shared" si="15"/>
        <v>0</v>
      </c>
      <c r="N229" s="106">
        <v>59.9</v>
      </c>
      <c r="O229" s="107">
        <v>652.30999999999995</v>
      </c>
      <c r="P229" s="107">
        <v>26110</v>
      </c>
      <c r="Q229" s="107">
        <v>17031814</v>
      </c>
      <c r="R229" s="102" t="s">
        <v>30</v>
      </c>
      <c r="S229" s="108"/>
      <c r="T229" s="109"/>
      <c r="U229" s="109"/>
      <c r="V229" s="102"/>
      <c r="W229" s="109"/>
      <c r="X229" s="109"/>
      <c r="Y229" s="110" t="s">
        <v>358</v>
      </c>
      <c r="Z229" s="111" t="str">
        <f>MID(E229,4,2)</f>
        <v>CA</v>
      </c>
    </row>
    <row r="230" spans="1:26" s="111" customFormat="1" x14ac:dyDescent="0.2">
      <c r="A230" s="101">
        <v>46238</v>
      </c>
      <c r="B230" s="91" t="s">
        <v>362</v>
      </c>
      <c r="C230" s="102" t="s">
        <v>363</v>
      </c>
      <c r="D230" s="103" t="s">
        <v>26</v>
      </c>
      <c r="E230" s="91" t="s">
        <v>364</v>
      </c>
      <c r="F230" s="91" t="s">
        <v>356</v>
      </c>
      <c r="G230" s="91" t="s">
        <v>357</v>
      </c>
      <c r="H230" s="104" t="str">
        <f t="shared" si="16"/>
        <v>C5222J20</v>
      </c>
      <c r="I230" s="104"/>
      <c r="J230" s="105">
        <v>196.02</v>
      </c>
      <c r="K230" s="106">
        <f t="shared" si="17"/>
        <v>59.9</v>
      </c>
      <c r="L230" s="106">
        <v>59.9</v>
      </c>
      <c r="M230" s="106">
        <f t="shared" si="15"/>
        <v>0</v>
      </c>
      <c r="N230" s="106">
        <v>59.9</v>
      </c>
      <c r="O230" s="107">
        <v>11741.55</v>
      </c>
      <c r="P230" s="107">
        <v>26110</v>
      </c>
      <c r="Q230" s="107">
        <v>306571871</v>
      </c>
      <c r="R230" s="102" t="s">
        <v>30</v>
      </c>
      <c r="S230" s="108"/>
      <c r="T230" s="109"/>
      <c r="U230" s="109"/>
      <c r="V230" s="102"/>
      <c r="W230" s="109"/>
      <c r="X230" s="109"/>
      <c r="Y230" s="110" t="s">
        <v>358</v>
      </c>
      <c r="Z230" s="111" t="str">
        <f>MID(E230,4,2)</f>
        <v>CA</v>
      </c>
    </row>
    <row r="231" spans="1:26" s="111" customFormat="1" x14ac:dyDescent="0.2">
      <c r="A231" s="101">
        <v>46238</v>
      </c>
      <c r="B231" s="91" t="s">
        <v>362</v>
      </c>
      <c r="C231" s="102" t="s">
        <v>363</v>
      </c>
      <c r="D231" s="103" t="s">
        <v>26</v>
      </c>
      <c r="E231" s="91" t="s">
        <v>364</v>
      </c>
      <c r="F231" s="91" t="s">
        <v>365</v>
      </c>
      <c r="G231" s="91" t="s">
        <v>357</v>
      </c>
      <c r="H231" s="104" t="str">
        <f t="shared" si="16"/>
        <v>C5222J20</v>
      </c>
      <c r="I231" s="104"/>
      <c r="J231" s="105">
        <v>10.89</v>
      </c>
      <c r="K231" s="106">
        <f t="shared" si="17"/>
        <v>59.9</v>
      </c>
      <c r="L231" s="106">
        <v>59.9</v>
      </c>
      <c r="M231" s="106">
        <f t="shared" si="15"/>
        <v>0</v>
      </c>
      <c r="N231" s="106">
        <v>59.9</v>
      </c>
      <c r="O231" s="107">
        <v>652.30999999999995</v>
      </c>
      <c r="P231" s="107">
        <v>26110</v>
      </c>
      <c r="Q231" s="107">
        <v>17031814</v>
      </c>
      <c r="R231" s="102" t="s">
        <v>30</v>
      </c>
      <c r="S231" s="108"/>
      <c r="T231" s="109"/>
      <c r="U231" s="109"/>
      <c r="V231" s="102"/>
      <c r="W231" s="109"/>
      <c r="X231" s="109"/>
      <c r="Y231" s="110" t="s">
        <v>358</v>
      </c>
      <c r="Z231" s="111" t="str">
        <f>MID(E231,4,2)</f>
        <v>CA</v>
      </c>
    </row>
    <row r="232" spans="1:26" s="111" customFormat="1" x14ac:dyDescent="0.2">
      <c r="A232" s="101">
        <v>46238</v>
      </c>
      <c r="B232" s="91" t="s">
        <v>366</v>
      </c>
      <c r="C232" s="102" t="s">
        <v>367</v>
      </c>
      <c r="D232" s="103" t="s">
        <v>26</v>
      </c>
      <c r="E232" s="91" t="s">
        <v>368</v>
      </c>
      <c r="F232" s="91" t="s">
        <v>124</v>
      </c>
      <c r="G232" s="91" t="s">
        <v>113</v>
      </c>
      <c r="H232" s="104" t="str">
        <f t="shared" si="16"/>
        <v>C5212J20</v>
      </c>
      <c r="I232" s="104"/>
      <c r="J232" s="105">
        <v>490.05</v>
      </c>
      <c r="K232" s="106">
        <f>IF(D232="CAESARSTONE LTD",VLOOKUP(H232,'[2]GIA CA'!G:H,2,0),IF(OR(D232="STONE FACINGS LIMITED",D232="NORDIA SA",D232="INVICTUS STONE COUNTERTOPS INC",D232="QUARTZTOP LLC"),VLOOKUP(H232,'[2] Giá ngoài Mỹ - SI-GR'!$B$5:$AZ$84,51,0),IF(OR(D232="HYUNDAI L&amp;C CANADA INC",D232="Hyundai L&amp; C USA LLC"),VLOOKUP(H232,'[2]GIA HS'!A:D,4,0),IF(Y232="Mỹ",VLOOKUP(H232,'[2]giá mỹ từ 6.8.2025'!B:I,2,0),VLOOKUP(H232,'[2]giá ngoài mỹ 6.8.2025 (final)'!B:BP,51,0)))))</f>
        <v>59</v>
      </c>
      <c r="L232" s="106">
        <v>62</v>
      </c>
      <c r="M232" s="106">
        <f t="shared" si="15"/>
        <v>3</v>
      </c>
      <c r="N232" s="106">
        <v>62</v>
      </c>
      <c r="O232" s="107">
        <v>30383.1</v>
      </c>
      <c r="P232" s="107">
        <v>26110</v>
      </c>
      <c r="Q232" s="107">
        <v>793302741</v>
      </c>
      <c r="R232" s="102" t="s">
        <v>30</v>
      </c>
      <c r="S232" s="108"/>
      <c r="T232" s="109"/>
      <c r="U232" s="109"/>
      <c r="V232" s="102"/>
      <c r="W232" s="109"/>
      <c r="X232" s="109"/>
      <c r="Y232" s="110" t="s">
        <v>369</v>
      </c>
      <c r="Z232" s="111" t="str">
        <f>MID(E232,4,2)</f>
        <v>CA</v>
      </c>
    </row>
    <row r="233" spans="1:26" s="111" customFormat="1" x14ac:dyDescent="0.2">
      <c r="A233" s="101">
        <v>46238</v>
      </c>
      <c r="B233" s="91" t="s">
        <v>370</v>
      </c>
      <c r="C233" s="102" t="s">
        <v>371</v>
      </c>
      <c r="D233" s="103" t="s">
        <v>26</v>
      </c>
      <c r="E233" s="91" t="s">
        <v>372</v>
      </c>
      <c r="F233" s="91" t="s">
        <v>373</v>
      </c>
      <c r="G233" s="91" t="s">
        <v>374</v>
      </c>
      <c r="H233" s="104" t="str">
        <f t="shared" si="16"/>
        <v>C5212J13</v>
      </c>
      <c r="I233" s="104"/>
      <c r="J233" s="105">
        <v>152.46</v>
      </c>
      <c r="K233" s="106">
        <f>IF(D233="CAESARSTONE LTD",VLOOKUP(H233,'[2]GIA CA'!G:H,2,0),IF(OR(D233="STONE FACINGS LIMITED",D233="NORDIA SA",D233="INVICTUS STONE COUNTERTOPS INC",D233="QUARTZTOP LLC"),VLOOKUP(H233,'[2] Giá ngoài Mỹ - SI-GR'!$B$5:$AZ$84,51,0),IF(OR(D233="HYUNDAI L&amp;C CANADA INC",D233="Hyundai L&amp; C USA LLC"),VLOOKUP(H233,'[2]GIA HS'!A:D,4,0),IF(Y233="Mỹ",VLOOKUP(H233,'[2]giá mỹ từ 6.8.2025'!B:I,2,0),VLOOKUP(H233,'[2]giá ngoài mỹ 6.8.2025 (final)'!B:BP,51,0)))))</f>
        <v>50.15</v>
      </c>
      <c r="L233" s="106">
        <v>52.7</v>
      </c>
      <c r="M233" s="106">
        <f t="shared" si="15"/>
        <v>2.5500000000000043</v>
      </c>
      <c r="N233" s="106">
        <v>52.7</v>
      </c>
      <c r="O233" s="107">
        <v>8034.6</v>
      </c>
      <c r="P233" s="107">
        <v>26110</v>
      </c>
      <c r="Q233" s="107">
        <v>209783406</v>
      </c>
      <c r="R233" s="102" t="s">
        <v>30</v>
      </c>
      <c r="S233" s="108"/>
      <c r="T233" s="109"/>
      <c r="U233" s="109"/>
      <c r="V233" s="102"/>
      <c r="W233" s="109"/>
      <c r="X233" s="109"/>
      <c r="Y233" s="110" t="s">
        <v>369</v>
      </c>
      <c r="Z233" s="111" t="str">
        <f>MID(E233,4,2)</f>
        <v>CA</v>
      </c>
    </row>
    <row r="234" spans="1:26" s="111" customFormat="1" x14ac:dyDescent="0.2">
      <c r="A234" s="101">
        <v>46238</v>
      </c>
      <c r="B234" s="91" t="s">
        <v>370</v>
      </c>
      <c r="C234" s="102" t="s">
        <v>371</v>
      </c>
      <c r="D234" s="103" t="s">
        <v>26</v>
      </c>
      <c r="E234" s="91" t="s">
        <v>372</v>
      </c>
      <c r="F234" s="91" t="s">
        <v>124</v>
      </c>
      <c r="G234" s="91" t="s">
        <v>113</v>
      </c>
      <c r="H234" s="104" t="str">
        <f t="shared" si="16"/>
        <v>C5212J20</v>
      </c>
      <c r="I234" s="104"/>
      <c r="J234" s="105">
        <v>163.35</v>
      </c>
      <c r="K234" s="106">
        <f>IF(D234="CAESARSTONE LTD",VLOOKUP(H234,'[2]GIA CA'!G:H,2,0),IF(OR(D234="STONE FACINGS LIMITED",D234="NORDIA SA",D234="INVICTUS STONE COUNTERTOPS INC",D234="QUARTZTOP LLC"),VLOOKUP(H234,'[2] Giá ngoài Mỹ - SI-GR'!$B$5:$AZ$84,51,0),IF(OR(D234="HYUNDAI L&amp;C CANADA INC",D234="Hyundai L&amp; C USA LLC"),VLOOKUP(H234,'[2]GIA HS'!A:D,4,0),IF(Y234="Mỹ",VLOOKUP(H234,'[2]giá mỹ từ 6.8.2025'!B:I,2,0),VLOOKUP(H234,'[2]giá ngoài mỹ 6.8.2025 (final)'!B:BP,51,0)))))</f>
        <v>59</v>
      </c>
      <c r="L234" s="106">
        <v>62</v>
      </c>
      <c r="M234" s="106">
        <f t="shared" si="15"/>
        <v>3</v>
      </c>
      <c r="N234" s="106">
        <v>62</v>
      </c>
      <c r="O234" s="107">
        <v>10127.700000000001</v>
      </c>
      <c r="P234" s="107">
        <v>26110</v>
      </c>
      <c r="Q234" s="107">
        <v>264434247</v>
      </c>
      <c r="R234" s="102" t="s">
        <v>30</v>
      </c>
      <c r="S234" s="108"/>
      <c r="T234" s="109"/>
      <c r="U234" s="109"/>
      <c r="V234" s="102"/>
      <c r="W234" s="109"/>
      <c r="X234" s="109"/>
      <c r="Y234" s="110" t="s">
        <v>369</v>
      </c>
      <c r="Z234" s="111" t="str">
        <f>MID(E234,4,2)</f>
        <v>CA</v>
      </c>
    </row>
    <row r="235" spans="1:26" s="111" customFormat="1" x14ac:dyDescent="0.2">
      <c r="A235" s="101">
        <v>46238</v>
      </c>
      <c r="B235" s="91" t="s">
        <v>370</v>
      </c>
      <c r="C235" s="102" t="s">
        <v>371</v>
      </c>
      <c r="D235" s="103" t="s">
        <v>26</v>
      </c>
      <c r="E235" s="91" t="s">
        <v>372</v>
      </c>
      <c r="F235" s="91" t="s">
        <v>375</v>
      </c>
      <c r="G235" s="91" t="s">
        <v>376</v>
      </c>
      <c r="H235" s="104" t="str">
        <f t="shared" si="16"/>
        <v>C6046J13</v>
      </c>
      <c r="I235" s="104"/>
      <c r="J235" s="105">
        <v>141.58000000000001</v>
      </c>
      <c r="K235" s="106">
        <f>IF(D235="CAESARSTONE LTD",VLOOKUP(H235,'[2]GIA CA'!G:H,2,0),IF(OR(D235="STONE FACINGS LIMITED",D235="NORDIA SA",D235="INVICTUS STONE COUNTERTOPS INC",D235="QUARTZTOP LLC"),VLOOKUP(H235,'[2] Giá ngoài Mỹ - SI-GR'!$B$5:$AZ$84,51,0),IF(OR(D235="HYUNDAI L&amp;C CANADA INC",D235="Hyundai L&amp; C USA LLC"),VLOOKUP(H235,'[2]GIA HS'!A:D,4,0),IF(Y235="Mỹ",VLOOKUP(H235,'[2]giá mỹ từ 6.8.2025'!B:I,2,0),VLOOKUP(H235,'[2]giá ngoài mỹ 6.8.2025 (final)'!B:BP,51,0)))))</f>
        <v>50.15</v>
      </c>
      <c r="L235" s="106">
        <v>50.15</v>
      </c>
      <c r="M235" s="106">
        <f t="shared" si="15"/>
        <v>0</v>
      </c>
      <c r="N235" s="106">
        <v>50.15</v>
      </c>
      <c r="O235" s="107">
        <v>7100.32</v>
      </c>
      <c r="P235" s="107">
        <v>26110</v>
      </c>
      <c r="Q235" s="107">
        <v>185389355</v>
      </c>
      <c r="R235" s="102" t="s">
        <v>30</v>
      </c>
      <c r="S235" s="108"/>
      <c r="T235" s="109"/>
      <c r="U235" s="109"/>
      <c r="V235" s="102"/>
      <c r="W235" s="109"/>
      <c r="X235" s="109"/>
      <c r="Y235" s="110" t="s">
        <v>369</v>
      </c>
      <c r="Z235" s="111" t="str">
        <f>MID(E235,4,2)</f>
        <v>CA</v>
      </c>
    </row>
    <row r="236" spans="1:26" s="111" customFormat="1" x14ac:dyDescent="0.2">
      <c r="A236" s="101">
        <v>46238</v>
      </c>
      <c r="B236" s="91" t="s">
        <v>370</v>
      </c>
      <c r="C236" s="102" t="s">
        <v>371</v>
      </c>
      <c r="D236" s="103" t="s">
        <v>26</v>
      </c>
      <c r="E236" s="91" t="s">
        <v>372</v>
      </c>
      <c r="F236" s="91" t="s">
        <v>377</v>
      </c>
      <c r="G236" s="91" t="s">
        <v>376</v>
      </c>
      <c r="H236" s="104" t="str">
        <f t="shared" si="16"/>
        <v>C6046J13</v>
      </c>
      <c r="I236" s="104"/>
      <c r="J236" s="105">
        <v>16.329999999999998</v>
      </c>
      <c r="K236" s="106">
        <f>IF(D236="CAESARSTONE LTD",VLOOKUP(H236,'[2]GIA CA'!G:H,2,0),IF(OR(D236="STONE FACINGS LIMITED",D236="NORDIA SA",D236="INVICTUS STONE COUNTERTOPS INC",D236="QUARTZTOP LLC"),VLOOKUP(H236,'[2] Giá ngoài Mỹ - SI-GR'!$B$5:$AZ$84,51,0),IF(OR(D236="HYUNDAI L&amp;C CANADA INC",D236="Hyundai L&amp; C USA LLC"),VLOOKUP(H236,'[2]GIA HS'!A:D,4,0),IF(Y236="Mỹ",VLOOKUP(H236,'[2]giá mỹ từ 6.8.2025'!B:I,2,0),VLOOKUP(H236,'[2]giá ngoài mỹ 6.8.2025 (final)'!B:BP,51,0)))))</f>
        <v>50.15</v>
      </c>
      <c r="L236" s="106">
        <v>50.15</v>
      </c>
      <c r="M236" s="106">
        <f t="shared" si="15"/>
        <v>0</v>
      </c>
      <c r="N236" s="106">
        <v>50.15</v>
      </c>
      <c r="O236" s="107">
        <v>818.96</v>
      </c>
      <c r="P236" s="107">
        <v>26110</v>
      </c>
      <c r="Q236" s="107">
        <v>21383046</v>
      </c>
      <c r="R236" s="102" t="s">
        <v>30</v>
      </c>
      <c r="S236" s="108"/>
      <c r="T236" s="109"/>
      <c r="U236" s="109"/>
      <c r="V236" s="102"/>
      <c r="W236" s="109"/>
      <c r="X236" s="109"/>
      <c r="Y236" s="110" t="s">
        <v>369</v>
      </c>
      <c r="Z236" s="111" t="str">
        <f>MID(E236,4,2)</f>
        <v>CA</v>
      </c>
    </row>
    <row r="237" spans="1:26" s="111" customFormat="1" x14ac:dyDescent="0.2">
      <c r="A237" s="101">
        <v>46238</v>
      </c>
      <c r="B237" s="91" t="s">
        <v>370</v>
      </c>
      <c r="C237" s="102" t="s">
        <v>371</v>
      </c>
      <c r="D237" s="103" t="s">
        <v>26</v>
      </c>
      <c r="E237" s="91" t="s">
        <v>372</v>
      </c>
      <c r="F237" s="91" t="s">
        <v>378</v>
      </c>
      <c r="G237" s="91" t="s">
        <v>376</v>
      </c>
      <c r="H237" s="104" t="str">
        <f t="shared" si="16"/>
        <v>C6046J13</v>
      </c>
      <c r="I237" s="104"/>
      <c r="J237" s="105">
        <v>70.78</v>
      </c>
      <c r="K237" s="106">
        <f>IF(D237="CAESARSTONE LTD",VLOOKUP(H237,'[2]GIA CA'!G:H,2,0),IF(OR(D237="STONE FACINGS LIMITED",D237="NORDIA SA",D237="INVICTUS STONE COUNTERTOPS INC",D237="QUARTZTOP LLC"),VLOOKUP(H237,'[2] Giá ngoài Mỹ - SI-GR'!$B$5:$AZ$84,51,0),IF(OR(D237="HYUNDAI L&amp;C CANADA INC",D237="Hyundai L&amp; C USA LLC"),VLOOKUP(H237,'[2]GIA HS'!A:D,4,0),IF(Y237="Mỹ",VLOOKUP(H237,'[2]giá mỹ từ 6.8.2025'!B:I,2,0),VLOOKUP(H237,'[2]giá ngoài mỹ 6.8.2025 (final)'!B:BP,51,0)))))</f>
        <v>50.15</v>
      </c>
      <c r="L237" s="106">
        <v>50.15</v>
      </c>
      <c r="M237" s="106">
        <f t="shared" si="15"/>
        <v>0</v>
      </c>
      <c r="N237" s="106">
        <v>50.15</v>
      </c>
      <c r="O237" s="107">
        <v>3549.66</v>
      </c>
      <c r="P237" s="107">
        <v>26110</v>
      </c>
      <c r="Q237" s="107">
        <v>92681623</v>
      </c>
      <c r="R237" s="102" t="s">
        <v>30</v>
      </c>
      <c r="S237" s="108"/>
      <c r="T237" s="109"/>
      <c r="U237" s="109"/>
      <c r="V237" s="102"/>
      <c r="W237" s="109"/>
      <c r="X237" s="109"/>
      <c r="Y237" s="110" t="s">
        <v>369</v>
      </c>
      <c r="Z237" s="111" t="str">
        <f>MID(E237,4,2)</f>
        <v>CA</v>
      </c>
    </row>
    <row r="238" spans="1:26" s="111" customFormat="1" x14ac:dyDescent="0.2">
      <c r="A238" s="101">
        <v>46238</v>
      </c>
      <c r="B238" s="91" t="s">
        <v>370</v>
      </c>
      <c r="C238" s="102" t="s">
        <v>371</v>
      </c>
      <c r="D238" s="103" t="s">
        <v>26</v>
      </c>
      <c r="E238" s="91" t="s">
        <v>372</v>
      </c>
      <c r="F238" s="91" t="s">
        <v>125</v>
      </c>
      <c r="G238" s="91" t="s">
        <v>126</v>
      </c>
      <c r="H238" s="104" t="str">
        <f t="shared" si="16"/>
        <v>C6046J20</v>
      </c>
      <c r="I238" s="104"/>
      <c r="J238" s="105">
        <v>16.34</v>
      </c>
      <c r="K238" s="106">
        <f>IF(D238="CAESARSTONE LTD",VLOOKUP(H238,'[2]GIA CA'!G:H,2,0),IF(OR(D238="STONE FACINGS LIMITED",D238="NORDIA SA",D238="INVICTUS STONE COUNTERTOPS INC",D238="QUARTZTOP LLC"),VLOOKUP(H238,'[2] Giá ngoài Mỹ - SI-GR'!$B$5:$AZ$84,51,0),IF(OR(D238="HYUNDAI L&amp;C CANADA INC",D238="Hyundai L&amp; C USA LLC"),VLOOKUP(H238,'[2]GIA HS'!A:D,4,0),IF(Y238="Mỹ",VLOOKUP(H238,'[2]giá mỹ từ 6.8.2025'!B:I,2,0),VLOOKUP(H238,'[2]giá ngoài mỹ 6.8.2025 (final)'!B:BP,51,0)))))</f>
        <v>59</v>
      </c>
      <c r="L238" s="106">
        <v>62</v>
      </c>
      <c r="M238" s="106">
        <f t="shared" si="15"/>
        <v>3</v>
      </c>
      <c r="N238" s="106">
        <v>62</v>
      </c>
      <c r="O238" s="107">
        <v>1013.08</v>
      </c>
      <c r="P238" s="107">
        <v>26110</v>
      </c>
      <c r="Q238" s="107">
        <v>26451519</v>
      </c>
      <c r="R238" s="102" t="s">
        <v>30</v>
      </c>
      <c r="S238" s="108"/>
      <c r="T238" s="109"/>
      <c r="U238" s="109"/>
      <c r="V238" s="102"/>
      <c r="W238" s="109"/>
      <c r="X238" s="109"/>
      <c r="Y238" s="110" t="s">
        <v>369</v>
      </c>
      <c r="Z238" s="111" t="str">
        <f>MID(E238,4,2)</f>
        <v>CA</v>
      </c>
    </row>
    <row r="239" spans="1:26" s="111" customFormat="1" x14ac:dyDescent="0.2">
      <c r="A239" s="101">
        <v>46238</v>
      </c>
      <c r="B239" s="91" t="s">
        <v>370</v>
      </c>
      <c r="C239" s="102" t="s">
        <v>371</v>
      </c>
      <c r="D239" s="103" t="s">
        <v>26</v>
      </c>
      <c r="E239" s="91" t="s">
        <v>372</v>
      </c>
      <c r="F239" s="91" t="s">
        <v>379</v>
      </c>
      <c r="G239" s="91" t="s">
        <v>126</v>
      </c>
      <c r="H239" s="104" t="str">
        <f t="shared" si="16"/>
        <v>C6046J20</v>
      </c>
      <c r="I239" s="104"/>
      <c r="J239" s="105">
        <v>38.11</v>
      </c>
      <c r="K239" s="106">
        <f>IF(D239="CAESARSTONE LTD",VLOOKUP(H239,'[2]GIA CA'!G:H,2,0),IF(OR(D239="STONE FACINGS LIMITED",D239="NORDIA SA",D239="INVICTUS STONE COUNTERTOPS INC",D239="QUARTZTOP LLC"),VLOOKUP(H239,'[2] Giá ngoài Mỹ - SI-GR'!$B$5:$AZ$84,51,0),IF(OR(D239="HYUNDAI L&amp;C CANADA INC",D239="Hyundai L&amp; C USA LLC"),VLOOKUP(H239,'[2]GIA HS'!A:D,4,0),IF(Y239="Mỹ",VLOOKUP(H239,'[2]giá mỹ từ 6.8.2025'!B:I,2,0),VLOOKUP(H239,'[2]giá ngoài mỹ 6.8.2025 (final)'!B:BP,51,0)))))</f>
        <v>59</v>
      </c>
      <c r="L239" s="106">
        <v>62</v>
      </c>
      <c r="M239" s="106">
        <f t="shared" si="15"/>
        <v>3</v>
      </c>
      <c r="N239" s="106">
        <v>62</v>
      </c>
      <c r="O239" s="107">
        <v>2362.8200000000002</v>
      </c>
      <c r="P239" s="107">
        <v>26110</v>
      </c>
      <c r="Q239" s="107">
        <v>61693230</v>
      </c>
      <c r="R239" s="102" t="s">
        <v>30</v>
      </c>
      <c r="S239" s="108"/>
      <c r="T239" s="109"/>
      <c r="U239" s="109"/>
      <c r="V239" s="102"/>
      <c r="W239" s="109"/>
      <c r="X239" s="109"/>
      <c r="Y239" s="110" t="s">
        <v>369</v>
      </c>
      <c r="Z239" s="111" t="str">
        <f>MID(E239,4,2)</f>
        <v>CA</v>
      </c>
    </row>
    <row r="240" spans="1:26" s="111" customFormat="1" x14ac:dyDescent="0.2">
      <c r="A240" s="101">
        <v>46238</v>
      </c>
      <c r="B240" s="91" t="s">
        <v>370</v>
      </c>
      <c r="C240" s="102" t="s">
        <v>371</v>
      </c>
      <c r="D240" s="103" t="s">
        <v>26</v>
      </c>
      <c r="E240" s="91" t="s">
        <v>372</v>
      </c>
      <c r="F240" s="91" t="s">
        <v>379</v>
      </c>
      <c r="G240" s="91" t="s">
        <v>126</v>
      </c>
      <c r="H240" s="104" t="str">
        <f t="shared" si="16"/>
        <v>C6046J20</v>
      </c>
      <c r="I240" s="104"/>
      <c r="J240" s="105">
        <v>490.05</v>
      </c>
      <c r="K240" s="106">
        <f>IF(D240="CAESARSTONE LTD",VLOOKUP(H240,'[2]GIA CA'!G:H,2,0),IF(OR(D240="STONE FACINGS LIMITED",D240="NORDIA SA",D240="INVICTUS STONE COUNTERTOPS INC",D240="QUARTZTOP LLC"),VLOOKUP(H240,'[2] Giá ngoài Mỹ - SI-GR'!$B$5:$AZ$84,51,0),IF(OR(D240="HYUNDAI L&amp;C CANADA INC",D240="Hyundai L&amp; C USA LLC"),VLOOKUP(H240,'[2]GIA HS'!A:D,4,0),IF(Y240="Mỹ",VLOOKUP(H240,'[2]giá mỹ từ 6.8.2025'!B:I,2,0),VLOOKUP(H240,'[2]giá ngoài mỹ 6.8.2025 (final)'!B:BP,51,0)))))</f>
        <v>59</v>
      </c>
      <c r="L240" s="106">
        <v>62</v>
      </c>
      <c r="M240" s="106">
        <f t="shared" si="15"/>
        <v>3</v>
      </c>
      <c r="N240" s="106">
        <v>62</v>
      </c>
      <c r="O240" s="107">
        <v>30383.1</v>
      </c>
      <c r="P240" s="107">
        <v>26110</v>
      </c>
      <c r="Q240" s="107">
        <v>793302741</v>
      </c>
      <c r="R240" s="102" t="s">
        <v>30</v>
      </c>
      <c r="S240" s="108"/>
      <c r="T240" s="109"/>
      <c r="U240" s="109"/>
      <c r="V240" s="102"/>
      <c r="W240" s="109"/>
      <c r="X240" s="109"/>
      <c r="Y240" s="110" t="s">
        <v>369</v>
      </c>
      <c r="Z240" s="111" t="str">
        <f>MID(E240,4,2)</f>
        <v>CA</v>
      </c>
    </row>
    <row r="241" spans="1:26" s="111" customFormat="1" x14ac:dyDescent="0.2">
      <c r="A241" s="101">
        <v>46238</v>
      </c>
      <c r="B241" s="91" t="s">
        <v>380</v>
      </c>
      <c r="C241" s="102" t="s">
        <v>381</v>
      </c>
      <c r="D241" s="103" t="s">
        <v>26</v>
      </c>
      <c r="E241" s="91" t="s">
        <v>382</v>
      </c>
      <c r="F241" s="91" t="s">
        <v>383</v>
      </c>
      <c r="G241" s="91" t="s">
        <v>384</v>
      </c>
      <c r="H241" s="104" t="str">
        <f t="shared" si="16"/>
        <v>C5141J30</v>
      </c>
      <c r="I241" s="104"/>
      <c r="J241" s="105">
        <v>152.46</v>
      </c>
      <c r="K241" s="106">
        <f>IF(D241="CAESARSTONE LTD",VLOOKUP(H241,'[2]GIA CA'!G:H,2,0),IF(OR(D241="STONE FACINGS LIMITED",D241="NORDIA SA",D241="INVICTUS STONE COUNTERTOPS INC",D241="QUARTZTOP LLC"),VLOOKUP(H241,'[2] Giá ngoài Mỹ - SI-GR'!$B$5:$AZ$84,51,0),IF(OR(D241="HYUNDAI L&amp;C CANADA INC",D241="Hyundai L&amp; C USA LLC"),VLOOKUP(H241,'[2]GIA HS'!A:D,4,0),IF(Y241="Mỹ",VLOOKUP(H241,'[2]giá mỹ từ 6.8.2025'!B:I,2,0),VLOOKUP(H241,'[2]giá ngoài mỹ 6.8.2025 (final)'!B:BP,51,0)))))</f>
        <v>68.75</v>
      </c>
      <c r="L241" s="106">
        <v>72.2</v>
      </c>
      <c r="M241" s="106">
        <f t="shared" si="15"/>
        <v>3.4500000000000028</v>
      </c>
      <c r="N241" s="106">
        <v>72</v>
      </c>
      <c r="O241" s="106">
        <v>10977.12</v>
      </c>
      <c r="P241" s="107">
        <v>26110</v>
      </c>
      <c r="Q241" s="107">
        <v>286612603</v>
      </c>
      <c r="R241" s="102" t="s">
        <v>30</v>
      </c>
      <c r="S241" s="108"/>
      <c r="T241" s="109"/>
      <c r="U241" s="109"/>
      <c r="V241" s="102"/>
      <c r="W241" s="109"/>
      <c r="X241" s="109"/>
      <c r="Y241" s="110" t="s">
        <v>31</v>
      </c>
      <c r="Z241" s="111" t="str">
        <f>MID(E241,4,2)</f>
        <v>CA</v>
      </c>
    </row>
    <row r="242" spans="1:26" s="111" customFormat="1" x14ac:dyDescent="0.2">
      <c r="A242" s="101">
        <v>46238</v>
      </c>
      <c r="B242" s="91" t="s">
        <v>380</v>
      </c>
      <c r="C242" s="102" t="s">
        <v>381</v>
      </c>
      <c r="D242" s="103" t="s">
        <v>26</v>
      </c>
      <c r="E242" s="91" t="s">
        <v>382</v>
      </c>
      <c r="F242" s="91" t="s">
        <v>77</v>
      </c>
      <c r="G242" s="91" t="s">
        <v>78</v>
      </c>
      <c r="H242" s="104" t="str">
        <f t="shared" si="16"/>
        <v>C5212J30</v>
      </c>
      <c r="I242" s="104"/>
      <c r="J242" s="105">
        <v>76.23</v>
      </c>
      <c r="K242" s="106">
        <f>IF(D242="CAESARSTONE LTD",VLOOKUP(H242,'[2]GIA CA'!G:H,2,0),IF(OR(D242="STONE FACINGS LIMITED",D242="NORDIA SA",D242="INVICTUS STONE COUNTERTOPS INC",D242="QUARTZTOP LLC"),VLOOKUP(H242,'[2] Giá ngoài Mỹ - SI-GR'!$B$5:$AZ$84,51,0),IF(OR(D242="HYUNDAI L&amp;C CANADA INC",D242="Hyundai L&amp; C USA LLC"),VLOOKUP(H242,'[2]GIA HS'!A:D,4,0),IF(Y242="Mỹ",VLOOKUP(H242,'[2]giá mỹ từ 6.8.2025'!B:I,2,0),VLOOKUP(H242,'[2]giá ngoài mỹ 6.8.2025 (final)'!B:BP,51,0)))))</f>
        <v>73.75</v>
      </c>
      <c r="L242" s="106">
        <v>77.400000000000006</v>
      </c>
      <c r="M242" s="106">
        <f t="shared" si="15"/>
        <v>3.6500000000000057</v>
      </c>
      <c r="N242" s="106">
        <v>77</v>
      </c>
      <c r="O242" s="106">
        <v>5869.71</v>
      </c>
      <c r="P242" s="107">
        <v>26110</v>
      </c>
      <c r="Q242" s="107">
        <v>153258128</v>
      </c>
      <c r="R242" s="102" t="s">
        <v>30</v>
      </c>
      <c r="S242" s="108"/>
      <c r="T242" s="109"/>
      <c r="U242" s="109"/>
      <c r="V242" s="102"/>
      <c r="W242" s="109"/>
      <c r="X242" s="109"/>
      <c r="Y242" s="110" t="s">
        <v>31</v>
      </c>
      <c r="Z242" s="111" t="str">
        <f>MID(E242,4,2)</f>
        <v>CA</v>
      </c>
    </row>
    <row r="243" spans="1:26" s="111" customFormat="1" x14ac:dyDescent="0.2">
      <c r="A243" s="101">
        <v>46238</v>
      </c>
      <c r="B243" s="91" t="s">
        <v>380</v>
      </c>
      <c r="C243" s="102" t="s">
        <v>381</v>
      </c>
      <c r="D243" s="103" t="s">
        <v>26</v>
      </c>
      <c r="E243" s="91" t="s">
        <v>382</v>
      </c>
      <c r="F243" s="91" t="s">
        <v>203</v>
      </c>
      <c r="G243" s="91" t="s">
        <v>204</v>
      </c>
      <c r="H243" s="104" t="str">
        <f t="shared" si="16"/>
        <v>F5132J20</v>
      </c>
      <c r="I243" s="104"/>
      <c r="J243" s="105">
        <v>54.45</v>
      </c>
      <c r="K243" s="106">
        <f>IF(D243="CAESARSTONE LTD",VLOOKUP(H243,'[2]GIA CA'!G:H,2,0),IF(OR(D243="STONE FACINGS LIMITED",D243="NORDIA SA",D243="INVICTUS STONE COUNTERTOPS INC",D243="QUARTZTOP LLC"),VLOOKUP(H243,'[2] Giá ngoài Mỹ - SI-GR'!$B$5:$AZ$84,51,0),IF(OR(D243="HYUNDAI L&amp;C CANADA INC",D243="Hyundai L&amp; C USA LLC"),VLOOKUP(H243,'[2]GIA HS'!A:D,4,0),IF(Y243="Mỹ",VLOOKUP(H243,'[2]giá mỹ từ 6.8.2025'!B:I,2,0),VLOOKUP(H243,'[2]giá ngoài mỹ 6.8.2025 (final)'!B:BP,51,0)))))</f>
        <v>62</v>
      </c>
      <c r="L243" s="106">
        <v>65.099999999999994</v>
      </c>
      <c r="M243" s="106">
        <f t="shared" si="15"/>
        <v>3.0999999999999943</v>
      </c>
      <c r="N243" s="106">
        <v>65</v>
      </c>
      <c r="O243" s="106">
        <v>3539.25</v>
      </c>
      <c r="P243" s="107">
        <v>26110</v>
      </c>
      <c r="Q243" s="107">
        <v>92409818</v>
      </c>
      <c r="R243" s="102" t="s">
        <v>30</v>
      </c>
      <c r="S243" s="108"/>
      <c r="T243" s="109"/>
      <c r="U243" s="109"/>
      <c r="V243" s="102"/>
      <c r="W243" s="109"/>
      <c r="X243" s="109"/>
      <c r="Y243" s="110" t="s">
        <v>31</v>
      </c>
      <c r="Z243" s="111" t="str">
        <f>MID(E243,4,2)</f>
        <v>CA</v>
      </c>
    </row>
    <row r="244" spans="1:26" s="111" customFormat="1" x14ac:dyDescent="0.2">
      <c r="A244" s="101">
        <v>46238</v>
      </c>
      <c r="B244" s="91" t="s">
        <v>380</v>
      </c>
      <c r="C244" s="102" t="s">
        <v>381</v>
      </c>
      <c r="D244" s="103" t="s">
        <v>26</v>
      </c>
      <c r="E244" s="91" t="s">
        <v>382</v>
      </c>
      <c r="F244" s="91" t="s">
        <v>385</v>
      </c>
      <c r="G244" s="91" t="s">
        <v>386</v>
      </c>
      <c r="H244" s="104" t="str">
        <f t="shared" si="16"/>
        <v>F5132J30</v>
      </c>
      <c r="I244" s="104"/>
      <c r="J244" s="105">
        <v>38.119999999999997</v>
      </c>
      <c r="K244" s="106">
        <f>IF(D244="CAESARSTONE LTD",VLOOKUP(H244,'[2]GIA CA'!G:H,2,0),IF(OR(D244="STONE FACINGS LIMITED",D244="NORDIA SA",D244="INVICTUS STONE COUNTERTOPS INC",D244="QUARTZTOP LLC"),VLOOKUP(H244,'[2] Giá ngoài Mỹ - SI-GR'!$B$5:$AZ$84,51,0),IF(OR(D244="HYUNDAI L&amp;C CANADA INC",D244="Hyundai L&amp; C USA LLC"),VLOOKUP(H244,'[2]GIA HS'!A:D,4,0),IF(Y244="Mỹ",VLOOKUP(H244,'[2]giá mỹ từ 6.8.2025'!B:I,2,0),VLOOKUP(H244,'[2]giá ngoài mỹ 6.8.2025 (final)'!B:BP,51,0)))))</f>
        <v>77.5</v>
      </c>
      <c r="L244" s="106">
        <v>81.39</v>
      </c>
      <c r="M244" s="106">
        <f t="shared" si="15"/>
        <v>3.8900000000000006</v>
      </c>
      <c r="N244" s="106">
        <v>81</v>
      </c>
      <c r="O244" s="106">
        <v>3087.72</v>
      </c>
      <c r="P244" s="107">
        <v>26110</v>
      </c>
      <c r="Q244" s="107">
        <v>80620369</v>
      </c>
      <c r="R244" s="102" t="s">
        <v>30</v>
      </c>
      <c r="S244" s="108"/>
      <c r="T244" s="109"/>
      <c r="U244" s="109"/>
      <c r="V244" s="102"/>
      <c r="W244" s="109"/>
      <c r="X244" s="109"/>
      <c r="Y244" s="110" t="s">
        <v>31</v>
      </c>
      <c r="Z244" s="111" t="str">
        <f>MID(E244,4,2)</f>
        <v>CA</v>
      </c>
    </row>
    <row r="245" spans="1:26" s="111" customFormat="1" x14ac:dyDescent="0.2">
      <c r="A245" s="101">
        <v>46238</v>
      </c>
      <c r="B245" s="91" t="s">
        <v>380</v>
      </c>
      <c r="C245" s="102" t="s">
        <v>381</v>
      </c>
      <c r="D245" s="103" t="s">
        <v>26</v>
      </c>
      <c r="E245" s="91" t="s">
        <v>382</v>
      </c>
      <c r="F245" s="91" t="s">
        <v>274</v>
      </c>
      <c r="G245" s="91" t="s">
        <v>273</v>
      </c>
      <c r="H245" s="104" t="str">
        <f t="shared" si="16"/>
        <v>F6313J20</v>
      </c>
      <c r="I245" s="104"/>
      <c r="J245" s="105">
        <v>43.56</v>
      </c>
      <c r="K245" s="106">
        <f>IF(D245="CAESARSTONE LTD",VLOOKUP(H245,'[2]GIA CA'!G:H,2,0),IF(OR(D245="STONE FACINGS LIMITED",D245="NORDIA SA",D245="INVICTUS STONE COUNTERTOPS INC",D245="QUARTZTOP LLC"),VLOOKUP(H245,'[2] Giá ngoài Mỹ - SI-GR'!$B$5:$AZ$84,51,0),IF(OR(D245="HYUNDAI L&amp;C CANADA INC",D245="Hyundai L&amp; C USA LLC"),VLOOKUP(H245,'[2]GIA HS'!A:D,4,0),IF(Y245="Mỹ",VLOOKUP(H245,'[2]giá mỹ từ 6.8.2025'!B:I,2,0),VLOOKUP(H245,'[2]giá ngoài mỹ 6.8.2025 (final)'!B:BP,51,0)))))</f>
        <v>62</v>
      </c>
      <c r="L245" s="106">
        <v>65.099999999999994</v>
      </c>
      <c r="M245" s="106">
        <f t="shared" si="15"/>
        <v>3.0999999999999943</v>
      </c>
      <c r="N245" s="106">
        <v>68.819999999999993</v>
      </c>
      <c r="O245" s="106">
        <v>2997.62</v>
      </c>
      <c r="P245" s="107">
        <v>26110</v>
      </c>
      <c r="Q245" s="107">
        <v>78267858</v>
      </c>
      <c r="R245" s="102" t="s">
        <v>30</v>
      </c>
      <c r="S245" s="108"/>
      <c r="T245" s="109"/>
      <c r="U245" s="109"/>
      <c r="V245" s="102"/>
      <c r="W245" s="109"/>
      <c r="X245" s="109"/>
      <c r="Y245" s="110" t="s">
        <v>31</v>
      </c>
      <c r="Z245" s="111" t="str">
        <f>MID(E245,4,2)</f>
        <v>CA</v>
      </c>
    </row>
    <row r="246" spans="1:26" s="111" customFormat="1" x14ac:dyDescent="0.2">
      <c r="A246" s="101">
        <v>46238</v>
      </c>
      <c r="B246" s="91" t="s">
        <v>380</v>
      </c>
      <c r="C246" s="102" t="s">
        <v>381</v>
      </c>
      <c r="D246" s="103" t="s">
        <v>26</v>
      </c>
      <c r="E246" s="91" t="s">
        <v>382</v>
      </c>
      <c r="F246" s="91" t="s">
        <v>387</v>
      </c>
      <c r="G246" s="91" t="s">
        <v>273</v>
      </c>
      <c r="H246" s="104" t="str">
        <f t="shared" si="16"/>
        <v>F6313J20</v>
      </c>
      <c r="I246" s="104"/>
      <c r="J246" s="105">
        <v>10.89</v>
      </c>
      <c r="K246" s="106">
        <f>IF(D246="CAESARSTONE LTD",VLOOKUP(H246,'[2]GIA CA'!G:H,2,0),IF(OR(D246="STONE FACINGS LIMITED",D246="NORDIA SA",D246="INVICTUS STONE COUNTERTOPS INC",D246="QUARTZTOP LLC"),VLOOKUP(H246,'[2] Giá ngoài Mỹ - SI-GR'!$B$5:$AZ$84,51,0),IF(OR(D246="HYUNDAI L&amp;C CANADA INC",D246="Hyundai L&amp; C USA LLC"),VLOOKUP(H246,'[2]GIA HS'!A:D,4,0),IF(Y246="Mỹ",VLOOKUP(H246,'[2]giá mỹ từ 6.8.2025'!B:I,2,0),VLOOKUP(H246,'[2]giá ngoài mỹ 6.8.2025 (final)'!B:BP,51,0)))))</f>
        <v>62</v>
      </c>
      <c r="L246" s="106">
        <v>65.099999999999994</v>
      </c>
      <c r="M246" s="106">
        <f t="shared" si="15"/>
        <v>3.0999999999999943</v>
      </c>
      <c r="N246" s="106">
        <v>68.819999999999993</v>
      </c>
      <c r="O246" s="106">
        <v>749.4</v>
      </c>
      <c r="P246" s="107">
        <v>26110</v>
      </c>
      <c r="Q246" s="107">
        <v>19566834</v>
      </c>
      <c r="R246" s="102" t="s">
        <v>30</v>
      </c>
      <c r="S246" s="108"/>
      <c r="T246" s="109"/>
      <c r="U246" s="109"/>
      <c r="V246" s="102"/>
      <c r="W246" s="109"/>
      <c r="X246" s="109"/>
      <c r="Y246" s="110" t="s">
        <v>31</v>
      </c>
      <c r="Z246" s="111" t="str">
        <f>MID(E246,4,2)</f>
        <v>CA</v>
      </c>
    </row>
    <row r="247" spans="1:26" s="111" customFormat="1" x14ac:dyDescent="0.2">
      <c r="A247" s="101">
        <v>46238</v>
      </c>
      <c r="B247" s="91" t="s">
        <v>380</v>
      </c>
      <c r="C247" s="102" t="s">
        <v>381</v>
      </c>
      <c r="D247" s="103" t="s">
        <v>26</v>
      </c>
      <c r="E247" s="91" t="s">
        <v>382</v>
      </c>
      <c r="F247" s="91" t="s">
        <v>237</v>
      </c>
      <c r="G247" s="91" t="s">
        <v>73</v>
      </c>
      <c r="H247" s="104" t="str">
        <f t="shared" si="16"/>
        <v>C5143J30</v>
      </c>
      <c r="I247" s="104"/>
      <c r="J247" s="105">
        <v>228.7</v>
      </c>
      <c r="K247" s="106">
        <f>IF(D247="CAESARSTONE LTD",VLOOKUP(H247,'[2]GIA CA'!G:H,2,0),IF(OR(D247="STONE FACINGS LIMITED",D247="NORDIA SA",D247="INVICTUS STONE COUNTERTOPS INC",D247="QUARTZTOP LLC"),VLOOKUP(H247,'[2] Giá ngoài Mỹ - SI-GR'!$B$5:$AZ$84,51,0),IF(OR(D247="HYUNDAI L&amp;C CANADA INC",D247="Hyundai L&amp; C USA LLC"),VLOOKUP(H247,'[2]GIA HS'!A:D,4,0),IF(Y247="Mỹ",VLOOKUP(H247,'[2]giá mỹ từ 6.8.2025'!B:I,2,0),VLOOKUP(H247,'[2]giá ngoài mỹ 6.8.2025 (final)'!B:BP,51,0)))))</f>
        <v>73.75</v>
      </c>
      <c r="L247" s="106">
        <v>77.39</v>
      </c>
      <c r="M247" s="106">
        <f t="shared" si="15"/>
        <v>3.6400000000000006</v>
      </c>
      <c r="N247" s="106">
        <v>77</v>
      </c>
      <c r="O247" s="106">
        <v>17609.900000000001</v>
      </c>
      <c r="P247" s="107">
        <v>26110</v>
      </c>
      <c r="Q247" s="107">
        <v>459794489</v>
      </c>
      <c r="R247" s="102" t="s">
        <v>30</v>
      </c>
      <c r="S247" s="108"/>
      <c r="T247" s="109"/>
      <c r="U247" s="109"/>
      <c r="V247" s="102"/>
      <c r="W247" s="109"/>
      <c r="X247" s="109"/>
      <c r="Y247" s="110" t="s">
        <v>31</v>
      </c>
      <c r="Z247" s="111" t="str">
        <f>MID(E247,4,2)</f>
        <v>CA</v>
      </c>
    </row>
    <row r="248" spans="1:26" s="111" customFormat="1" x14ac:dyDescent="0.2">
      <c r="A248" s="101">
        <v>46238</v>
      </c>
      <c r="B248" s="91" t="s">
        <v>380</v>
      </c>
      <c r="C248" s="102" t="s">
        <v>381</v>
      </c>
      <c r="D248" s="103" t="s">
        <v>26</v>
      </c>
      <c r="E248" s="91" t="s">
        <v>382</v>
      </c>
      <c r="F248" s="91" t="s">
        <v>77</v>
      </c>
      <c r="G248" s="91" t="s">
        <v>78</v>
      </c>
      <c r="H248" s="104" t="str">
        <f t="shared" si="16"/>
        <v>C5212J30</v>
      </c>
      <c r="I248" s="104"/>
      <c r="J248" s="105">
        <v>76.23</v>
      </c>
      <c r="K248" s="106">
        <f>IF(D248="CAESARSTONE LTD",VLOOKUP(H248,'[2]GIA CA'!G:H,2,0),IF(OR(D248="STONE FACINGS LIMITED",D248="NORDIA SA",D248="INVICTUS STONE COUNTERTOPS INC",D248="QUARTZTOP LLC"),VLOOKUP(H248,'[2] Giá ngoài Mỹ - SI-GR'!$B$5:$AZ$84,51,0),IF(OR(D248="HYUNDAI L&amp;C CANADA INC",D248="Hyundai L&amp; C USA LLC"),VLOOKUP(H248,'[2]GIA HS'!A:D,4,0),IF(Y248="Mỹ",VLOOKUP(H248,'[2]giá mỹ từ 6.8.2025'!B:I,2,0),VLOOKUP(H248,'[2]giá ngoài mỹ 6.8.2025 (final)'!B:BP,51,0)))))</f>
        <v>73.75</v>
      </c>
      <c r="L248" s="106">
        <v>77.400000000000006</v>
      </c>
      <c r="M248" s="106">
        <f t="shared" si="15"/>
        <v>3.6500000000000057</v>
      </c>
      <c r="N248" s="106">
        <v>77</v>
      </c>
      <c r="O248" s="106">
        <v>5869.71</v>
      </c>
      <c r="P248" s="107">
        <v>26110</v>
      </c>
      <c r="Q248" s="107">
        <v>153258128</v>
      </c>
      <c r="R248" s="102" t="s">
        <v>30</v>
      </c>
      <c r="S248" s="108"/>
      <c r="T248" s="109"/>
      <c r="U248" s="109"/>
      <c r="V248" s="102"/>
      <c r="W248" s="109"/>
      <c r="X248" s="109"/>
      <c r="Y248" s="110" t="s">
        <v>31</v>
      </c>
      <c r="Z248" s="111" t="str">
        <f>MID(E248,4,2)</f>
        <v>CA</v>
      </c>
    </row>
    <row r="249" spans="1:26" s="111" customFormat="1" x14ac:dyDescent="0.2">
      <c r="A249" s="101">
        <v>46238</v>
      </c>
      <c r="B249" s="91" t="s">
        <v>380</v>
      </c>
      <c r="C249" s="102" t="s">
        <v>381</v>
      </c>
      <c r="D249" s="103" t="s">
        <v>26</v>
      </c>
      <c r="E249" s="91" t="s">
        <v>382</v>
      </c>
      <c r="F249" s="91" t="s">
        <v>270</v>
      </c>
      <c r="G249" s="91" t="s">
        <v>271</v>
      </c>
      <c r="H249" s="104" t="str">
        <f t="shared" si="16"/>
        <v>F4044J20</v>
      </c>
      <c r="I249" s="104"/>
      <c r="J249" s="105">
        <v>32.67</v>
      </c>
      <c r="K249" s="106">
        <f t="shared" ref="K249:K250" si="18">+L249</f>
        <v>63</v>
      </c>
      <c r="L249" s="106">
        <v>63</v>
      </c>
      <c r="M249" s="106">
        <f t="shared" si="15"/>
        <v>0</v>
      </c>
      <c r="N249" s="106">
        <v>63</v>
      </c>
      <c r="O249" s="106">
        <v>2058.21</v>
      </c>
      <c r="P249" s="107">
        <v>26110</v>
      </c>
      <c r="Q249" s="107">
        <v>53739863</v>
      </c>
      <c r="R249" s="102" t="s">
        <v>30</v>
      </c>
      <c r="S249" s="108"/>
      <c r="T249" s="109"/>
      <c r="U249" s="109"/>
      <c r="V249" s="102"/>
      <c r="W249" s="109"/>
      <c r="X249" s="109"/>
      <c r="Y249" s="110" t="s">
        <v>31</v>
      </c>
      <c r="Z249" s="111" t="str">
        <f>MID(E249,4,2)</f>
        <v>CA</v>
      </c>
    </row>
    <row r="250" spans="1:26" s="111" customFormat="1" x14ac:dyDescent="0.2">
      <c r="A250" s="101">
        <v>46238</v>
      </c>
      <c r="B250" s="91" t="s">
        <v>380</v>
      </c>
      <c r="C250" s="102" t="s">
        <v>381</v>
      </c>
      <c r="D250" s="103" t="s">
        <v>26</v>
      </c>
      <c r="E250" s="91" t="s">
        <v>382</v>
      </c>
      <c r="F250" s="91" t="s">
        <v>388</v>
      </c>
      <c r="G250" s="91" t="s">
        <v>271</v>
      </c>
      <c r="H250" s="104" t="str">
        <f t="shared" si="16"/>
        <v>F4044J20</v>
      </c>
      <c r="I250" s="104"/>
      <c r="J250" s="105">
        <v>21.78</v>
      </c>
      <c r="K250" s="106">
        <f t="shared" si="18"/>
        <v>63</v>
      </c>
      <c r="L250" s="106">
        <v>63</v>
      </c>
      <c r="M250" s="106">
        <f t="shared" si="15"/>
        <v>0</v>
      </c>
      <c r="N250" s="106">
        <v>63</v>
      </c>
      <c r="O250" s="106">
        <v>1372.14</v>
      </c>
      <c r="P250" s="107">
        <v>26110</v>
      </c>
      <c r="Q250" s="107">
        <v>35826575</v>
      </c>
      <c r="R250" s="102" t="s">
        <v>30</v>
      </c>
      <c r="S250" s="108"/>
      <c r="T250" s="109"/>
      <c r="U250" s="109"/>
      <c r="V250" s="102"/>
      <c r="W250" s="109"/>
      <c r="X250" s="109"/>
      <c r="Y250" s="110" t="s">
        <v>31</v>
      </c>
      <c r="Z250" s="111" t="str">
        <f>MID(E250,4,2)</f>
        <v>CA</v>
      </c>
    </row>
    <row r="251" spans="1:26" s="111" customFormat="1" x14ac:dyDescent="0.2">
      <c r="A251" s="101">
        <v>46238</v>
      </c>
      <c r="B251" s="91" t="s">
        <v>389</v>
      </c>
      <c r="C251" s="102" t="s">
        <v>390</v>
      </c>
      <c r="D251" s="103" t="s">
        <v>391</v>
      </c>
      <c r="E251" s="91" t="s">
        <v>392</v>
      </c>
      <c r="F251" s="91" t="s">
        <v>393</v>
      </c>
      <c r="G251" s="91" t="s">
        <v>394</v>
      </c>
      <c r="H251" s="104" t="str">
        <f t="shared" si="16"/>
        <v>C5445J20</v>
      </c>
      <c r="I251" s="104"/>
      <c r="J251" s="105">
        <v>1.94</v>
      </c>
      <c r="K251" s="106"/>
      <c r="L251" s="106">
        <v>0</v>
      </c>
      <c r="M251" s="106">
        <f t="shared" si="15"/>
        <v>0</v>
      </c>
      <c r="N251" s="106">
        <v>68</v>
      </c>
      <c r="O251" s="106">
        <v>131.91999999999999</v>
      </c>
      <c r="P251" s="107">
        <v>26110</v>
      </c>
      <c r="Q251" s="107">
        <v>3444431</v>
      </c>
      <c r="R251" s="102"/>
      <c r="S251" s="108"/>
      <c r="T251" s="109"/>
      <c r="U251" s="109" t="s">
        <v>30</v>
      </c>
      <c r="V251" s="102"/>
      <c r="W251" s="109"/>
      <c r="X251" s="109"/>
      <c r="Y251" s="110" t="s">
        <v>395</v>
      </c>
      <c r="Z251" s="111" t="str">
        <f>MID(E251,4,2)</f>
        <v>SI</v>
      </c>
    </row>
    <row r="252" spans="1:26" s="111" customFormat="1" x14ac:dyDescent="0.2">
      <c r="A252" s="101">
        <v>46238</v>
      </c>
      <c r="B252" s="91" t="s">
        <v>389</v>
      </c>
      <c r="C252" s="102" t="s">
        <v>390</v>
      </c>
      <c r="D252" s="103" t="s">
        <v>391</v>
      </c>
      <c r="E252" s="91" t="s">
        <v>392</v>
      </c>
      <c r="F252" s="91" t="s">
        <v>393</v>
      </c>
      <c r="G252" s="91" t="s">
        <v>394</v>
      </c>
      <c r="H252" s="104" t="str">
        <f t="shared" si="16"/>
        <v>C5445J20</v>
      </c>
      <c r="I252" s="104"/>
      <c r="J252" s="105">
        <v>1.94</v>
      </c>
      <c r="K252" s="106"/>
      <c r="L252" s="106">
        <v>0</v>
      </c>
      <c r="M252" s="106">
        <f t="shared" si="15"/>
        <v>0</v>
      </c>
      <c r="N252" s="106">
        <v>68</v>
      </c>
      <c r="O252" s="106">
        <v>131.91999999999999</v>
      </c>
      <c r="P252" s="107">
        <v>26110</v>
      </c>
      <c r="Q252" s="107">
        <v>3444431</v>
      </c>
      <c r="R252" s="102"/>
      <c r="S252" s="108"/>
      <c r="T252" s="109"/>
      <c r="U252" s="109" t="s">
        <v>30</v>
      </c>
      <c r="V252" s="102"/>
      <c r="W252" s="109"/>
      <c r="X252" s="109"/>
      <c r="Y252" s="110" t="s">
        <v>395</v>
      </c>
      <c r="Z252" s="111" t="str">
        <f>MID(E252,4,2)</f>
        <v>SI</v>
      </c>
    </row>
    <row r="253" spans="1:26" s="111" customFormat="1" x14ac:dyDescent="0.2">
      <c r="A253" s="101">
        <v>46238</v>
      </c>
      <c r="B253" s="91" t="s">
        <v>389</v>
      </c>
      <c r="C253" s="102" t="s">
        <v>390</v>
      </c>
      <c r="D253" s="103" t="s">
        <v>391</v>
      </c>
      <c r="E253" s="91" t="s">
        <v>392</v>
      </c>
      <c r="F253" s="91" t="s">
        <v>393</v>
      </c>
      <c r="G253" s="91" t="s">
        <v>394</v>
      </c>
      <c r="H253" s="104" t="str">
        <f t="shared" si="16"/>
        <v>C5445J20</v>
      </c>
      <c r="I253" s="104"/>
      <c r="J253" s="105">
        <v>1.94</v>
      </c>
      <c r="K253" s="106"/>
      <c r="L253" s="106">
        <v>0</v>
      </c>
      <c r="M253" s="106">
        <f t="shared" si="15"/>
        <v>0</v>
      </c>
      <c r="N253" s="106">
        <v>68</v>
      </c>
      <c r="O253" s="106">
        <v>131.91999999999999</v>
      </c>
      <c r="P253" s="107">
        <v>26110</v>
      </c>
      <c r="Q253" s="107">
        <v>3444431</v>
      </c>
      <c r="R253" s="102"/>
      <c r="S253" s="108"/>
      <c r="T253" s="109"/>
      <c r="U253" s="109" t="s">
        <v>30</v>
      </c>
      <c r="V253" s="102"/>
      <c r="W253" s="109"/>
      <c r="X253" s="109"/>
      <c r="Y253" s="110" t="s">
        <v>395</v>
      </c>
      <c r="Z253" s="111" t="str">
        <f>MID(E253,4,2)</f>
        <v>SI</v>
      </c>
    </row>
    <row r="254" spans="1:26" s="111" customFormat="1" x14ac:dyDescent="0.2">
      <c r="A254" s="101">
        <v>46238</v>
      </c>
      <c r="B254" s="91" t="s">
        <v>389</v>
      </c>
      <c r="C254" s="102" t="s">
        <v>390</v>
      </c>
      <c r="D254" s="103" t="s">
        <v>391</v>
      </c>
      <c r="E254" s="91" t="s">
        <v>392</v>
      </c>
      <c r="F254" s="91" t="s">
        <v>396</v>
      </c>
      <c r="G254" s="91" t="s">
        <v>397</v>
      </c>
      <c r="H254" s="104" t="str">
        <f t="shared" si="16"/>
        <v>C5340J20</v>
      </c>
      <c r="I254" s="104"/>
      <c r="J254" s="105">
        <v>2.0299999999999998</v>
      </c>
      <c r="K254" s="106"/>
      <c r="L254" s="106">
        <v>0</v>
      </c>
      <c r="M254" s="106">
        <f t="shared" si="15"/>
        <v>0</v>
      </c>
      <c r="N254" s="106">
        <v>61</v>
      </c>
      <c r="O254" s="106">
        <v>123.83</v>
      </c>
      <c r="P254" s="107">
        <v>26110</v>
      </c>
      <c r="Q254" s="107">
        <v>3233201</v>
      </c>
      <c r="R254" s="102"/>
      <c r="S254" s="108"/>
      <c r="T254" s="109"/>
      <c r="U254" s="109" t="s">
        <v>30</v>
      </c>
      <c r="V254" s="102"/>
      <c r="W254" s="109"/>
      <c r="X254" s="109"/>
      <c r="Y254" s="110" t="s">
        <v>395</v>
      </c>
      <c r="Z254" s="111" t="str">
        <f>MID(E254,4,2)</f>
        <v>SI</v>
      </c>
    </row>
    <row r="255" spans="1:26" s="111" customFormat="1" x14ac:dyDescent="0.2">
      <c r="A255" s="101">
        <v>46238</v>
      </c>
      <c r="B255" s="91" t="s">
        <v>389</v>
      </c>
      <c r="C255" s="102" t="s">
        <v>390</v>
      </c>
      <c r="D255" s="103" t="s">
        <v>391</v>
      </c>
      <c r="E255" s="91" t="s">
        <v>392</v>
      </c>
      <c r="F255" s="91" t="s">
        <v>398</v>
      </c>
      <c r="G255" s="91" t="s">
        <v>399</v>
      </c>
      <c r="H255" s="104" t="str">
        <f t="shared" si="16"/>
        <v>C4246J20</v>
      </c>
      <c r="I255" s="104"/>
      <c r="J255" s="105">
        <v>2.0299999999999998</v>
      </c>
      <c r="K255" s="106"/>
      <c r="L255" s="106">
        <v>0</v>
      </c>
      <c r="M255" s="106">
        <f t="shared" si="15"/>
        <v>0</v>
      </c>
      <c r="N255" s="106">
        <v>60</v>
      </c>
      <c r="O255" s="106">
        <v>121.8</v>
      </c>
      <c r="P255" s="107">
        <v>26110</v>
      </c>
      <c r="Q255" s="107">
        <v>3180198</v>
      </c>
      <c r="R255" s="102"/>
      <c r="S255" s="108"/>
      <c r="T255" s="109"/>
      <c r="U255" s="109" t="s">
        <v>30</v>
      </c>
      <c r="V255" s="102"/>
      <c r="W255" s="109"/>
      <c r="X255" s="109"/>
      <c r="Y255" s="110" t="s">
        <v>395</v>
      </c>
      <c r="Z255" s="111" t="str">
        <f>MID(E255,4,2)</f>
        <v>SI</v>
      </c>
    </row>
    <row r="256" spans="1:26" s="111" customFormat="1" x14ac:dyDescent="0.2">
      <c r="A256" s="101">
        <v>46238</v>
      </c>
      <c r="B256" s="91" t="s">
        <v>389</v>
      </c>
      <c r="C256" s="102" t="s">
        <v>390</v>
      </c>
      <c r="D256" s="103" t="s">
        <v>391</v>
      </c>
      <c r="E256" s="91" t="s">
        <v>392</v>
      </c>
      <c r="F256" s="91" t="s">
        <v>400</v>
      </c>
      <c r="G256" s="91" t="s">
        <v>401</v>
      </c>
      <c r="H256" s="104" t="str">
        <f t="shared" si="16"/>
        <v>C5340J20</v>
      </c>
      <c r="I256" s="104"/>
      <c r="J256" s="105">
        <v>81.680000000000007</v>
      </c>
      <c r="K256" s="106">
        <f>IF(D256="CAESARSTONE LTD",VLOOKUP(H256,'[2]GIA CA'!G:H,2,0),IF(OR(D256="STONE FACINGS LIMITED",D256="NORDIA SA",D256="INVICTUS STONE COUNTERTOPS INC",D256="QUARTZTOP LLC"),VLOOKUP(H256,'[2] Giá ngoài Mỹ - SI-GR'!$B$5:$AZ$84,51,0),IF(OR(D256="HYUNDAI L&amp;C CANADA INC",D256="Hyundai L&amp; C USA LLC"),VLOOKUP(H256,'[2]GIA HS'!A:D,4,0),IF(Y256="Mỹ",VLOOKUP(H256,'[2]giá mỹ từ 6.8.2025'!B:I,2,0),VLOOKUP(H256,'[2]giá ngoài mỹ 6.8.2025 (final)'!B:BP,51,0)))))</f>
        <v>58</v>
      </c>
      <c r="L256" s="106">
        <v>61</v>
      </c>
      <c r="M256" s="106">
        <f t="shared" si="15"/>
        <v>3</v>
      </c>
      <c r="N256" s="106">
        <v>61</v>
      </c>
      <c r="O256" s="106">
        <v>4982.4799999999996</v>
      </c>
      <c r="P256" s="107">
        <v>26110</v>
      </c>
      <c r="Q256" s="107">
        <v>130092553</v>
      </c>
      <c r="R256" s="102" t="s">
        <v>30</v>
      </c>
      <c r="S256" s="108"/>
      <c r="T256" s="109"/>
      <c r="U256" s="109"/>
      <c r="V256" s="102"/>
      <c r="W256" s="109"/>
      <c r="X256" s="109"/>
      <c r="Y256" s="110" t="s">
        <v>395</v>
      </c>
      <c r="Z256" s="111" t="str">
        <f>MID(E256,4,2)</f>
        <v>SI</v>
      </c>
    </row>
    <row r="257" spans="1:26" s="111" customFormat="1" x14ac:dyDescent="0.2">
      <c r="A257" s="101">
        <v>46238</v>
      </c>
      <c r="B257" s="91" t="s">
        <v>389</v>
      </c>
      <c r="C257" s="102" t="s">
        <v>390</v>
      </c>
      <c r="D257" s="103" t="s">
        <v>391</v>
      </c>
      <c r="E257" s="91" t="s">
        <v>392</v>
      </c>
      <c r="F257" s="91" t="s">
        <v>402</v>
      </c>
      <c r="G257" s="91" t="s">
        <v>401</v>
      </c>
      <c r="H257" s="104" t="str">
        <f t="shared" si="16"/>
        <v>C5340J20</v>
      </c>
      <c r="I257" s="104"/>
      <c r="J257" s="105">
        <v>81.67</v>
      </c>
      <c r="K257" s="106">
        <f>IF(D257="CAESARSTONE LTD",VLOOKUP(H257,'[2]GIA CA'!G:H,2,0),IF(OR(D257="STONE FACINGS LIMITED",D257="NORDIA SA",D257="INVICTUS STONE COUNTERTOPS INC",D257="QUARTZTOP LLC"),VLOOKUP(H257,'[2] Giá ngoài Mỹ - SI-GR'!$B$5:$AZ$84,51,0),IF(OR(D257="HYUNDAI L&amp;C CANADA INC",D257="Hyundai L&amp; C USA LLC"),VLOOKUP(H257,'[2]GIA HS'!A:D,4,0),IF(Y257="Mỹ",VLOOKUP(H257,'[2]giá mỹ từ 6.8.2025'!B:I,2,0),VLOOKUP(H257,'[2]giá ngoài mỹ 6.8.2025 (final)'!B:BP,51,0)))))</f>
        <v>58</v>
      </c>
      <c r="L257" s="106">
        <v>61</v>
      </c>
      <c r="M257" s="106">
        <f t="shared" si="15"/>
        <v>3</v>
      </c>
      <c r="N257" s="106">
        <v>61</v>
      </c>
      <c r="O257" s="106">
        <v>4981.87</v>
      </c>
      <c r="P257" s="107">
        <v>26110</v>
      </c>
      <c r="Q257" s="107">
        <v>130076626</v>
      </c>
      <c r="R257" s="102" t="s">
        <v>30</v>
      </c>
      <c r="S257" s="108"/>
      <c r="T257" s="109"/>
      <c r="U257" s="109"/>
      <c r="V257" s="102"/>
      <c r="W257" s="109"/>
      <c r="X257" s="109"/>
      <c r="Y257" s="110" t="s">
        <v>395</v>
      </c>
      <c r="Z257" s="111" t="str">
        <f>MID(E257,4,2)</f>
        <v>SI</v>
      </c>
    </row>
    <row r="258" spans="1:26" s="111" customFormat="1" x14ac:dyDescent="0.2">
      <c r="A258" s="101">
        <v>46238</v>
      </c>
      <c r="B258" s="91" t="s">
        <v>389</v>
      </c>
      <c r="C258" s="102" t="s">
        <v>390</v>
      </c>
      <c r="D258" s="103" t="s">
        <v>391</v>
      </c>
      <c r="E258" s="91" t="s">
        <v>392</v>
      </c>
      <c r="F258" s="91" t="s">
        <v>403</v>
      </c>
      <c r="G258" s="91" t="s">
        <v>404</v>
      </c>
      <c r="H258" s="104" t="str">
        <f t="shared" si="16"/>
        <v>C5340J30</v>
      </c>
      <c r="I258" s="104"/>
      <c r="J258" s="105">
        <v>272.25</v>
      </c>
      <c r="K258" s="106">
        <f>IF(D258="CAESARSTONE LTD",VLOOKUP(H258,'[2]GIA CA'!G:H,2,0),IF(OR(D258="STONE FACINGS LIMITED",D258="NORDIA SA",D258="INVICTUS STONE COUNTERTOPS INC",D258="QUARTZTOP LLC"),VLOOKUP(H258,'[2] Giá ngoài Mỹ - SI-GR'!$B$5:$AZ$84,51,0),IF(OR(D258="HYUNDAI L&amp;C CANADA INC",D258="Hyundai L&amp; C USA LLC"),VLOOKUP(H258,'[2]GIA HS'!A:D,4,0),IF(Y258="Mỹ",VLOOKUP(H258,'[2]giá mỹ từ 6.8.2025'!B:I,2,0),VLOOKUP(H258,'[2]giá ngoài mỹ 6.8.2025 (final)'!B:BP,51,0)))))</f>
        <v>72</v>
      </c>
      <c r="L258" s="106">
        <v>76</v>
      </c>
      <c r="M258" s="106">
        <f t="shared" si="15"/>
        <v>4</v>
      </c>
      <c r="N258" s="106">
        <v>73.64</v>
      </c>
      <c r="O258" s="106">
        <v>20049.61</v>
      </c>
      <c r="P258" s="107">
        <v>26110</v>
      </c>
      <c r="Q258" s="107">
        <v>523495317</v>
      </c>
      <c r="R258" s="102" t="s">
        <v>30</v>
      </c>
      <c r="S258" s="108"/>
      <c r="T258" s="109"/>
      <c r="U258" s="109"/>
      <c r="V258" s="102"/>
      <c r="W258" s="109"/>
      <c r="X258" s="109"/>
      <c r="Y258" s="110" t="s">
        <v>395</v>
      </c>
      <c r="Z258" s="111" t="str">
        <f>MID(E258,4,2)</f>
        <v>SI</v>
      </c>
    </row>
    <row r="259" spans="1:26" s="111" customFormat="1" x14ac:dyDescent="0.2">
      <c r="A259" s="101">
        <v>46238</v>
      </c>
      <c r="B259" s="91" t="s">
        <v>405</v>
      </c>
      <c r="C259" s="102" t="s">
        <v>406</v>
      </c>
      <c r="D259" s="103" t="s">
        <v>26</v>
      </c>
      <c r="E259" s="91" t="s">
        <v>407</v>
      </c>
      <c r="F259" s="91" t="s">
        <v>408</v>
      </c>
      <c r="G259" s="91" t="s">
        <v>384</v>
      </c>
      <c r="H259" s="104" t="str">
        <f t="shared" si="16"/>
        <v>C5141J30</v>
      </c>
      <c r="I259" s="104"/>
      <c r="J259" s="105">
        <v>190.58</v>
      </c>
      <c r="K259" s="106">
        <f>IF(D259="CAESARSTONE LTD",VLOOKUP(H259,'[2]GIA CA'!G:H,2,0),IF(OR(D259="STONE FACINGS LIMITED",D259="NORDIA SA",D259="INVICTUS STONE COUNTERTOPS INC",D259="QUARTZTOP LLC"),VLOOKUP(H259,'[2] Giá ngoài Mỹ - SI-GR'!$B$5:$AZ$84,51,0),IF(OR(D259="HYUNDAI L&amp;C CANADA INC",D259="Hyundai L&amp; C USA LLC"),VLOOKUP(H259,'[2]GIA HS'!A:D,4,0),IF(Y259="Mỹ",VLOOKUP(H259,'[2]giá mỹ từ 6.8.2025'!B:I,2,0),VLOOKUP(H259,'[2]giá ngoài mỹ 6.8.2025 (final)'!B:BP,51,0)))))</f>
        <v>68.75</v>
      </c>
      <c r="L259" s="106">
        <v>72</v>
      </c>
      <c r="M259" s="106">
        <f t="shared" si="15"/>
        <v>3.25</v>
      </c>
      <c r="N259" s="106">
        <v>72</v>
      </c>
      <c r="O259" s="106">
        <v>13721.76</v>
      </c>
      <c r="P259" s="107">
        <v>26110</v>
      </c>
      <c r="Q259" s="107">
        <v>358275154</v>
      </c>
      <c r="R259" s="102" t="s">
        <v>30</v>
      </c>
      <c r="S259" s="108"/>
      <c r="T259" s="109"/>
      <c r="U259" s="109"/>
      <c r="V259" s="102"/>
      <c r="W259" s="109"/>
      <c r="X259" s="109"/>
      <c r="Y259" s="110" t="s">
        <v>31</v>
      </c>
      <c r="Z259" s="111" t="str">
        <f>MID(E259,4,2)</f>
        <v>CA</v>
      </c>
    </row>
    <row r="260" spans="1:26" s="111" customFormat="1" x14ac:dyDescent="0.2">
      <c r="A260" s="101">
        <v>46238</v>
      </c>
      <c r="B260" s="91" t="s">
        <v>405</v>
      </c>
      <c r="C260" s="102" t="s">
        <v>406</v>
      </c>
      <c r="D260" s="103" t="s">
        <v>26</v>
      </c>
      <c r="E260" s="91" t="s">
        <v>407</v>
      </c>
      <c r="F260" s="91" t="s">
        <v>237</v>
      </c>
      <c r="G260" s="91" t="s">
        <v>73</v>
      </c>
      <c r="H260" s="104" t="str">
        <f t="shared" si="16"/>
        <v>C5143J30</v>
      </c>
      <c r="I260" s="104"/>
      <c r="J260" s="105">
        <v>76.23</v>
      </c>
      <c r="K260" s="106">
        <f>IF(D260="CAESARSTONE LTD",VLOOKUP(H260,'[2]GIA CA'!G:H,2,0),IF(OR(D260="STONE FACINGS LIMITED",D260="NORDIA SA",D260="INVICTUS STONE COUNTERTOPS INC",D260="QUARTZTOP LLC"),VLOOKUP(H260,'[2] Giá ngoài Mỹ - SI-GR'!$B$5:$AZ$84,51,0),IF(OR(D260="HYUNDAI L&amp;C CANADA INC",D260="Hyundai L&amp; C USA LLC"),VLOOKUP(H260,'[2]GIA HS'!A:D,4,0),IF(Y260="Mỹ",VLOOKUP(H260,'[2]giá mỹ từ 6.8.2025'!B:I,2,0),VLOOKUP(H260,'[2]giá ngoài mỹ 6.8.2025 (final)'!B:BP,51,0)))))</f>
        <v>73.75</v>
      </c>
      <c r="L260" s="106">
        <v>78.09</v>
      </c>
      <c r="M260" s="106">
        <f t="shared" si="15"/>
        <v>4.3400000000000034</v>
      </c>
      <c r="N260" s="106">
        <v>78.09</v>
      </c>
      <c r="O260" s="106">
        <v>5952.77</v>
      </c>
      <c r="P260" s="107">
        <v>26110</v>
      </c>
      <c r="Q260" s="107">
        <v>155426825</v>
      </c>
      <c r="R260" s="102" t="s">
        <v>30</v>
      </c>
      <c r="S260" s="108"/>
      <c r="T260" s="109"/>
      <c r="U260" s="109"/>
      <c r="V260" s="102"/>
      <c r="W260" s="109"/>
      <c r="X260" s="109"/>
      <c r="Y260" s="110" t="s">
        <v>31</v>
      </c>
      <c r="Z260" s="111" t="str">
        <f>MID(E260,4,2)</f>
        <v>CA</v>
      </c>
    </row>
    <row r="261" spans="1:26" s="111" customFormat="1" x14ac:dyDescent="0.2">
      <c r="A261" s="101">
        <v>46238</v>
      </c>
      <c r="B261" s="91" t="s">
        <v>405</v>
      </c>
      <c r="C261" s="102" t="s">
        <v>406</v>
      </c>
      <c r="D261" s="103" t="s">
        <v>26</v>
      </c>
      <c r="E261" s="91" t="s">
        <v>407</v>
      </c>
      <c r="F261" s="91" t="s">
        <v>385</v>
      </c>
      <c r="G261" s="91" t="s">
        <v>386</v>
      </c>
      <c r="H261" s="104" t="str">
        <f t="shared" si="16"/>
        <v>F5132J30</v>
      </c>
      <c r="I261" s="104"/>
      <c r="J261" s="105">
        <v>38.119999999999997</v>
      </c>
      <c r="K261" s="106">
        <f>IF(D261="CAESARSTONE LTD",VLOOKUP(H261,'[2]GIA CA'!G:H,2,0),IF(OR(D261="STONE FACINGS LIMITED",D261="NORDIA SA",D261="INVICTUS STONE COUNTERTOPS INC",D261="QUARTZTOP LLC"),VLOOKUP(H261,'[2] Giá ngoài Mỹ - SI-GR'!$B$5:$AZ$84,51,0),IF(OR(D261="HYUNDAI L&amp;C CANADA INC",D261="Hyundai L&amp; C USA LLC"),VLOOKUP(H261,'[2]GIA HS'!A:D,4,0),IF(Y261="Mỹ",VLOOKUP(H261,'[2]giá mỹ từ 6.8.2025'!B:I,2,0),VLOOKUP(H261,'[2]giá ngoài mỹ 6.8.2025 (final)'!B:BP,51,0)))))</f>
        <v>77.5</v>
      </c>
      <c r="L261" s="106">
        <v>81</v>
      </c>
      <c r="M261" s="106">
        <f t="shared" si="15"/>
        <v>3.5</v>
      </c>
      <c r="N261" s="106">
        <v>81</v>
      </c>
      <c r="O261" s="106">
        <v>3087.72</v>
      </c>
      <c r="P261" s="107">
        <v>26110</v>
      </c>
      <c r="Q261" s="107">
        <v>80620369</v>
      </c>
      <c r="R261" s="102" t="s">
        <v>30</v>
      </c>
      <c r="S261" s="108"/>
      <c r="T261" s="109"/>
      <c r="U261" s="109"/>
      <c r="V261" s="102"/>
      <c r="W261" s="109"/>
      <c r="X261" s="109"/>
      <c r="Y261" s="110" t="s">
        <v>31</v>
      </c>
      <c r="Z261" s="111" t="str">
        <f>MID(E261,4,2)</f>
        <v>CA</v>
      </c>
    </row>
    <row r="262" spans="1:26" s="111" customFormat="1" x14ac:dyDescent="0.2">
      <c r="A262" s="101">
        <v>46238</v>
      </c>
      <c r="B262" s="91" t="s">
        <v>409</v>
      </c>
      <c r="C262" s="102" t="s">
        <v>410</v>
      </c>
      <c r="D262" s="103" t="s">
        <v>411</v>
      </c>
      <c r="E262" s="91" t="s">
        <v>412</v>
      </c>
      <c r="F262" s="91" t="s">
        <v>413</v>
      </c>
      <c r="G262" s="91" t="s">
        <v>414</v>
      </c>
      <c r="H262" s="104" t="str">
        <f t="shared" si="16"/>
        <v>C1005J30</v>
      </c>
      <c r="I262" s="104"/>
      <c r="J262" s="105">
        <v>283.14</v>
      </c>
      <c r="K262" s="106">
        <f>IF(D262="CAESARSTONE LTD",VLOOKUP(H262,'[2]GIA CA'!G:H,2,0),IF(OR(D262="STONE FACINGS LIMITED",D262="NORDIA SA",D262="INVICTUS STONE COUNTERTOPS INC",D262="QUARTZTOP LLC"),VLOOKUP(H262,'[2] Giá ngoài Mỹ - SI-GR'!$B$5:$AZ$84,51,0),IF(OR(D262="HYUNDAI L&amp;C CANADA INC",D262="Hyundai L&amp; C USA LLC"),VLOOKUP(H262,'[2]GIA HS'!A:D,4,0),IF(Y262="Mỹ",VLOOKUP(H262,'[2]giá mỹ từ 6.8.2025'!B:I,2,0),VLOOKUP(H262,'[2]giá ngoài mỹ 6.8.2025 (final)'!B:BP,51,0)))))</f>
        <v>75</v>
      </c>
      <c r="L262" s="106">
        <v>75.599999999999994</v>
      </c>
      <c r="M262" s="106">
        <f t="shared" si="15"/>
        <v>0.59999999999999432</v>
      </c>
      <c r="N262" s="106">
        <v>75.599999999999994</v>
      </c>
      <c r="O262" s="106">
        <v>21405.279999999999</v>
      </c>
      <c r="P262" s="107">
        <v>26110</v>
      </c>
      <c r="Q262" s="107">
        <v>558891861</v>
      </c>
      <c r="R262" s="102" t="s">
        <v>30</v>
      </c>
      <c r="S262" s="108"/>
      <c r="T262" s="109"/>
      <c r="U262" s="109"/>
      <c r="V262" s="102"/>
      <c r="W262" s="109"/>
      <c r="X262" s="109"/>
      <c r="Y262" s="110" t="s">
        <v>31</v>
      </c>
      <c r="Z262" s="111" t="str">
        <f>MID(E262,4,2)</f>
        <v>DP</v>
      </c>
    </row>
    <row r="263" spans="1:26" s="111" customFormat="1" x14ac:dyDescent="0.2">
      <c r="A263" s="101">
        <v>46238</v>
      </c>
      <c r="B263" s="91" t="s">
        <v>415</v>
      </c>
      <c r="C263" s="102" t="s">
        <v>416</v>
      </c>
      <c r="D263" s="103" t="s">
        <v>47</v>
      </c>
      <c r="E263" s="91" t="s">
        <v>417</v>
      </c>
      <c r="F263" s="91" t="s">
        <v>56</v>
      </c>
      <c r="G263" s="91" t="s">
        <v>57</v>
      </c>
      <c r="H263" s="104" t="str">
        <f t="shared" si="16"/>
        <v>C4342J20</v>
      </c>
      <c r="I263" s="104"/>
      <c r="J263" s="105">
        <v>473.72</v>
      </c>
      <c r="K263" s="106">
        <f>IF(D263="CAESARSTONE LTD",VLOOKUP(H263,'[2]GIA CA'!G:H,2,0),IF(OR(D263="STONE FACINGS LIMITED",D263="NORDIA SA",D263="INVICTUS STONE COUNTERTOPS INC",D263="QUARTZTOP LLC"),VLOOKUP(H263,'[2] Giá ngoài Mỹ - SI-GR'!$B$5:$AZ$84,51,0),IF(OR(D263="HYUNDAI L&amp;C CANADA INC",D263="Hyundai L&amp; C USA LLC"),VLOOKUP(H263,'[2]GIA HS'!A:D,4,0),IF(Y263="Mỹ",VLOOKUP(H263,'[2]giá mỹ từ 6.8.2025'!B:I,2,0),VLOOKUP(H263,'[2]giá ngoài mỹ 6.8.2025 (final)'!B:BP,51,0)))))</f>
        <v>64</v>
      </c>
      <c r="L263" s="106">
        <v>70.349999999999994</v>
      </c>
      <c r="M263" s="106">
        <f t="shared" si="15"/>
        <v>6.3499999999999943</v>
      </c>
      <c r="N263" s="106">
        <v>70.349999999999994</v>
      </c>
      <c r="O263" s="106">
        <v>33326.22</v>
      </c>
      <c r="P263" s="107">
        <v>26110</v>
      </c>
      <c r="Q263" s="107">
        <v>870147604</v>
      </c>
      <c r="R263" s="102" t="s">
        <v>30</v>
      </c>
      <c r="S263" s="108"/>
      <c r="T263" s="109"/>
      <c r="U263" s="109"/>
      <c r="V263" s="102"/>
      <c r="W263" s="109"/>
      <c r="X263" s="109"/>
      <c r="Y263" s="110" t="s">
        <v>31</v>
      </c>
      <c r="Z263" s="111" t="str">
        <f>MID(E263,4,2)</f>
        <v>AT</v>
      </c>
    </row>
    <row r="264" spans="1:26" s="111" customFormat="1" x14ac:dyDescent="0.2">
      <c r="A264" s="101">
        <v>46238</v>
      </c>
      <c r="B264" s="91" t="s">
        <v>418</v>
      </c>
      <c r="C264" s="102" t="s">
        <v>419</v>
      </c>
      <c r="D264" s="103" t="s">
        <v>47</v>
      </c>
      <c r="E264" s="91" t="s">
        <v>420</v>
      </c>
      <c r="F264" s="91" t="s">
        <v>56</v>
      </c>
      <c r="G264" s="91" t="s">
        <v>57</v>
      </c>
      <c r="H264" s="104" t="str">
        <f t="shared" si="16"/>
        <v>C4342J20</v>
      </c>
      <c r="I264" s="104"/>
      <c r="J264" s="105">
        <v>571.73</v>
      </c>
      <c r="K264" s="106">
        <f>IF(D264="CAESARSTONE LTD",VLOOKUP(H264,'[2]GIA CA'!G:H,2,0),IF(OR(D264="STONE FACINGS LIMITED",D264="NORDIA SA",D264="INVICTUS STONE COUNTERTOPS INC",D264="QUARTZTOP LLC"),VLOOKUP(H264,'[2] Giá ngoài Mỹ - SI-GR'!$B$5:$AZ$84,51,0),IF(OR(D264="HYUNDAI L&amp;C CANADA INC",D264="Hyundai L&amp; C USA LLC"),VLOOKUP(H264,'[2]GIA HS'!A:D,4,0),IF(Y264="Mỹ",VLOOKUP(H264,'[2]giá mỹ từ 6.8.2025'!B:I,2,0),VLOOKUP(H264,'[2]giá ngoài mỹ 6.8.2025 (final)'!B:BP,51,0)))))</f>
        <v>64</v>
      </c>
      <c r="L264" s="106">
        <v>70.349999999999994</v>
      </c>
      <c r="M264" s="106">
        <f t="shared" si="15"/>
        <v>6.3499999999999943</v>
      </c>
      <c r="N264" s="106">
        <v>70.349999999999994</v>
      </c>
      <c r="O264" s="106">
        <v>40221.300000000003</v>
      </c>
      <c r="P264" s="107">
        <v>26110</v>
      </c>
      <c r="Q264" s="107">
        <v>1050178143</v>
      </c>
      <c r="R264" s="102" t="s">
        <v>30</v>
      </c>
      <c r="S264" s="108"/>
      <c r="T264" s="109"/>
      <c r="U264" s="109"/>
      <c r="V264" s="102"/>
      <c r="W264" s="109"/>
      <c r="X264" s="109"/>
      <c r="Y264" s="110" t="s">
        <v>31</v>
      </c>
      <c r="Z264" s="111" t="str">
        <f>MID(E264,4,2)</f>
        <v>AT</v>
      </c>
    </row>
    <row r="265" spans="1:26" s="111" customFormat="1" x14ac:dyDescent="0.2">
      <c r="A265" s="101">
        <v>46238</v>
      </c>
      <c r="B265" s="91" t="s">
        <v>421</v>
      </c>
      <c r="C265" s="102" t="s">
        <v>422</v>
      </c>
      <c r="D265" s="103" t="s">
        <v>47</v>
      </c>
      <c r="E265" s="91" t="s">
        <v>423</v>
      </c>
      <c r="F265" s="91" t="s">
        <v>424</v>
      </c>
      <c r="G265" s="91" t="s">
        <v>220</v>
      </c>
      <c r="H265" s="104" t="str">
        <f t="shared" si="16"/>
        <v>C2104J20</v>
      </c>
      <c r="I265" s="104"/>
      <c r="J265" s="105">
        <v>451.94</v>
      </c>
      <c r="K265" s="106">
        <f>IF(D265="CAESARSTONE LTD",VLOOKUP(H265,'[2]GIA CA'!G:H,2,0),IF(OR(D265="STONE FACINGS LIMITED",D265="NORDIA SA",D265="INVICTUS STONE COUNTERTOPS INC",D265="QUARTZTOP LLC"),VLOOKUP(H265,'[2] Giá ngoài Mỹ - SI-GR'!$B$5:$AZ$84,51,0),IF(OR(D265="HYUNDAI L&amp;C CANADA INC",D265="Hyundai L&amp; C USA LLC"),VLOOKUP(H265,'[2]GIA HS'!A:D,4,0),IF(Y265="Mỹ",VLOOKUP(H265,'[2]giá mỹ từ 6.8.2025'!B:I,2,0),VLOOKUP(H265,'[2]giá ngoài mỹ 6.8.2025 (final)'!B:BP,51,0)))))</f>
        <v>57</v>
      </c>
      <c r="L265" s="106">
        <v>60.9</v>
      </c>
      <c r="M265" s="106">
        <f t="shared" si="15"/>
        <v>3.8999999999999986</v>
      </c>
      <c r="N265" s="106">
        <v>60.9</v>
      </c>
      <c r="O265" s="106">
        <v>27522.799999999999</v>
      </c>
      <c r="P265" s="107">
        <v>26110</v>
      </c>
      <c r="Q265" s="107">
        <v>718620308</v>
      </c>
      <c r="R265" s="102" t="s">
        <v>30</v>
      </c>
      <c r="S265" s="108"/>
      <c r="T265" s="109"/>
      <c r="U265" s="109"/>
      <c r="V265" s="102"/>
      <c r="W265" s="109"/>
      <c r="X265" s="109"/>
      <c r="Y265" s="110" t="s">
        <v>31</v>
      </c>
      <c r="Z265" s="111" t="str">
        <f>MID(E265,4,2)</f>
        <v>AT</v>
      </c>
    </row>
    <row r="266" spans="1:26" s="111" customFormat="1" x14ac:dyDescent="0.2">
      <c r="A266" s="101">
        <v>46238</v>
      </c>
      <c r="B266" s="91" t="s">
        <v>425</v>
      </c>
      <c r="C266" s="102" t="s">
        <v>426</v>
      </c>
      <c r="D266" s="103" t="s">
        <v>427</v>
      </c>
      <c r="E266" s="91" t="s">
        <v>428</v>
      </c>
      <c r="F266" s="91" t="s">
        <v>429</v>
      </c>
      <c r="G266" s="91" t="s">
        <v>430</v>
      </c>
      <c r="H266" s="104" t="str">
        <f t="shared" si="16"/>
        <v>C5331J20</v>
      </c>
      <c r="I266" s="104"/>
      <c r="J266" s="105">
        <v>1.94</v>
      </c>
      <c r="K266" s="106">
        <f>IF(D266="CAESARSTONE LTD",VLOOKUP(H266,'[2]GIA CA'!G:H,2,0),IF(OR(D266="STONE FACINGS LIMITED",D266="NORDIA SA",D266="INVICTUS STONE COUNTERTOPS INC",D266="QUARTZTOP LLC"),VLOOKUP(H266,'[2] Giá ngoài Mỹ - SI-GR'!$B$5:$AZ$84,51,0),IF(OR(D266="HYUNDAI L&amp;C CANADA INC",D266="Hyundai L&amp; C USA LLC"),VLOOKUP(H266,'[2]GIA HS'!A:D,4,0),IF(Y266="Mỹ",VLOOKUP(H266,'[2]giá mỹ từ 6.8.2025'!B:I,2,0),VLOOKUP(H266,'[2]giá ngoài mỹ 6.8.2025 (final)'!B:BP,51,0)))))</f>
        <v>68</v>
      </c>
      <c r="L266" s="106">
        <v>72</v>
      </c>
      <c r="M266" s="106">
        <f t="shared" si="15"/>
        <v>4</v>
      </c>
      <c r="N266" s="106">
        <v>72</v>
      </c>
      <c r="O266" s="106">
        <v>139.68</v>
      </c>
      <c r="P266" s="107">
        <v>26110</v>
      </c>
      <c r="Q266" s="107">
        <v>3647045</v>
      </c>
      <c r="R266" s="102"/>
      <c r="S266" s="108"/>
      <c r="T266" s="109" t="s">
        <v>30</v>
      </c>
      <c r="U266" s="109"/>
      <c r="V266" s="102"/>
      <c r="W266" s="109"/>
      <c r="X266" s="109"/>
      <c r="Y266" s="110" t="s">
        <v>31</v>
      </c>
      <c r="Z266" s="111" t="str">
        <f>MID(E266,4,2)</f>
        <v>JD</v>
      </c>
    </row>
    <row r="267" spans="1:26" s="111" customFormat="1" x14ac:dyDescent="0.2">
      <c r="A267" s="101">
        <v>46238</v>
      </c>
      <c r="B267" s="91" t="s">
        <v>425</v>
      </c>
      <c r="C267" s="102" t="s">
        <v>426</v>
      </c>
      <c r="D267" s="103" t="s">
        <v>427</v>
      </c>
      <c r="E267" s="91" t="s">
        <v>428</v>
      </c>
      <c r="F267" s="91" t="s">
        <v>431</v>
      </c>
      <c r="G267" s="91" t="s">
        <v>432</v>
      </c>
      <c r="H267" s="104" t="str">
        <f t="shared" si="16"/>
        <v>C3346J30</v>
      </c>
      <c r="I267" s="104"/>
      <c r="J267" s="105">
        <v>27.23</v>
      </c>
      <c r="K267" s="106">
        <f>IF(D267="CAESARSTONE LTD",VLOOKUP(H267,'[2]GIA CA'!G:H,2,0),IF(OR(D267="STONE FACINGS LIMITED",D267="NORDIA SA",D267="INVICTUS STONE COUNTERTOPS INC",D267="QUARTZTOP LLC"),VLOOKUP(H267,'[2] Giá ngoài Mỹ - SI-GR'!$B$5:$AZ$84,51,0),IF(OR(D267="HYUNDAI L&amp;C CANADA INC",D267="Hyundai L&amp; C USA LLC"),VLOOKUP(H267,'[2]GIA HS'!A:D,4,0),IF(Y267="Mỹ",VLOOKUP(H267,'[2]giá mỹ từ 6.8.2025'!B:I,2,0),VLOOKUP(H267,'[2]giá ngoài mỹ 6.8.2025 (final)'!B:BP,51,0)))))</f>
        <v>76</v>
      </c>
      <c r="L267" s="106">
        <v>76.83</v>
      </c>
      <c r="M267" s="106">
        <f t="shared" si="15"/>
        <v>0.82999999999999829</v>
      </c>
      <c r="N267" s="106">
        <v>76.83</v>
      </c>
      <c r="O267" s="106">
        <v>2092.12</v>
      </c>
      <c r="P267" s="107">
        <v>26110</v>
      </c>
      <c r="Q267" s="107">
        <v>54625253</v>
      </c>
      <c r="R267" s="102" t="s">
        <v>30</v>
      </c>
      <c r="S267" s="108"/>
      <c r="T267" s="109"/>
      <c r="U267" s="109"/>
      <c r="V267" s="102"/>
      <c r="W267" s="109"/>
      <c r="X267" s="109"/>
      <c r="Y267" s="110" t="s">
        <v>31</v>
      </c>
      <c r="Z267" s="111" t="str">
        <f>MID(E267,4,2)</f>
        <v>JD</v>
      </c>
    </row>
    <row r="268" spans="1:26" s="111" customFormat="1" x14ac:dyDescent="0.2">
      <c r="A268" s="101">
        <v>46238</v>
      </c>
      <c r="B268" s="91" t="s">
        <v>425</v>
      </c>
      <c r="C268" s="102" t="s">
        <v>426</v>
      </c>
      <c r="D268" s="103" t="s">
        <v>427</v>
      </c>
      <c r="E268" s="91" t="s">
        <v>428</v>
      </c>
      <c r="F268" s="91" t="s">
        <v>433</v>
      </c>
      <c r="G268" s="91" t="s">
        <v>434</v>
      </c>
      <c r="H268" s="104" t="str">
        <f t="shared" si="16"/>
        <v>C4348J30</v>
      </c>
      <c r="I268" s="104"/>
      <c r="J268" s="105">
        <v>21.78</v>
      </c>
      <c r="K268" s="106">
        <f>IF(D268="CAESARSTONE LTD",VLOOKUP(H268,'[2]GIA CA'!G:H,2,0),IF(OR(D268="STONE FACINGS LIMITED",D268="NORDIA SA",D268="INVICTUS STONE COUNTERTOPS INC",D268="QUARTZTOP LLC"),VLOOKUP(H268,'[2] Giá ngoài Mỹ - SI-GR'!$B$5:$AZ$84,51,0),IF(OR(D268="HYUNDAI L&amp;C CANADA INC",D268="Hyundai L&amp; C USA LLC"),VLOOKUP(H268,'[2]GIA HS'!A:D,4,0),IF(Y268="Mỹ",VLOOKUP(H268,'[2]giá mỹ từ 6.8.2025'!B:I,2,0),VLOOKUP(H268,'[2]giá ngoài mỹ 6.8.2025 (final)'!B:BP,51,0)))))</f>
        <v>77</v>
      </c>
      <c r="L268" s="106">
        <v>82</v>
      </c>
      <c r="M268" s="106">
        <f t="shared" si="15"/>
        <v>5</v>
      </c>
      <c r="N268" s="106">
        <v>82</v>
      </c>
      <c r="O268" s="106">
        <v>1785.96</v>
      </c>
      <c r="P268" s="107">
        <v>26110</v>
      </c>
      <c r="Q268" s="107">
        <v>46631416</v>
      </c>
      <c r="R268" s="102" t="s">
        <v>30</v>
      </c>
      <c r="S268" s="108"/>
      <c r="T268" s="109"/>
      <c r="U268" s="109"/>
      <c r="V268" s="102"/>
      <c r="W268" s="109"/>
      <c r="X268" s="109"/>
      <c r="Y268" s="110" t="s">
        <v>31</v>
      </c>
      <c r="Z268" s="111" t="str">
        <f>MID(E268,4,2)</f>
        <v>JD</v>
      </c>
    </row>
    <row r="269" spans="1:26" s="111" customFormat="1" x14ac:dyDescent="0.2">
      <c r="A269" s="101">
        <v>46238</v>
      </c>
      <c r="B269" s="91" t="s">
        <v>425</v>
      </c>
      <c r="C269" s="102" t="s">
        <v>426</v>
      </c>
      <c r="D269" s="103" t="s">
        <v>427</v>
      </c>
      <c r="E269" s="91" t="s">
        <v>428</v>
      </c>
      <c r="F269" s="91" t="s">
        <v>435</v>
      </c>
      <c r="G269" s="91" t="s">
        <v>434</v>
      </c>
      <c r="H269" s="104" t="str">
        <f t="shared" si="16"/>
        <v>C4348J30</v>
      </c>
      <c r="I269" s="104"/>
      <c r="J269" s="105">
        <v>5.45</v>
      </c>
      <c r="K269" s="106">
        <f>IF(D269="CAESARSTONE LTD",VLOOKUP(H269,'[2]GIA CA'!G:H,2,0),IF(OR(D269="STONE FACINGS LIMITED",D269="NORDIA SA",D269="INVICTUS STONE COUNTERTOPS INC",D269="QUARTZTOP LLC"),VLOOKUP(H269,'[2] Giá ngoài Mỹ - SI-GR'!$B$5:$AZ$84,51,0),IF(OR(D269="HYUNDAI L&amp;C CANADA INC",D269="Hyundai L&amp; C USA LLC"),VLOOKUP(H269,'[2]GIA HS'!A:D,4,0),IF(Y269="Mỹ",VLOOKUP(H269,'[2]giá mỹ từ 6.8.2025'!B:I,2,0),VLOOKUP(H269,'[2]giá ngoài mỹ 6.8.2025 (final)'!B:BP,51,0)))))</f>
        <v>77</v>
      </c>
      <c r="L269" s="106">
        <v>82</v>
      </c>
      <c r="M269" s="106">
        <f t="shared" ref="M269:M332" si="19">L269-K269</f>
        <v>5</v>
      </c>
      <c r="N269" s="106">
        <v>82</v>
      </c>
      <c r="O269" s="106">
        <v>446.9</v>
      </c>
      <c r="P269" s="107">
        <v>26110</v>
      </c>
      <c r="Q269" s="107">
        <v>11668559</v>
      </c>
      <c r="R269" s="102" t="s">
        <v>30</v>
      </c>
      <c r="S269" s="108"/>
      <c r="T269" s="109"/>
      <c r="U269" s="109"/>
      <c r="V269" s="102"/>
      <c r="W269" s="109"/>
      <c r="X269" s="109"/>
      <c r="Y269" s="110" t="s">
        <v>31</v>
      </c>
      <c r="Z269" s="111" t="str">
        <f>MID(E269,4,2)</f>
        <v>JD</v>
      </c>
    </row>
    <row r="270" spans="1:26" s="111" customFormat="1" x14ac:dyDescent="0.2">
      <c r="A270" s="101">
        <v>46238</v>
      </c>
      <c r="B270" s="91" t="s">
        <v>425</v>
      </c>
      <c r="C270" s="102" t="s">
        <v>426</v>
      </c>
      <c r="D270" s="103" t="s">
        <v>427</v>
      </c>
      <c r="E270" s="91" t="s">
        <v>428</v>
      </c>
      <c r="F270" s="91" t="s">
        <v>228</v>
      </c>
      <c r="G270" s="91" t="s">
        <v>227</v>
      </c>
      <c r="H270" s="104" t="str">
        <f t="shared" ref="H270:H333" si="20">IF(LEN(G270)=13,LEFT(G270,5)&amp;MID(G270,SEARCH("-J",G270)+1,3),LEFT(G270,5)&amp;"J20")</f>
        <v>C5331J30</v>
      </c>
      <c r="I270" s="104"/>
      <c r="J270" s="105">
        <v>76.23</v>
      </c>
      <c r="K270" s="106">
        <f>IF(D270="CAESARSTONE LTD",VLOOKUP(H270,'[2]GIA CA'!G:H,2,0),IF(OR(D270="STONE FACINGS LIMITED",D270="NORDIA SA",D270="INVICTUS STONE COUNTERTOPS INC",D270="QUARTZTOP LLC"),VLOOKUP(H270,'[2] Giá ngoài Mỹ - SI-GR'!$B$5:$AZ$84,51,0),IF(OR(D270="HYUNDAI L&amp;C CANADA INC",D270="Hyundai L&amp; C USA LLC"),VLOOKUP(H270,'[2]GIA HS'!A:D,4,0),IF(Y270="Mỹ",VLOOKUP(H270,'[2]giá mỹ từ 6.8.2025'!B:I,2,0),VLOOKUP(H270,'[2]giá ngoài mỹ 6.8.2025 (final)'!B:BP,51,0)))))</f>
        <v>83</v>
      </c>
      <c r="L270" s="106">
        <v>89</v>
      </c>
      <c r="M270" s="106">
        <f t="shared" si="19"/>
        <v>6</v>
      </c>
      <c r="N270" s="106">
        <v>89</v>
      </c>
      <c r="O270" s="106">
        <v>6784.47</v>
      </c>
      <c r="P270" s="107">
        <v>26110</v>
      </c>
      <c r="Q270" s="107">
        <v>177142512</v>
      </c>
      <c r="R270" s="102" t="s">
        <v>30</v>
      </c>
      <c r="S270" s="108"/>
      <c r="T270" s="109"/>
      <c r="U270" s="109"/>
      <c r="V270" s="102"/>
      <c r="W270" s="109"/>
      <c r="X270" s="109"/>
      <c r="Y270" s="110" t="s">
        <v>31</v>
      </c>
      <c r="Z270" s="111" t="str">
        <f>MID(E270,4,2)</f>
        <v>JD</v>
      </c>
    </row>
    <row r="271" spans="1:26" s="111" customFormat="1" x14ac:dyDescent="0.2">
      <c r="A271" s="101">
        <v>46238</v>
      </c>
      <c r="B271" s="91" t="s">
        <v>425</v>
      </c>
      <c r="C271" s="102" t="s">
        <v>426</v>
      </c>
      <c r="D271" s="103" t="s">
        <v>427</v>
      </c>
      <c r="E271" s="91" t="s">
        <v>428</v>
      </c>
      <c r="F271" s="91" t="s">
        <v>436</v>
      </c>
      <c r="G271" s="91" t="s">
        <v>437</v>
      </c>
      <c r="H271" s="104" t="str">
        <f t="shared" si="20"/>
        <v>F5233J30</v>
      </c>
      <c r="I271" s="104"/>
      <c r="J271" s="105">
        <v>27.23</v>
      </c>
      <c r="K271" s="106">
        <f>IF(D271="CAESARSTONE LTD",VLOOKUP(H271,'[2]GIA CA'!G:H,2,0),IF(OR(D271="STONE FACINGS LIMITED",D271="NORDIA SA",D271="INVICTUS STONE COUNTERTOPS INC",D271="QUARTZTOP LLC"),VLOOKUP(H271,'[2] Giá ngoài Mỹ - SI-GR'!$B$5:$AZ$84,51,0),IF(OR(D271="HYUNDAI L&amp;C CANADA INC",D271="Hyundai L&amp; C USA LLC"),VLOOKUP(H271,'[2]GIA HS'!A:D,4,0),IF(Y271="Mỹ",VLOOKUP(H271,'[2]giá mỹ từ 6.8.2025'!B:I,2,0),VLOOKUP(H271,'[2]giá ngoài mỹ 6.8.2025 (final)'!B:BP,51,0)))))</f>
        <v>99</v>
      </c>
      <c r="L271" s="106">
        <v>104</v>
      </c>
      <c r="M271" s="106">
        <f t="shared" si="19"/>
        <v>5</v>
      </c>
      <c r="N271" s="106">
        <v>104</v>
      </c>
      <c r="O271" s="106">
        <v>2831.92</v>
      </c>
      <c r="P271" s="107">
        <v>26110</v>
      </c>
      <c r="Q271" s="107">
        <v>73941431</v>
      </c>
      <c r="R271" s="102" t="s">
        <v>30</v>
      </c>
      <c r="S271" s="108"/>
      <c r="T271" s="109"/>
      <c r="U271" s="109"/>
      <c r="V271" s="102"/>
      <c r="W271" s="109"/>
      <c r="X271" s="109"/>
      <c r="Y271" s="110" t="s">
        <v>31</v>
      </c>
      <c r="Z271" s="111" t="str">
        <f>MID(E271,4,2)</f>
        <v>JD</v>
      </c>
    </row>
    <row r="272" spans="1:26" s="111" customFormat="1" x14ac:dyDescent="0.2">
      <c r="A272" s="101">
        <v>46238</v>
      </c>
      <c r="B272" s="91" t="s">
        <v>425</v>
      </c>
      <c r="C272" s="102" t="s">
        <v>426</v>
      </c>
      <c r="D272" s="103" t="s">
        <v>427</v>
      </c>
      <c r="E272" s="91" t="s">
        <v>428</v>
      </c>
      <c r="F272" s="91" t="s">
        <v>438</v>
      </c>
      <c r="G272" s="91" t="s">
        <v>437</v>
      </c>
      <c r="H272" s="104" t="str">
        <f t="shared" si="20"/>
        <v>F5233J30</v>
      </c>
      <c r="I272" s="104"/>
      <c r="J272" s="105">
        <v>65.34</v>
      </c>
      <c r="K272" s="106">
        <f>IF(D272="CAESARSTONE LTD",VLOOKUP(H272,'[2]GIA CA'!G:H,2,0),IF(OR(D272="STONE FACINGS LIMITED",D272="NORDIA SA",D272="INVICTUS STONE COUNTERTOPS INC",D272="QUARTZTOP LLC"),VLOOKUP(H272,'[2] Giá ngoài Mỹ - SI-GR'!$B$5:$AZ$84,51,0),IF(OR(D272="HYUNDAI L&amp;C CANADA INC",D272="Hyundai L&amp; C USA LLC"),VLOOKUP(H272,'[2]GIA HS'!A:D,4,0),IF(Y272="Mỹ",VLOOKUP(H272,'[2]giá mỹ từ 6.8.2025'!B:I,2,0),VLOOKUP(H272,'[2]giá ngoài mỹ 6.8.2025 (final)'!B:BP,51,0)))))</f>
        <v>99</v>
      </c>
      <c r="L272" s="106">
        <v>104</v>
      </c>
      <c r="M272" s="106">
        <f t="shared" si="19"/>
        <v>5</v>
      </c>
      <c r="N272" s="106">
        <v>104</v>
      </c>
      <c r="O272" s="106">
        <v>6795.36</v>
      </c>
      <c r="P272" s="107">
        <v>26110</v>
      </c>
      <c r="Q272" s="107">
        <v>177426850</v>
      </c>
      <c r="R272" s="102" t="s">
        <v>30</v>
      </c>
      <c r="S272" s="108"/>
      <c r="T272" s="109"/>
      <c r="U272" s="109"/>
      <c r="V272" s="102"/>
      <c r="W272" s="109"/>
      <c r="X272" s="109"/>
      <c r="Y272" s="110" t="s">
        <v>31</v>
      </c>
      <c r="Z272" s="111" t="str">
        <f>MID(E272,4,2)</f>
        <v>JD</v>
      </c>
    </row>
    <row r="273" spans="1:26" s="111" customFormat="1" x14ac:dyDescent="0.2">
      <c r="A273" s="101">
        <v>46238</v>
      </c>
      <c r="B273" s="91" t="s">
        <v>425</v>
      </c>
      <c r="C273" s="102" t="s">
        <v>426</v>
      </c>
      <c r="D273" s="103" t="s">
        <v>427</v>
      </c>
      <c r="E273" s="91" t="s">
        <v>428</v>
      </c>
      <c r="F273" s="91" t="s">
        <v>439</v>
      </c>
      <c r="G273" s="91" t="s">
        <v>437</v>
      </c>
      <c r="H273" s="104" t="str">
        <f t="shared" si="20"/>
        <v>F5233J30</v>
      </c>
      <c r="I273" s="104"/>
      <c r="J273" s="105">
        <v>16.329999999999998</v>
      </c>
      <c r="K273" s="106">
        <f>IF(D273="CAESARSTONE LTD",VLOOKUP(H273,'[2]GIA CA'!G:H,2,0),IF(OR(D273="STONE FACINGS LIMITED",D273="NORDIA SA",D273="INVICTUS STONE COUNTERTOPS INC",D273="QUARTZTOP LLC"),VLOOKUP(H273,'[2] Giá ngoài Mỹ - SI-GR'!$B$5:$AZ$84,51,0),IF(OR(D273="HYUNDAI L&amp;C CANADA INC",D273="Hyundai L&amp; C USA LLC"),VLOOKUP(H273,'[2]GIA HS'!A:D,4,0),IF(Y273="Mỹ",VLOOKUP(H273,'[2]giá mỹ từ 6.8.2025'!B:I,2,0),VLOOKUP(H273,'[2]giá ngoài mỹ 6.8.2025 (final)'!B:BP,51,0)))))</f>
        <v>99</v>
      </c>
      <c r="L273" s="106">
        <v>104</v>
      </c>
      <c r="M273" s="106">
        <f t="shared" si="19"/>
        <v>5</v>
      </c>
      <c r="N273" s="106">
        <v>104</v>
      </c>
      <c r="O273" s="107">
        <v>1698.32</v>
      </c>
      <c r="P273" s="107">
        <v>26110</v>
      </c>
      <c r="Q273" s="107">
        <v>44343135</v>
      </c>
      <c r="R273" s="102" t="s">
        <v>30</v>
      </c>
      <c r="S273" s="108"/>
      <c r="T273" s="109"/>
      <c r="U273" s="109"/>
      <c r="V273" s="102"/>
      <c r="W273" s="109"/>
      <c r="X273" s="109"/>
      <c r="Y273" s="110" t="s">
        <v>31</v>
      </c>
      <c r="Z273" s="111" t="str">
        <f>MID(E273,4,2)</f>
        <v>JD</v>
      </c>
    </row>
    <row r="274" spans="1:26" s="111" customFormat="1" x14ac:dyDescent="0.2">
      <c r="A274" s="101">
        <v>46238</v>
      </c>
      <c r="B274" s="91" t="s">
        <v>440</v>
      </c>
      <c r="C274" s="102" t="s">
        <v>441</v>
      </c>
      <c r="D274" s="103" t="s">
        <v>427</v>
      </c>
      <c r="E274" s="91" t="s">
        <v>442</v>
      </c>
      <c r="F274" s="91" t="s">
        <v>443</v>
      </c>
      <c r="G274" s="91" t="s">
        <v>444</v>
      </c>
      <c r="H274" s="104" t="str">
        <f t="shared" si="20"/>
        <v>F5233J20</v>
      </c>
      <c r="I274" s="104"/>
      <c r="J274" s="105">
        <v>2.58</v>
      </c>
      <c r="K274" s="106"/>
      <c r="L274" s="106">
        <v>0</v>
      </c>
      <c r="M274" s="106">
        <f t="shared" si="19"/>
        <v>0</v>
      </c>
      <c r="N274" s="106">
        <v>86</v>
      </c>
      <c r="O274" s="107">
        <v>221.88</v>
      </c>
      <c r="P274" s="107">
        <v>26110</v>
      </c>
      <c r="Q274" s="107">
        <v>5793287</v>
      </c>
      <c r="R274" s="102"/>
      <c r="S274" s="108"/>
      <c r="T274" s="109"/>
      <c r="U274" s="109" t="s">
        <v>30</v>
      </c>
      <c r="V274" s="102"/>
      <c r="W274" s="109"/>
      <c r="X274" s="109"/>
      <c r="Y274" s="110" t="s">
        <v>31</v>
      </c>
      <c r="Z274" s="111" t="str">
        <f>MID(E274,4,2)</f>
        <v>JD</v>
      </c>
    </row>
    <row r="275" spans="1:26" s="111" customFormat="1" x14ac:dyDescent="0.2">
      <c r="A275" s="101">
        <v>46238</v>
      </c>
      <c r="B275" s="91" t="s">
        <v>440</v>
      </c>
      <c r="C275" s="102" t="s">
        <v>441</v>
      </c>
      <c r="D275" s="103" t="s">
        <v>427</v>
      </c>
      <c r="E275" s="91" t="s">
        <v>442</v>
      </c>
      <c r="F275" s="91" t="s">
        <v>433</v>
      </c>
      <c r="G275" s="91" t="s">
        <v>434</v>
      </c>
      <c r="H275" s="104" t="str">
        <f t="shared" si="20"/>
        <v>C4348J30</v>
      </c>
      <c r="I275" s="104"/>
      <c r="J275" s="105">
        <v>92.57</v>
      </c>
      <c r="K275" s="106">
        <f>IF(D275="CAESARSTONE LTD",VLOOKUP(H275,'[2]GIA CA'!G:H,2,0),IF(OR(D275="STONE FACINGS LIMITED",D275="NORDIA SA",D275="INVICTUS STONE COUNTERTOPS INC",D275="QUARTZTOP LLC"),VLOOKUP(H275,'[2] Giá ngoài Mỹ - SI-GR'!$B$5:$AZ$84,51,0),IF(OR(D275="HYUNDAI L&amp;C CANADA INC",D275="Hyundai L&amp; C USA LLC"),VLOOKUP(H275,'[2]GIA HS'!A:D,4,0),IF(Y275="Mỹ",VLOOKUP(H275,'[2]giá mỹ từ 6.8.2025'!B:I,2,0),VLOOKUP(H275,'[2]giá ngoài mỹ 6.8.2025 (final)'!B:BP,51,0)))))</f>
        <v>77</v>
      </c>
      <c r="L275" s="106">
        <v>81.900000000000006</v>
      </c>
      <c r="M275" s="106">
        <f t="shared" si="19"/>
        <v>4.9000000000000057</v>
      </c>
      <c r="N275" s="106">
        <v>79.42</v>
      </c>
      <c r="O275" s="107">
        <v>7352.25</v>
      </c>
      <c r="P275" s="107">
        <v>26110</v>
      </c>
      <c r="Q275" s="107">
        <v>191967248</v>
      </c>
      <c r="R275" s="102" t="s">
        <v>30</v>
      </c>
      <c r="S275" s="108"/>
      <c r="T275" s="109"/>
      <c r="U275" s="109"/>
      <c r="V275" s="102"/>
      <c r="W275" s="109"/>
      <c r="X275" s="109"/>
      <c r="Y275" s="110" t="s">
        <v>31</v>
      </c>
      <c r="Z275" s="111" t="str">
        <f>MID(E275,4,2)</f>
        <v>JD</v>
      </c>
    </row>
    <row r="276" spans="1:26" s="111" customFormat="1" x14ac:dyDescent="0.2">
      <c r="A276" s="101">
        <v>46238</v>
      </c>
      <c r="B276" s="91" t="s">
        <v>440</v>
      </c>
      <c r="C276" s="102" t="s">
        <v>441</v>
      </c>
      <c r="D276" s="103" t="s">
        <v>427</v>
      </c>
      <c r="E276" s="91" t="s">
        <v>442</v>
      </c>
      <c r="F276" s="91" t="s">
        <v>445</v>
      </c>
      <c r="G276" s="91" t="s">
        <v>437</v>
      </c>
      <c r="H276" s="104" t="str">
        <f t="shared" si="20"/>
        <v>F5233J30</v>
      </c>
      <c r="I276" s="104"/>
      <c r="J276" s="105">
        <v>114.35</v>
      </c>
      <c r="K276" s="106">
        <f>IF(D276="CAESARSTONE LTD",VLOOKUP(H276,'[2]GIA CA'!G:H,2,0),IF(OR(D276="STONE FACINGS LIMITED",D276="NORDIA SA",D276="INVICTUS STONE COUNTERTOPS INC",D276="QUARTZTOP LLC"),VLOOKUP(H276,'[2] Giá ngoài Mỹ - SI-GR'!$B$5:$AZ$84,51,0),IF(OR(D276="HYUNDAI L&amp;C CANADA INC",D276="Hyundai L&amp; C USA LLC"),VLOOKUP(H276,'[2]GIA HS'!A:D,4,0),IF(Y276="Mỹ",VLOOKUP(H276,'[2]giá mỹ từ 6.8.2025'!B:I,2,0),VLOOKUP(H276,'[2]giá ngoài mỹ 6.8.2025 (final)'!B:BP,51,0)))))</f>
        <v>99</v>
      </c>
      <c r="L276" s="106">
        <v>103.95</v>
      </c>
      <c r="M276" s="106">
        <f t="shared" si="19"/>
        <v>4.9500000000000028</v>
      </c>
      <c r="N276" s="106">
        <v>104</v>
      </c>
      <c r="O276" s="107">
        <v>11892.4</v>
      </c>
      <c r="P276" s="107">
        <v>26110</v>
      </c>
      <c r="Q276" s="107">
        <v>310510564</v>
      </c>
      <c r="R276" s="102" t="s">
        <v>30</v>
      </c>
      <c r="S276" s="108"/>
      <c r="T276" s="109"/>
      <c r="U276" s="109"/>
      <c r="V276" s="102"/>
      <c r="W276" s="109"/>
      <c r="X276" s="109"/>
      <c r="Y276" s="110" t="s">
        <v>31</v>
      </c>
      <c r="Z276" s="111" t="str">
        <f>MID(E276,4,2)</f>
        <v>JD</v>
      </c>
    </row>
    <row r="277" spans="1:26" s="111" customFormat="1" x14ac:dyDescent="0.2">
      <c r="A277" s="101">
        <v>46238</v>
      </c>
      <c r="B277" s="91" t="s">
        <v>440</v>
      </c>
      <c r="C277" s="102" t="s">
        <v>441</v>
      </c>
      <c r="D277" s="103" t="s">
        <v>427</v>
      </c>
      <c r="E277" s="91" t="s">
        <v>442</v>
      </c>
      <c r="F277" s="91" t="s">
        <v>438</v>
      </c>
      <c r="G277" s="91" t="s">
        <v>437</v>
      </c>
      <c r="H277" s="104" t="str">
        <f t="shared" si="20"/>
        <v>F5233J30</v>
      </c>
      <c r="I277" s="104"/>
      <c r="J277" s="105">
        <v>27.23</v>
      </c>
      <c r="K277" s="106">
        <f>IF(D277="CAESARSTONE LTD",VLOOKUP(H277,'[2]GIA CA'!G:H,2,0),IF(OR(D277="STONE FACINGS LIMITED",D277="NORDIA SA",D277="INVICTUS STONE COUNTERTOPS INC",D277="QUARTZTOP LLC"),VLOOKUP(H277,'[2] Giá ngoài Mỹ - SI-GR'!$B$5:$AZ$84,51,0),IF(OR(D277="HYUNDAI L&amp;C CANADA INC",D277="Hyundai L&amp; C USA LLC"),VLOOKUP(H277,'[2]GIA HS'!A:D,4,0),IF(Y277="Mỹ",VLOOKUP(H277,'[2]giá mỹ từ 6.8.2025'!B:I,2,0),VLOOKUP(H277,'[2]giá ngoài mỹ 6.8.2025 (final)'!B:BP,51,0)))))</f>
        <v>99</v>
      </c>
      <c r="L277" s="106">
        <v>103.95</v>
      </c>
      <c r="M277" s="106">
        <f t="shared" si="19"/>
        <v>4.9500000000000028</v>
      </c>
      <c r="N277" s="106">
        <v>104</v>
      </c>
      <c r="O277" s="107">
        <v>2831.92</v>
      </c>
      <c r="P277" s="107">
        <v>26110</v>
      </c>
      <c r="Q277" s="107">
        <v>73941431</v>
      </c>
      <c r="R277" s="102" t="s">
        <v>30</v>
      </c>
      <c r="S277" s="108"/>
      <c r="T277" s="109"/>
      <c r="U277" s="109"/>
      <c r="V277" s="102"/>
      <c r="W277" s="109"/>
      <c r="X277" s="109"/>
      <c r="Y277" s="110" t="s">
        <v>31</v>
      </c>
      <c r="Z277" s="111" t="str">
        <f>MID(E277,4,2)</f>
        <v>JD</v>
      </c>
    </row>
    <row r="278" spans="1:26" s="111" customFormat="1" x14ac:dyDescent="0.2">
      <c r="A278" s="101">
        <v>46238</v>
      </c>
      <c r="B278" s="91" t="s">
        <v>440</v>
      </c>
      <c r="C278" s="102" t="s">
        <v>441</v>
      </c>
      <c r="D278" s="103" t="s">
        <v>427</v>
      </c>
      <c r="E278" s="91" t="s">
        <v>442</v>
      </c>
      <c r="F278" s="91" t="s">
        <v>439</v>
      </c>
      <c r="G278" s="91" t="s">
        <v>437</v>
      </c>
      <c r="H278" s="104" t="str">
        <f t="shared" si="20"/>
        <v>F5233J30</v>
      </c>
      <c r="I278" s="104"/>
      <c r="J278" s="105">
        <v>5.44</v>
      </c>
      <c r="K278" s="106">
        <f>IF(D278="CAESARSTONE LTD",VLOOKUP(H278,'[2]GIA CA'!G:H,2,0),IF(OR(D278="STONE FACINGS LIMITED",D278="NORDIA SA",D278="INVICTUS STONE COUNTERTOPS INC",D278="QUARTZTOP LLC"),VLOOKUP(H278,'[2] Giá ngoài Mỹ - SI-GR'!$B$5:$AZ$84,51,0),IF(OR(D278="HYUNDAI L&amp;C CANADA INC",D278="Hyundai L&amp; C USA LLC"),VLOOKUP(H278,'[2]GIA HS'!A:D,4,0),IF(Y278="Mỹ",VLOOKUP(H278,'[2]giá mỹ từ 6.8.2025'!B:I,2,0),VLOOKUP(H278,'[2]giá ngoài mỹ 6.8.2025 (final)'!B:BP,51,0)))))</f>
        <v>99</v>
      </c>
      <c r="L278" s="106">
        <v>103.95</v>
      </c>
      <c r="M278" s="106">
        <f t="shared" si="19"/>
        <v>4.9500000000000028</v>
      </c>
      <c r="N278" s="106">
        <v>104</v>
      </c>
      <c r="O278" s="107">
        <v>565.76</v>
      </c>
      <c r="P278" s="107">
        <v>26110</v>
      </c>
      <c r="Q278" s="107">
        <v>14771994</v>
      </c>
      <c r="R278" s="102" t="s">
        <v>30</v>
      </c>
      <c r="S278" s="108"/>
      <c r="T278" s="109"/>
      <c r="U278" s="109"/>
      <c r="V278" s="102"/>
      <c r="W278" s="109"/>
      <c r="X278" s="109"/>
      <c r="Y278" s="110" t="s">
        <v>31</v>
      </c>
      <c r="Z278" s="111" t="str">
        <f>MID(E278,4,2)</f>
        <v>JD</v>
      </c>
    </row>
    <row r="279" spans="1:26" s="111" customFormat="1" x14ac:dyDescent="0.2">
      <c r="A279" s="101">
        <v>46239</v>
      </c>
      <c r="B279" s="91" t="s">
        <v>446</v>
      </c>
      <c r="C279" s="102" t="s">
        <v>447</v>
      </c>
      <c r="D279" s="103" t="s">
        <v>26</v>
      </c>
      <c r="E279" s="91" t="s">
        <v>448</v>
      </c>
      <c r="F279" s="91" t="s">
        <v>28</v>
      </c>
      <c r="G279" s="91" t="s">
        <v>29</v>
      </c>
      <c r="H279" s="104" t="str">
        <f t="shared" si="20"/>
        <v>F4001J20</v>
      </c>
      <c r="I279" s="104"/>
      <c r="J279" s="105">
        <v>217.8</v>
      </c>
      <c r="K279" s="106">
        <f>IF(D279="CAESARSTONE LTD",VLOOKUP(H279,'[2]GIA CA'!G:H,2,0),IF(OR(D279="STONE FACINGS LIMITED",D279="NORDIA SA",D279="INVICTUS STONE COUNTERTOPS INC",D279="QUARTZTOP LLC"),VLOOKUP(H279,'[2] Giá ngoài Mỹ - SI-GR'!$B$5:$AZ$84,51,0),IF(OR(D279="HYUNDAI L&amp;C CANADA INC",D279="Hyundai L&amp; C USA LLC"),VLOOKUP(H279,'[2]GIA HS'!A:D,4,0),IF(Y279="Mỹ",VLOOKUP(H279,'[2]giá mỹ từ 6.8.2025'!B:I,2,0),VLOOKUP(H279,'[2]giá ngoài mỹ 6.8.2025 (final)'!B:BP,51,0)))))</f>
        <v>58</v>
      </c>
      <c r="L279" s="106">
        <v>61</v>
      </c>
      <c r="M279" s="106">
        <f t="shared" si="19"/>
        <v>3</v>
      </c>
      <c r="N279" s="106">
        <v>61</v>
      </c>
      <c r="O279" s="107">
        <v>13285.8</v>
      </c>
      <c r="P279" s="107">
        <v>26110</v>
      </c>
      <c r="Q279" s="107">
        <v>346892238</v>
      </c>
      <c r="R279" s="102" t="s">
        <v>30</v>
      </c>
      <c r="S279" s="108"/>
      <c r="T279" s="109"/>
      <c r="U279" s="109"/>
      <c r="V279" s="102"/>
      <c r="W279" s="109"/>
      <c r="X279" s="109"/>
      <c r="Y279" s="110" t="s">
        <v>31</v>
      </c>
      <c r="Z279" s="111" t="str">
        <f>MID(E279,4,2)</f>
        <v>CA</v>
      </c>
    </row>
    <row r="280" spans="1:26" s="111" customFormat="1" x14ac:dyDescent="0.2">
      <c r="A280" s="101">
        <v>46239</v>
      </c>
      <c r="B280" s="91" t="s">
        <v>446</v>
      </c>
      <c r="C280" s="102" t="s">
        <v>447</v>
      </c>
      <c r="D280" s="103" t="s">
        <v>26</v>
      </c>
      <c r="E280" s="91" t="s">
        <v>448</v>
      </c>
      <c r="F280" s="91" t="s">
        <v>449</v>
      </c>
      <c r="G280" s="91" t="s">
        <v>450</v>
      </c>
      <c r="H280" s="104" t="str">
        <f t="shared" si="20"/>
        <v>F5031J20</v>
      </c>
      <c r="I280" s="104"/>
      <c r="J280" s="105">
        <v>108.9</v>
      </c>
      <c r="K280" s="106">
        <f>IF(D280="CAESARSTONE LTD",VLOOKUP(H280,'[2]GIA CA'!G:H,2,0),IF(OR(D280="STONE FACINGS LIMITED",D280="NORDIA SA",D280="INVICTUS STONE COUNTERTOPS INC",D280="QUARTZTOP LLC"),VLOOKUP(H280,'[2] Giá ngoài Mỹ - SI-GR'!$B$5:$AZ$84,51,0),IF(OR(D280="HYUNDAI L&amp;C CANADA INC",D280="Hyundai L&amp; C USA LLC"),VLOOKUP(H280,'[2]GIA HS'!A:D,4,0),IF(Y280="Mỹ",VLOOKUP(H280,'[2]giá mỹ từ 6.8.2025'!B:I,2,0),VLOOKUP(H280,'[2]giá ngoài mỹ 6.8.2025 (final)'!B:BP,51,0)))))</f>
        <v>60</v>
      </c>
      <c r="L280" s="106">
        <v>65</v>
      </c>
      <c r="M280" s="106">
        <f t="shared" si="19"/>
        <v>5</v>
      </c>
      <c r="N280" s="106">
        <v>65</v>
      </c>
      <c r="O280" s="107">
        <v>7078.5</v>
      </c>
      <c r="P280" s="107">
        <v>26110</v>
      </c>
      <c r="Q280" s="107">
        <v>184819635</v>
      </c>
      <c r="R280" s="102" t="s">
        <v>30</v>
      </c>
      <c r="S280" s="108"/>
      <c r="T280" s="109"/>
      <c r="U280" s="109"/>
      <c r="V280" s="102"/>
      <c r="W280" s="109"/>
      <c r="X280" s="109"/>
      <c r="Y280" s="110" t="s">
        <v>31</v>
      </c>
      <c r="Z280" s="111" t="str">
        <f>MID(E280,4,2)</f>
        <v>CA</v>
      </c>
    </row>
    <row r="281" spans="1:26" s="111" customFormat="1" x14ac:dyDescent="0.2">
      <c r="A281" s="101">
        <v>46239</v>
      </c>
      <c r="B281" s="91" t="s">
        <v>446</v>
      </c>
      <c r="C281" s="102" t="s">
        <v>447</v>
      </c>
      <c r="D281" s="103" t="s">
        <v>26</v>
      </c>
      <c r="E281" s="91" t="s">
        <v>448</v>
      </c>
      <c r="F281" s="91" t="s">
        <v>205</v>
      </c>
      <c r="G281" s="91" t="s">
        <v>206</v>
      </c>
      <c r="H281" s="104" t="str">
        <f t="shared" si="20"/>
        <v>F5141J20</v>
      </c>
      <c r="I281" s="104"/>
      <c r="J281" s="105">
        <v>163.35</v>
      </c>
      <c r="K281" s="106">
        <f>IF(D281="CAESARSTONE LTD",VLOOKUP(H281,'[2]GIA CA'!G:H,2,0),IF(OR(D281="STONE FACINGS LIMITED",D281="NORDIA SA",D281="INVICTUS STONE COUNTERTOPS INC",D281="QUARTZTOP LLC"),VLOOKUP(H281,'[2] Giá ngoài Mỹ - SI-GR'!$B$5:$AZ$84,51,0),IF(OR(D281="HYUNDAI L&amp;C CANADA INC",D281="Hyundai L&amp; C USA LLC"),VLOOKUP(H281,'[2]GIA HS'!A:D,4,0),IF(Y281="Mỹ",VLOOKUP(H281,'[2]giá mỹ từ 6.8.2025'!B:I,2,0),VLOOKUP(H281,'[2]giá ngoài mỹ 6.8.2025 (final)'!B:BP,51,0)))))</f>
        <v>58</v>
      </c>
      <c r="L281" s="106">
        <v>61</v>
      </c>
      <c r="M281" s="106">
        <f t="shared" si="19"/>
        <v>3</v>
      </c>
      <c r="N281" s="106">
        <v>61</v>
      </c>
      <c r="O281" s="107">
        <v>9964.35</v>
      </c>
      <c r="P281" s="107">
        <v>26110</v>
      </c>
      <c r="Q281" s="107">
        <v>260169179</v>
      </c>
      <c r="R281" s="102" t="s">
        <v>30</v>
      </c>
      <c r="S281" s="108"/>
      <c r="T281" s="109"/>
      <c r="U281" s="109"/>
      <c r="V281" s="102"/>
      <c r="W281" s="109"/>
      <c r="X281" s="109"/>
      <c r="Y281" s="110" t="s">
        <v>31</v>
      </c>
      <c r="Z281" s="111" t="str">
        <f>MID(E281,4,2)</f>
        <v>CA</v>
      </c>
    </row>
    <row r="282" spans="1:26" s="111" customFormat="1" x14ac:dyDescent="0.2">
      <c r="A282" s="101">
        <v>46239</v>
      </c>
      <c r="B282" s="91" t="s">
        <v>446</v>
      </c>
      <c r="C282" s="102" t="s">
        <v>447</v>
      </c>
      <c r="D282" s="103" t="s">
        <v>26</v>
      </c>
      <c r="E282" s="91" t="s">
        <v>448</v>
      </c>
      <c r="F282" s="91" t="s">
        <v>451</v>
      </c>
      <c r="G282" s="91" t="s">
        <v>452</v>
      </c>
      <c r="H282" s="104" t="str">
        <f t="shared" si="20"/>
        <v>F5143J20</v>
      </c>
      <c r="I282" s="104"/>
      <c r="J282" s="105">
        <v>54.45</v>
      </c>
      <c r="K282" s="106">
        <f>IF(D282="CAESARSTONE LTD",VLOOKUP(H282,'[2]GIA CA'!G:H,2,0),IF(OR(D282="STONE FACINGS LIMITED",D282="NORDIA SA",D282="INVICTUS STONE COUNTERTOPS INC",D282="QUARTZTOP LLC"),VLOOKUP(H282,'[2] Giá ngoài Mỹ - SI-GR'!$B$5:$AZ$84,51,0),IF(OR(D282="HYUNDAI L&amp;C CANADA INC",D282="Hyundai L&amp; C USA LLC"),VLOOKUP(H282,'[2]GIA HS'!A:D,4,0),IF(Y282="Mỹ",VLOOKUP(H282,'[2]giá mỹ từ 6.8.2025'!B:I,2,0),VLOOKUP(H282,'[2]giá ngoài mỹ 6.8.2025 (final)'!B:BP,51,0)))))</f>
        <v>62</v>
      </c>
      <c r="L282" s="106">
        <v>65</v>
      </c>
      <c r="M282" s="106">
        <f t="shared" si="19"/>
        <v>3</v>
      </c>
      <c r="N282" s="106">
        <v>65</v>
      </c>
      <c r="O282" s="107">
        <v>3539.25</v>
      </c>
      <c r="P282" s="107">
        <v>26110</v>
      </c>
      <c r="Q282" s="107">
        <v>92409818</v>
      </c>
      <c r="R282" s="102" t="s">
        <v>30</v>
      </c>
      <c r="S282" s="108"/>
      <c r="T282" s="109"/>
      <c r="U282" s="109"/>
      <c r="V282" s="102"/>
      <c r="W282" s="109"/>
      <c r="X282" s="109"/>
      <c r="Y282" s="110" t="s">
        <v>31</v>
      </c>
      <c r="Z282" s="111" t="str">
        <f>MID(E282,4,2)</f>
        <v>CA</v>
      </c>
    </row>
    <row r="283" spans="1:26" s="111" customFormat="1" x14ac:dyDescent="0.2">
      <c r="A283" s="101">
        <v>46239</v>
      </c>
      <c r="B283" s="91" t="s">
        <v>446</v>
      </c>
      <c r="C283" s="102" t="s">
        <v>447</v>
      </c>
      <c r="D283" s="103" t="s">
        <v>26</v>
      </c>
      <c r="E283" s="91" t="s">
        <v>448</v>
      </c>
      <c r="F283" s="91" t="s">
        <v>38</v>
      </c>
      <c r="G283" s="91" t="s">
        <v>39</v>
      </c>
      <c r="H283" s="104" t="str">
        <f t="shared" si="20"/>
        <v>F5143J30</v>
      </c>
      <c r="I283" s="104"/>
      <c r="J283" s="105">
        <v>38.119999999999997</v>
      </c>
      <c r="K283" s="106">
        <f>IF(D283="CAESARSTONE LTD",VLOOKUP(H283,'[2]GIA CA'!G:H,2,0),IF(OR(D283="STONE FACINGS LIMITED",D283="NORDIA SA",D283="INVICTUS STONE COUNTERTOPS INC",D283="QUARTZTOP LLC"),VLOOKUP(H283,'[2] Giá ngoài Mỹ - SI-GR'!$B$5:$AZ$84,51,0),IF(OR(D283="HYUNDAI L&amp;C CANADA INC",D283="Hyundai L&amp; C USA LLC"),VLOOKUP(H283,'[2]GIA HS'!A:D,4,0),IF(Y283="Mỹ",VLOOKUP(H283,'[2]giá mỹ từ 6.8.2025'!B:I,2,0),VLOOKUP(H283,'[2]giá ngoài mỹ 6.8.2025 (final)'!B:BP,51,0)))))</f>
        <v>77.5</v>
      </c>
      <c r="L283" s="106">
        <v>81</v>
      </c>
      <c r="M283" s="106">
        <f t="shared" si="19"/>
        <v>3.5</v>
      </c>
      <c r="N283" s="106">
        <v>81</v>
      </c>
      <c r="O283" s="106">
        <v>3087.72</v>
      </c>
      <c r="P283" s="107">
        <v>26110</v>
      </c>
      <c r="Q283" s="107">
        <v>80620369</v>
      </c>
      <c r="R283" s="102" t="s">
        <v>30</v>
      </c>
      <c r="S283" s="108"/>
      <c r="T283" s="109"/>
      <c r="U283" s="109"/>
      <c r="V283" s="102"/>
      <c r="W283" s="109"/>
      <c r="X283" s="109"/>
      <c r="Y283" s="110" t="s">
        <v>31</v>
      </c>
      <c r="Z283" s="111" t="str">
        <f>MID(E283,4,2)</f>
        <v>CA</v>
      </c>
    </row>
    <row r="284" spans="1:26" s="111" customFormat="1" x14ac:dyDescent="0.2">
      <c r="A284" s="101">
        <v>46239</v>
      </c>
      <c r="B284" s="91" t="s">
        <v>446</v>
      </c>
      <c r="C284" s="102" t="s">
        <v>447</v>
      </c>
      <c r="D284" s="103" t="s">
        <v>26</v>
      </c>
      <c r="E284" s="91" t="s">
        <v>448</v>
      </c>
      <c r="F284" s="91" t="s">
        <v>453</v>
      </c>
      <c r="G284" s="91" t="s">
        <v>454</v>
      </c>
      <c r="H284" s="104" t="str">
        <f t="shared" si="20"/>
        <v>F5151J20</v>
      </c>
      <c r="I284" s="104"/>
      <c r="J284" s="105">
        <v>98.01</v>
      </c>
      <c r="K284" s="106">
        <f>IF(D284="CAESARSTONE LTD",VLOOKUP(H284,'[2]GIA CA'!G:H,2,0),IF(OR(D284="STONE FACINGS LIMITED",D284="NORDIA SA",D284="INVICTUS STONE COUNTERTOPS INC",D284="QUARTZTOP LLC"),VLOOKUP(H284,'[2] Giá ngoài Mỹ - SI-GR'!$B$5:$AZ$84,51,0),IF(OR(D284="HYUNDAI L&amp;C CANADA INC",D284="Hyundai L&amp; C USA LLC"),VLOOKUP(H284,'[2]GIA HS'!A:D,4,0),IF(Y284="Mỹ",VLOOKUP(H284,'[2]giá mỹ từ 6.8.2025'!B:I,2,0),VLOOKUP(H284,'[2]giá ngoài mỹ 6.8.2025 (final)'!B:BP,51,0)))))</f>
        <v>68</v>
      </c>
      <c r="L284" s="106">
        <v>78</v>
      </c>
      <c r="M284" s="106">
        <f t="shared" si="19"/>
        <v>10</v>
      </c>
      <c r="N284" s="106">
        <v>78</v>
      </c>
      <c r="O284" s="106">
        <v>7644.78</v>
      </c>
      <c r="P284" s="107">
        <v>26110</v>
      </c>
      <c r="Q284" s="107">
        <v>199605206</v>
      </c>
      <c r="R284" s="102" t="s">
        <v>30</v>
      </c>
      <c r="S284" s="108"/>
      <c r="T284" s="109"/>
      <c r="U284" s="109"/>
      <c r="V284" s="102"/>
      <c r="W284" s="109"/>
      <c r="X284" s="109"/>
      <c r="Y284" s="110" t="s">
        <v>31</v>
      </c>
      <c r="Z284" s="111" t="str">
        <f>MID(E284,4,2)</f>
        <v>CA</v>
      </c>
    </row>
    <row r="285" spans="1:26" s="111" customFormat="1" x14ac:dyDescent="0.2">
      <c r="A285" s="101">
        <v>46239</v>
      </c>
      <c r="B285" s="91" t="s">
        <v>446</v>
      </c>
      <c r="C285" s="102" t="s">
        <v>447</v>
      </c>
      <c r="D285" s="103" t="s">
        <v>26</v>
      </c>
      <c r="E285" s="91" t="s">
        <v>448</v>
      </c>
      <c r="F285" s="91" t="s">
        <v>455</v>
      </c>
      <c r="G285" s="91" t="s">
        <v>454</v>
      </c>
      <c r="H285" s="104" t="str">
        <f t="shared" si="20"/>
        <v>F5151J20</v>
      </c>
      <c r="I285" s="104"/>
      <c r="J285" s="105">
        <v>10.89</v>
      </c>
      <c r="K285" s="106">
        <f>IF(D285="CAESARSTONE LTD",VLOOKUP(H285,'[2]GIA CA'!G:H,2,0),IF(OR(D285="STONE FACINGS LIMITED",D285="NORDIA SA",D285="INVICTUS STONE COUNTERTOPS INC",D285="QUARTZTOP LLC"),VLOOKUP(H285,'[2] Giá ngoài Mỹ - SI-GR'!$B$5:$AZ$84,51,0),IF(OR(D285="HYUNDAI L&amp;C CANADA INC",D285="Hyundai L&amp; C USA LLC"),VLOOKUP(H285,'[2]GIA HS'!A:D,4,0),IF(Y285="Mỹ",VLOOKUP(H285,'[2]giá mỹ từ 6.8.2025'!B:I,2,0),VLOOKUP(H285,'[2]giá ngoài mỹ 6.8.2025 (final)'!B:BP,51,0)))))</f>
        <v>68</v>
      </c>
      <c r="L285" s="106">
        <v>78</v>
      </c>
      <c r="M285" s="106">
        <f t="shared" si="19"/>
        <v>10</v>
      </c>
      <c r="N285" s="106">
        <v>78</v>
      </c>
      <c r="O285" s="107">
        <v>849.42</v>
      </c>
      <c r="P285" s="107">
        <v>26110</v>
      </c>
      <c r="Q285" s="107">
        <v>22178356</v>
      </c>
      <c r="R285" s="102" t="s">
        <v>30</v>
      </c>
      <c r="S285" s="108"/>
      <c r="T285" s="109"/>
      <c r="U285" s="109"/>
      <c r="V285" s="102"/>
      <c r="W285" s="109"/>
      <c r="X285" s="109"/>
      <c r="Y285" s="110" t="s">
        <v>31</v>
      </c>
      <c r="Z285" s="111" t="str">
        <f>MID(E285,4,2)</f>
        <v>CA</v>
      </c>
    </row>
    <row r="286" spans="1:26" s="111" customFormat="1" x14ac:dyDescent="0.2">
      <c r="A286" s="101">
        <v>46239</v>
      </c>
      <c r="B286" s="91" t="s">
        <v>446</v>
      </c>
      <c r="C286" s="102" t="s">
        <v>447</v>
      </c>
      <c r="D286" s="103" t="s">
        <v>26</v>
      </c>
      <c r="E286" s="91" t="s">
        <v>448</v>
      </c>
      <c r="F286" s="91" t="s">
        <v>208</v>
      </c>
      <c r="G286" s="91" t="s">
        <v>209</v>
      </c>
      <c r="H286" s="104" t="str">
        <f t="shared" si="20"/>
        <v>F5151J30</v>
      </c>
      <c r="I286" s="104"/>
      <c r="J286" s="105">
        <v>76.23</v>
      </c>
      <c r="K286" s="106">
        <f>IF(D286="CAESARSTONE LTD",VLOOKUP(H286,'[2]GIA CA'!G:H,2,0),IF(OR(D286="STONE FACINGS LIMITED",D286="NORDIA SA",D286="INVICTUS STONE COUNTERTOPS INC",D286="QUARTZTOP LLC"),VLOOKUP(H286,'[2] Giá ngoài Mỹ - SI-GR'!$B$5:$AZ$84,51,0),IF(OR(D286="HYUNDAI L&amp;C CANADA INC",D286="Hyundai L&amp; C USA LLC"),VLOOKUP(H286,'[2]GIA HS'!A:D,4,0),IF(Y286="Mỹ",VLOOKUP(H286,'[2]giá mỹ từ 6.8.2025'!B:I,2,0),VLOOKUP(H286,'[2]giá ngoài mỹ 6.8.2025 (final)'!B:BP,51,0)))))</f>
        <v>85</v>
      </c>
      <c r="L286" s="106">
        <v>97</v>
      </c>
      <c r="M286" s="106">
        <f t="shared" si="19"/>
        <v>12</v>
      </c>
      <c r="N286" s="106">
        <v>97</v>
      </c>
      <c r="O286" s="107">
        <v>7394.31</v>
      </c>
      <c r="P286" s="107">
        <v>26110</v>
      </c>
      <c r="Q286" s="107">
        <v>193065434</v>
      </c>
      <c r="R286" s="102" t="s">
        <v>30</v>
      </c>
      <c r="S286" s="108"/>
      <c r="T286" s="109"/>
      <c r="U286" s="109"/>
      <c r="V286" s="102"/>
      <c r="W286" s="109"/>
      <c r="X286" s="109"/>
      <c r="Y286" s="110" t="s">
        <v>31</v>
      </c>
      <c r="Z286" s="111" t="str">
        <f>MID(E286,4,2)</f>
        <v>CA</v>
      </c>
    </row>
    <row r="287" spans="1:26" s="111" customFormat="1" x14ac:dyDescent="0.2">
      <c r="A287" s="101">
        <v>46239</v>
      </c>
      <c r="B287" s="91" t="s">
        <v>446</v>
      </c>
      <c r="C287" s="102" t="s">
        <v>447</v>
      </c>
      <c r="D287" s="103" t="s">
        <v>26</v>
      </c>
      <c r="E287" s="91" t="s">
        <v>448</v>
      </c>
      <c r="F287" s="91" t="s">
        <v>211</v>
      </c>
      <c r="G287" s="91" t="s">
        <v>212</v>
      </c>
      <c r="H287" s="104" t="str">
        <f t="shared" si="20"/>
        <v>F5444J30</v>
      </c>
      <c r="I287" s="104"/>
      <c r="J287" s="105">
        <v>76.23</v>
      </c>
      <c r="K287" s="106">
        <f>IF(D287="CAESARSTONE LTD",VLOOKUP(H287,'[2]GIA CA'!G:H,2,0),IF(OR(D287="STONE FACINGS LIMITED",D287="NORDIA SA",D287="INVICTUS STONE COUNTERTOPS INC",D287="QUARTZTOP LLC"),VLOOKUP(H287,'[2] Giá ngoài Mỹ - SI-GR'!$B$5:$AZ$84,51,0),IF(OR(D287="HYUNDAI L&amp;C CANADA INC",D287="Hyundai L&amp; C USA LLC"),VLOOKUP(H287,'[2]GIA HS'!A:D,4,0),IF(Y287="Mỹ",VLOOKUP(H287,'[2]giá mỹ từ 6.8.2025'!B:I,2,0),VLOOKUP(H287,'[2]giá ngoài mỹ 6.8.2025 (final)'!B:BP,51,0)))))</f>
        <v>92.5</v>
      </c>
      <c r="L287" s="106">
        <v>97</v>
      </c>
      <c r="M287" s="106">
        <f t="shared" si="19"/>
        <v>4.5</v>
      </c>
      <c r="N287" s="106">
        <v>97</v>
      </c>
      <c r="O287" s="107">
        <v>7394.31</v>
      </c>
      <c r="P287" s="107">
        <v>26110</v>
      </c>
      <c r="Q287" s="107">
        <v>193065434</v>
      </c>
      <c r="R287" s="102" t="s">
        <v>30</v>
      </c>
      <c r="S287" s="108"/>
      <c r="T287" s="109"/>
      <c r="U287" s="109"/>
      <c r="V287" s="102"/>
      <c r="W287" s="109"/>
      <c r="X287" s="109"/>
      <c r="Y287" s="110" t="s">
        <v>31</v>
      </c>
      <c r="Z287" s="111" t="str">
        <f>MID(E287,4,2)</f>
        <v>CA</v>
      </c>
    </row>
    <row r="288" spans="1:26" s="111" customFormat="1" x14ac:dyDescent="0.2">
      <c r="A288" s="101">
        <v>46239</v>
      </c>
      <c r="B288" s="91" t="s">
        <v>446</v>
      </c>
      <c r="C288" s="102" t="s">
        <v>447</v>
      </c>
      <c r="D288" s="103" t="s">
        <v>26</v>
      </c>
      <c r="E288" s="91" t="s">
        <v>448</v>
      </c>
      <c r="F288" s="91" t="s">
        <v>274</v>
      </c>
      <c r="G288" s="91" t="s">
        <v>273</v>
      </c>
      <c r="H288" s="104" t="str">
        <f t="shared" si="20"/>
        <v>F6313J20</v>
      </c>
      <c r="I288" s="104"/>
      <c r="J288" s="105">
        <v>54.45</v>
      </c>
      <c r="K288" s="106">
        <f>IF(D288="CAESARSTONE LTD",VLOOKUP(H288,'[2]GIA CA'!G:H,2,0),IF(OR(D288="STONE FACINGS LIMITED",D288="NORDIA SA",D288="INVICTUS STONE COUNTERTOPS INC",D288="QUARTZTOP LLC"),VLOOKUP(H288,'[2] Giá ngoài Mỹ - SI-GR'!$B$5:$AZ$84,51,0),IF(OR(D288="HYUNDAI L&amp;C CANADA INC",D288="Hyundai L&amp; C USA LLC"),VLOOKUP(H288,'[2]GIA HS'!A:D,4,0),IF(Y288="Mỹ",VLOOKUP(H288,'[2]giá mỹ từ 6.8.2025'!B:I,2,0),VLOOKUP(H288,'[2]giá ngoài mỹ 6.8.2025 (final)'!B:BP,51,0)))))</f>
        <v>62</v>
      </c>
      <c r="L288" s="106">
        <v>65.040000000000006</v>
      </c>
      <c r="M288" s="106">
        <f t="shared" si="19"/>
        <v>3.0400000000000063</v>
      </c>
      <c r="N288" s="106">
        <v>65.040000000000006</v>
      </c>
      <c r="O288" s="106">
        <v>3541.2</v>
      </c>
      <c r="P288" s="107">
        <v>26110</v>
      </c>
      <c r="Q288" s="107">
        <v>92460732</v>
      </c>
      <c r="R288" s="102" t="s">
        <v>30</v>
      </c>
      <c r="S288" s="108"/>
      <c r="T288" s="109"/>
      <c r="U288" s="109"/>
      <c r="V288" s="102"/>
      <c r="W288" s="109"/>
      <c r="X288" s="109"/>
      <c r="Y288" s="110" t="s">
        <v>31</v>
      </c>
      <c r="Z288" s="111" t="str">
        <f>MID(E288,4,2)</f>
        <v>CA</v>
      </c>
    </row>
    <row r="289" spans="1:26" s="111" customFormat="1" x14ac:dyDescent="0.2">
      <c r="A289" s="101">
        <v>46239</v>
      </c>
      <c r="B289" s="91" t="s">
        <v>446</v>
      </c>
      <c r="C289" s="102" t="s">
        <v>447</v>
      </c>
      <c r="D289" s="103" t="s">
        <v>26</v>
      </c>
      <c r="E289" s="91" t="s">
        <v>448</v>
      </c>
      <c r="F289" s="91" t="s">
        <v>284</v>
      </c>
      <c r="G289" s="91" t="s">
        <v>283</v>
      </c>
      <c r="H289" s="104" t="str">
        <f t="shared" si="20"/>
        <v>F5100J20</v>
      </c>
      <c r="I289" s="104"/>
      <c r="J289" s="105">
        <v>108.9</v>
      </c>
      <c r="K289" s="106">
        <f>IF(D289="CAESARSTONE LTD",VLOOKUP(H289,'[2]GIA CA'!G:H,2,0),IF(OR(D289="STONE FACINGS LIMITED",D289="NORDIA SA",D289="INVICTUS STONE COUNTERTOPS INC",D289="QUARTZTOP LLC"),VLOOKUP(H289,'[2] Giá ngoài Mỹ - SI-GR'!$B$5:$AZ$84,51,0),IF(OR(D289="HYUNDAI L&amp;C CANADA INC",D289="Hyundai L&amp; C USA LLC"),VLOOKUP(H289,'[2]GIA HS'!A:D,4,0),IF(Y289="Mỹ",VLOOKUP(H289,'[2]giá mỹ từ 6.8.2025'!B:I,2,0),VLOOKUP(H289,'[2]giá ngoài mỹ 6.8.2025 (final)'!B:BP,51,0)))))</f>
        <v>62</v>
      </c>
      <c r="L289" s="106">
        <v>65</v>
      </c>
      <c r="M289" s="106">
        <f t="shared" si="19"/>
        <v>3</v>
      </c>
      <c r="N289" s="106">
        <v>65</v>
      </c>
      <c r="O289" s="107">
        <v>7078.5</v>
      </c>
      <c r="P289" s="107">
        <v>26110</v>
      </c>
      <c r="Q289" s="107">
        <v>184819635</v>
      </c>
      <c r="R289" s="102" t="s">
        <v>30</v>
      </c>
      <c r="S289" s="108"/>
      <c r="T289" s="109"/>
      <c r="U289" s="109"/>
      <c r="V289" s="102"/>
      <c r="W289" s="109"/>
      <c r="X289" s="109"/>
      <c r="Y289" s="110" t="s">
        <v>31</v>
      </c>
      <c r="Z289" s="111" t="str">
        <f>MID(E289,4,2)</f>
        <v>CA</v>
      </c>
    </row>
    <row r="290" spans="1:26" s="111" customFormat="1" x14ac:dyDescent="0.2">
      <c r="A290" s="101">
        <v>46239</v>
      </c>
      <c r="B290" s="91" t="s">
        <v>446</v>
      </c>
      <c r="C290" s="102" t="s">
        <v>447</v>
      </c>
      <c r="D290" s="103" t="s">
        <v>26</v>
      </c>
      <c r="E290" s="91" t="s">
        <v>448</v>
      </c>
      <c r="F290" s="91" t="s">
        <v>456</v>
      </c>
      <c r="G290" s="91" t="s">
        <v>457</v>
      </c>
      <c r="H290" s="104" t="str">
        <f t="shared" si="20"/>
        <v>F5131J30</v>
      </c>
      <c r="I290" s="104"/>
      <c r="J290" s="105">
        <v>114.35</v>
      </c>
      <c r="K290" s="106">
        <f>IF(D290="CAESARSTONE LTD",VLOOKUP(H290,'[2]GIA CA'!G:H,2,0),IF(OR(D290="STONE FACINGS LIMITED",D290="NORDIA SA",D290="INVICTUS STONE COUNTERTOPS INC",D290="QUARTZTOP LLC"),VLOOKUP(H290,'[2] Giá ngoài Mỹ - SI-GR'!$B$5:$AZ$84,51,0),IF(OR(D290="HYUNDAI L&amp;C CANADA INC",D290="Hyundai L&amp; C USA LLC"),VLOOKUP(H290,'[2]GIA HS'!A:D,4,0),IF(Y290="Mỹ",VLOOKUP(H290,'[2]giá mỹ từ 6.8.2025'!B:I,2,0),VLOOKUP(H290,'[2]giá ngoài mỹ 6.8.2025 (final)'!B:BP,51,0)))))</f>
        <v>75</v>
      </c>
      <c r="L290" s="106">
        <v>79</v>
      </c>
      <c r="M290" s="106">
        <f t="shared" si="19"/>
        <v>4</v>
      </c>
      <c r="N290" s="106">
        <v>79</v>
      </c>
      <c r="O290" s="107">
        <v>9033.65</v>
      </c>
      <c r="P290" s="107">
        <v>26110</v>
      </c>
      <c r="Q290" s="107">
        <v>235868602</v>
      </c>
      <c r="R290" s="102" t="s">
        <v>30</v>
      </c>
      <c r="S290" s="108"/>
      <c r="T290" s="109"/>
      <c r="U290" s="109"/>
      <c r="V290" s="102"/>
      <c r="W290" s="109"/>
      <c r="X290" s="109"/>
      <c r="Y290" s="110" t="s">
        <v>31</v>
      </c>
      <c r="Z290" s="111" t="str">
        <f>MID(E290,4,2)</f>
        <v>CA</v>
      </c>
    </row>
    <row r="291" spans="1:26" s="111" customFormat="1" x14ac:dyDescent="0.2">
      <c r="A291" s="101">
        <v>46239</v>
      </c>
      <c r="B291" s="91" t="s">
        <v>446</v>
      </c>
      <c r="C291" s="102" t="s">
        <v>447</v>
      </c>
      <c r="D291" s="103" t="s">
        <v>26</v>
      </c>
      <c r="E291" s="91" t="s">
        <v>448</v>
      </c>
      <c r="F291" s="91" t="s">
        <v>239</v>
      </c>
      <c r="G291" s="91" t="s">
        <v>240</v>
      </c>
      <c r="H291" s="104" t="str">
        <f t="shared" si="20"/>
        <v>F5144J30</v>
      </c>
      <c r="I291" s="104"/>
      <c r="J291" s="105">
        <v>76.239999999999995</v>
      </c>
      <c r="K291" s="106">
        <f>IF(D291="CAESARSTONE LTD",VLOOKUP(H291,'[2]GIA CA'!G:H,2,0),IF(OR(D291="STONE FACINGS LIMITED",D291="NORDIA SA",D291="INVICTUS STONE COUNTERTOPS INC",D291="QUARTZTOP LLC"),VLOOKUP(H291,'[2] Giá ngoài Mỹ - SI-GR'!$B$5:$AZ$84,51,0),IF(OR(D291="HYUNDAI L&amp;C CANADA INC",D291="Hyundai L&amp; C USA LLC"),VLOOKUP(H291,'[2]GIA HS'!A:D,4,0),IF(Y291="Mỹ",VLOOKUP(H291,'[2]giá mỹ từ 6.8.2025'!B:I,2,0),VLOOKUP(H291,'[2]giá ngoài mỹ 6.8.2025 (final)'!B:BP,51,0)))))</f>
        <v>77.5</v>
      </c>
      <c r="L291" s="106">
        <v>81</v>
      </c>
      <c r="M291" s="106">
        <f t="shared" si="19"/>
        <v>3.5</v>
      </c>
      <c r="N291" s="106">
        <v>81</v>
      </c>
      <c r="O291" s="107">
        <v>6175.44</v>
      </c>
      <c r="P291" s="107">
        <v>26110</v>
      </c>
      <c r="Q291" s="107">
        <v>161240738</v>
      </c>
      <c r="R291" s="102" t="s">
        <v>30</v>
      </c>
      <c r="S291" s="108"/>
      <c r="T291" s="109"/>
      <c r="U291" s="109"/>
      <c r="V291" s="102"/>
      <c r="W291" s="109"/>
      <c r="X291" s="109"/>
      <c r="Y291" s="110" t="s">
        <v>31</v>
      </c>
      <c r="Z291" s="111" t="str">
        <f>MID(E291,4,2)</f>
        <v>CA</v>
      </c>
    </row>
    <row r="292" spans="1:26" s="111" customFormat="1" x14ac:dyDescent="0.2">
      <c r="A292" s="101">
        <v>46239</v>
      </c>
      <c r="B292" s="91" t="s">
        <v>446</v>
      </c>
      <c r="C292" s="102" t="s">
        <v>447</v>
      </c>
      <c r="D292" s="103" t="s">
        <v>26</v>
      </c>
      <c r="E292" s="91" t="s">
        <v>448</v>
      </c>
      <c r="F292" s="91" t="s">
        <v>458</v>
      </c>
      <c r="G292" s="91" t="s">
        <v>459</v>
      </c>
      <c r="H292" s="104" t="str">
        <f t="shared" si="20"/>
        <v>F6131J20</v>
      </c>
      <c r="I292" s="104"/>
      <c r="J292" s="105">
        <v>108.9</v>
      </c>
      <c r="K292" s="106">
        <f>IF(D292="CAESARSTONE LTD",VLOOKUP(H292,'[2]GIA CA'!G:H,2,0),IF(OR(D292="STONE FACINGS LIMITED",D292="NORDIA SA",D292="INVICTUS STONE COUNTERTOPS INC",D292="QUARTZTOP LLC"),VLOOKUP(H292,'[2] Giá ngoài Mỹ - SI-GR'!$B$5:$AZ$84,51,0),IF(OR(D292="HYUNDAI L&amp;C CANADA INC",D292="Hyundai L&amp; C USA LLC"),VLOOKUP(H292,'[2]GIA HS'!A:D,4,0),IF(Y292="Mỹ",VLOOKUP(H292,'[2]giá mỹ từ 6.8.2025'!B:I,2,0),VLOOKUP(H292,'[2]giá ngoài mỹ 6.8.2025 (final)'!B:BP,51,0)))))</f>
        <v>62</v>
      </c>
      <c r="L292" s="106">
        <v>65</v>
      </c>
      <c r="M292" s="106">
        <f t="shared" si="19"/>
        <v>3</v>
      </c>
      <c r="N292" s="106">
        <v>65</v>
      </c>
      <c r="O292" s="107">
        <v>7078.5</v>
      </c>
      <c r="P292" s="107">
        <v>26110</v>
      </c>
      <c r="Q292" s="107">
        <v>184819635</v>
      </c>
      <c r="R292" s="102" t="s">
        <v>30</v>
      </c>
      <c r="S292" s="108"/>
      <c r="T292" s="109"/>
      <c r="U292" s="109"/>
      <c r="V292" s="102"/>
      <c r="W292" s="109"/>
      <c r="X292" s="109"/>
      <c r="Y292" s="110" t="s">
        <v>31</v>
      </c>
      <c r="Z292" s="111" t="str">
        <f>MID(E292,4,2)</f>
        <v>CA</v>
      </c>
    </row>
    <row r="293" spans="1:26" s="111" customFormat="1" x14ac:dyDescent="0.2">
      <c r="A293" s="101">
        <v>46239</v>
      </c>
      <c r="B293" s="91" t="s">
        <v>446</v>
      </c>
      <c r="C293" s="102" t="s">
        <v>447</v>
      </c>
      <c r="D293" s="103" t="s">
        <v>26</v>
      </c>
      <c r="E293" s="91" t="s">
        <v>448</v>
      </c>
      <c r="F293" s="91" t="s">
        <v>460</v>
      </c>
      <c r="G293" s="91" t="s">
        <v>461</v>
      </c>
      <c r="H293" s="104" t="str">
        <f t="shared" si="20"/>
        <v>C0406J30</v>
      </c>
      <c r="I293" s="104"/>
      <c r="J293" s="105">
        <v>38.119999999999997</v>
      </c>
      <c r="K293" s="106">
        <f>IF(D293="CAESARSTONE LTD",VLOOKUP(H293,'[2]GIA CA'!G:H,2,0),IF(OR(D293="STONE FACINGS LIMITED",D293="NORDIA SA",D293="INVICTUS STONE COUNTERTOPS INC",D293="QUARTZTOP LLC"),VLOOKUP(H293,'[2] Giá ngoài Mỹ - SI-GR'!$B$5:$AZ$84,51,0),IF(OR(D293="HYUNDAI L&amp;C CANADA INC",D293="Hyundai L&amp; C USA LLC"),VLOOKUP(H293,'[2]GIA HS'!A:D,4,0),IF(Y293="Mỹ",VLOOKUP(H293,'[2]giá mỹ từ 6.8.2025'!B:I,2,0),VLOOKUP(H293,'[2]giá ngoài mỹ 6.8.2025 (final)'!B:BP,51,0)))))</f>
        <v>74</v>
      </c>
      <c r="L293" s="106">
        <v>74</v>
      </c>
      <c r="M293" s="106">
        <f t="shared" si="19"/>
        <v>0</v>
      </c>
      <c r="N293" s="106">
        <v>74</v>
      </c>
      <c r="O293" s="107">
        <v>2820.88</v>
      </c>
      <c r="P293" s="107">
        <v>26110</v>
      </c>
      <c r="Q293" s="107">
        <v>73653177</v>
      </c>
      <c r="R293" s="102" t="s">
        <v>30</v>
      </c>
      <c r="S293" s="108"/>
      <c r="T293" s="109"/>
      <c r="U293" s="109"/>
      <c r="V293" s="102"/>
      <c r="W293" s="109"/>
      <c r="X293" s="109"/>
      <c r="Y293" s="110" t="s">
        <v>31</v>
      </c>
      <c r="Z293" s="111" t="str">
        <f>MID(E293,4,2)</f>
        <v>CA</v>
      </c>
    </row>
    <row r="294" spans="1:26" s="111" customFormat="1" x14ac:dyDescent="0.2">
      <c r="A294" s="101">
        <v>46239</v>
      </c>
      <c r="B294" s="91" t="s">
        <v>446</v>
      </c>
      <c r="C294" s="102" t="s">
        <v>447</v>
      </c>
      <c r="D294" s="103" t="s">
        <v>26</v>
      </c>
      <c r="E294" s="91" t="s">
        <v>448</v>
      </c>
      <c r="F294" s="91" t="s">
        <v>462</v>
      </c>
      <c r="G294" s="91" t="s">
        <v>463</v>
      </c>
      <c r="H294" s="104" t="str">
        <f t="shared" si="20"/>
        <v>C5141J20</v>
      </c>
      <c r="I294" s="104"/>
      <c r="J294" s="105">
        <v>76.23</v>
      </c>
      <c r="K294" s="106">
        <f>IF(D294="CAESARSTONE LTD",VLOOKUP(H294,'[2]GIA CA'!G:H,2,0),IF(OR(D294="STONE FACINGS LIMITED",D294="NORDIA SA",D294="INVICTUS STONE COUNTERTOPS INC",D294="QUARTZTOP LLC"),VLOOKUP(H294,'[2] Giá ngoài Mỹ - SI-GR'!$B$5:$AZ$84,51,0),IF(OR(D294="HYUNDAI L&amp;C CANADA INC",D294="Hyundai L&amp; C USA LLC"),VLOOKUP(H294,'[2]GIA HS'!A:D,4,0),IF(Y294="Mỹ",VLOOKUP(H294,'[2]giá mỹ từ 6.8.2025'!B:I,2,0),VLOOKUP(H294,'[2]giá ngoài mỹ 6.8.2025 (final)'!B:BP,51,0)))))</f>
        <v>55</v>
      </c>
      <c r="L294" s="106">
        <v>58</v>
      </c>
      <c r="M294" s="106">
        <f t="shared" si="19"/>
        <v>3</v>
      </c>
      <c r="N294" s="106">
        <v>58</v>
      </c>
      <c r="O294" s="107">
        <v>4421.34</v>
      </c>
      <c r="P294" s="107">
        <v>26110</v>
      </c>
      <c r="Q294" s="107">
        <v>115441187</v>
      </c>
      <c r="R294" s="102" t="s">
        <v>30</v>
      </c>
      <c r="S294" s="108"/>
      <c r="T294" s="109"/>
      <c r="U294" s="109"/>
      <c r="V294" s="102"/>
      <c r="W294" s="109"/>
      <c r="X294" s="109"/>
      <c r="Y294" s="110" t="s">
        <v>31</v>
      </c>
      <c r="Z294" s="111" t="str">
        <f>MID(E294,4,2)</f>
        <v>CA</v>
      </c>
    </row>
    <row r="295" spans="1:26" s="111" customFormat="1" x14ac:dyDescent="0.2">
      <c r="A295" s="101">
        <v>46239</v>
      </c>
      <c r="B295" s="91" t="s">
        <v>446</v>
      </c>
      <c r="C295" s="102" t="s">
        <v>447</v>
      </c>
      <c r="D295" s="103" t="s">
        <v>26</v>
      </c>
      <c r="E295" s="91" t="s">
        <v>448</v>
      </c>
      <c r="F295" s="91" t="s">
        <v>464</v>
      </c>
      <c r="G295" s="91" t="s">
        <v>463</v>
      </c>
      <c r="H295" s="104" t="str">
        <f t="shared" si="20"/>
        <v>C5141J20</v>
      </c>
      <c r="I295" s="104"/>
      <c r="J295" s="105">
        <v>32.67</v>
      </c>
      <c r="K295" s="106">
        <f>IF(D295="CAESARSTONE LTD",VLOOKUP(H295,'[2]GIA CA'!G:H,2,0),IF(OR(D295="STONE FACINGS LIMITED",D295="NORDIA SA",D295="INVICTUS STONE COUNTERTOPS INC",D295="QUARTZTOP LLC"),VLOOKUP(H295,'[2] Giá ngoài Mỹ - SI-GR'!$B$5:$AZ$84,51,0),IF(OR(D295="HYUNDAI L&amp;C CANADA INC",D295="Hyundai L&amp; C USA LLC"),VLOOKUP(H295,'[2]GIA HS'!A:D,4,0),IF(Y295="Mỹ",VLOOKUP(H295,'[2]giá mỹ từ 6.8.2025'!B:I,2,0),VLOOKUP(H295,'[2]giá ngoài mỹ 6.8.2025 (final)'!B:BP,51,0)))))</f>
        <v>55</v>
      </c>
      <c r="L295" s="106">
        <v>58</v>
      </c>
      <c r="M295" s="106">
        <f t="shared" si="19"/>
        <v>3</v>
      </c>
      <c r="N295" s="106">
        <v>58</v>
      </c>
      <c r="O295" s="107">
        <v>1894.86</v>
      </c>
      <c r="P295" s="107">
        <v>26110</v>
      </c>
      <c r="Q295" s="107">
        <v>49474795</v>
      </c>
      <c r="R295" s="102" t="s">
        <v>30</v>
      </c>
      <c r="S295" s="108"/>
      <c r="T295" s="109"/>
      <c r="U295" s="109"/>
      <c r="V295" s="102"/>
      <c r="W295" s="109"/>
      <c r="X295" s="109"/>
      <c r="Y295" s="110" t="s">
        <v>31</v>
      </c>
      <c r="Z295" s="111" t="str">
        <f>MID(E295,4,2)</f>
        <v>CA</v>
      </c>
    </row>
    <row r="296" spans="1:26" s="111" customFormat="1" x14ac:dyDescent="0.2">
      <c r="A296" s="101">
        <v>46239</v>
      </c>
      <c r="B296" s="91" t="s">
        <v>446</v>
      </c>
      <c r="C296" s="102" t="s">
        <v>447</v>
      </c>
      <c r="D296" s="103" t="s">
        <v>26</v>
      </c>
      <c r="E296" s="91" t="s">
        <v>448</v>
      </c>
      <c r="F296" s="91" t="s">
        <v>237</v>
      </c>
      <c r="G296" s="91" t="s">
        <v>73</v>
      </c>
      <c r="H296" s="104" t="str">
        <f t="shared" si="20"/>
        <v>C5143J30</v>
      </c>
      <c r="I296" s="104"/>
      <c r="J296" s="105">
        <v>38.119999999999997</v>
      </c>
      <c r="K296" s="106">
        <f>IF(D296="CAESARSTONE LTD",VLOOKUP(H296,'[2]GIA CA'!G:H,2,0),IF(OR(D296="STONE FACINGS LIMITED",D296="NORDIA SA",D296="INVICTUS STONE COUNTERTOPS INC",D296="QUARTZTOP LLC"),VLOOKUP(H296,'[2] Giá ngoài Mỹ - SI-GR'!$B$5:$AZ$84,51,0),IF(OR(D296="HYUNDAI L&amp;C CANADA INC",D296="Hyundai L&amp; C USA LLC"),VLOOKUP(H296,'[2]GIA HS'!A:D,4,0),IF(Y296="Mỹ",VLOOKUP(H296,'[2]giá mỹ từ 6.8.2025'!B:I,2,0),VLOOKUP(H296,'[2]giá ngoài mỹ 6.8.2025 (final)'!B:BP,51,0)))))</f>
        <v>73.75</v>
      </c>
      <c r="L296" s="106">
        <v>77</v>
      </c>
      <c r="M296" s="106">
        <f t="shared" si="19"/>
        <v>3.25</v>
      </c>
      <c r="N296" s="106">
        <v>77</v>
      </c>
      <c r="O296" s="107">
        <v>2935.24</v>
      </c>
      <c r="P296" s="107">
        <v>26110</v>
      </c>
      <c r="Q296" s="107">
        <v>76639116</v>
      </c>
      <c r="R296" s="102" t="s">
        <v>30</v>
      </c>
      <c r="S296" s="108"/>
      <c r="T296" s="109"/>
      <c r="U296" s="109"/>
      <c r="V296" s="102"/>
      <c r="W296" s="109"/>
      <c r="X296" s="109"/>
      <c r="Y296" s="110" t="s">
        <v>31</v>
      </c>
      <c r="Z296" s="111" t="str">
        <f>MID(E296,4,2)</f>
        <v>CA</v>
      </c>
    </row>
    <row r="297" spans="1:26" s="111" customFormat="1" x14ac:dyDescent="0.2">
      <c r="A297" s="101">
        <v>46239</v>
      </c>
      <c r="B297" s="91" t="s">
        <v>446</v>
      </c>
      <c r="C297" s="102" t="s">
        <v>447</v>
      </c>
      <c r="D297" s="103" t="s">
        <v>26</v>
      </c>
      <c r="E297" s="91" t="s">
        <v>448</v>
      </c>
      <c r="F297" s="91" t="s">
        <v>465</v>
      </c>
      <c r="G297" s="91" t="s">
        <v>466</v>
      </c>
      <c r="H297" s="104" t="str">
        <f t="shared" si="20"/>
        <v>F4011J20</v>
      </c>
      <c r="I297" s="104"/>
      <c r="J297" s="105">
        <v>54.45</v>
      </c>
      <c r="K297" s="106">
        <f t="shared" ref="K297:K299" si="21">+L297</f>
        <v>63</v>
      </c>
      <c r="L297" s="106">
        <v>63</v>
      </c>
      <c r="M297" s="106">
        <f t="shared" si="19"/>
        <v>0</v>
      </c>
      <c r="N297" s="106">
        <v>63</v>
      </c>
      <c r="O297" s="107">
        <v>3430.35</v>
      </c>
      <c r="P297" s="107">
        <v>26110</v>
      </c>
      <c r="Q297" s="107">
        <v>89566439</v>
      </c>
      <c r="R297" s="102" t="s">
        <v>30</v>
      </c>
      <c r="S297" s="108"/>
      <c r="T297" s="109"/>
      <c r="U297" s="109"/>
      <c r="V297" s="102"/>
      <c r="W297" s="109"/>
      <c r="X297" s="109"/>
      <c r="Y297" s="110" t="s">
        <v>31</v>
      </c>
      <c r="Z297" s="111" t="str">
        <f>MID(E297,4,2)</f>
        <v>CA</v>
      </c>
    </row>
    <row r="298" spans="1:26" s="111" customFormat="1" x14ac:dyDescent="0.2">
      <c r="A298" s="101">
        <v>46239</v>
      </c>
      <c r="B298" s="91" t="s">
        <v>446</v>
      </c>
      <c r="C298" s="102" t="s">
        <v>447</v>
      </c>
      <c r="D298" s="103" t="s">
        <v>26</v>
      </c>
      <c r="E298" s="91" t="s">
        <v>448</v>
      </c>
      <c r="F298" s="91" t="s">
        <v>388</v>
      </c>
      <c r="G298" s="91" t="s">
        <v>271</v>
      </c>
      <c r="H298" s="104" t="str">
        <f t="shared" si="20"/>
        <v>F4044J20</v>
      </c>
      <c r="I298" s="104"/>
      <c r="J298" s="105">
        <v>38.119999999999997</v>
      </c>
      <c r="K298" s="106">
        <f t="shared" si="21"/>
        <v>63</v>
      </c>
      <c r="L298" s="106">
        <v>63</v>
      </c>
      <c r="M298" s="106">
        <f t="shared" si="19"/>
        <v>0</v>
      </c>
      <c r="N298" s="106">
        <v>63</v>
      </c>
      <c r="O298" s="107">
        <v>2401.56</v>
      </c>
      <c r="P298" s="107">
        <v>26110</v>
      </c>
      <c r="Q298" s="107">
        <v>62704732</v>
      </c>
      <c r="R298" s="102" t="s">
        <v>30</v>
      </c>
      <c r="S298" s="108"/>
      <c r="T298" s="109"/>
      <c r="U298" s="109"/>
      <c r="V298" s="102"/>
      <c r="W298" s="109"/>
      <c r="X298" s="109"/>
      <c r="Y298" s="110" t="s">
        <v>31</v>
      </c>
      <c r="Z298" s="111" t="str">
        <f>MID(E298,4,2)</f>
        <v>CA</v>
      </c>
    </row>
    <row r="299" spans="1:26" s="111" customFormat="1" x14ac:dyDescent="0.2">
      <c r="A299" s="101">
        <v>46239</v>
      </c>
      <c r="B299" s="91" t="s">
        <v>446</v>
      </c>
      <c r="C299" s="102" t="s">
        <v>447</v>
      </c>
      <c r="D299" s="103" t="s">
        <v>26</v>
      </c>
      <c r="E299" s="91" t="s">
        <v>448</v>
      </c>
      <c r="F299" s="91" t="s">
        <v>34</v>
      </c>
      <c r="G299" s="91" t="s">
        <v>35</v>
      </c>
      <c r="H299" s="104" t="str">
        <f t="shared" si="20"/>
        <v>F5003J20</v>
      </c>
      <c r="I299" s="104"/>
      <c r="J299" s="105">
        <v>54.45</v>
      </c>
      <c r="K299" s="106">
        <f t="shared" si="21"/>
        <v>63</v>
      </c>
      <c r="L299" s="106">
        <v>63</v>
      </c>
      <c r="M299" s="106">
        <f t="shared" si="19"/>
        <v>0</v>
      </c>
      <c r="N299" s="106">
        <v>63</v>
      </c>
      <c r="O299" s="106">
        <v>3430.35</v>
      </c>
      <c r="P299" s="107">
        <v>26110</v>
      </c>
      <c r="Q299" s="107">
        <v>89566439</v>
      </c>
      <c r="R299" s="102" t="s">
        <v>30</v>
      </c>
      <c r="S299" s="108"/>
      <c r="T299" s="109"/>
      <c r="U299" s="109"/>
      <c r="V299" s="102"/>
      <c r="W299" s="109"/>
      <c r="X299" s="109"/>
      <c r="Y299" s="110" t="s">
        <v>31</v>
      </c>
      <c r="Z299" s="111" t="str">
        <f>MID(E299,4,2)</f>
        <v>CA</v>
      </c>
    </row>
    <row r="300" spans="1:26" s="111" customFormat="1" x14ac:dyDescent="0.2">
      <c r="A300" s="101">
        <v>46239</v>
      </c>
      <c r="B300" s="91" t="s">
        <v>446</v>
      </c>
      <c r="C300" s="102" t="s">
        <v>447</v>
      </c>
      <c r="D300" s="103" t="s">
        <v>26</v>
      </c>
      <c r="E300" s="91" t="s">
        <v>448</v>
      </c>
      <c r="F300" s="91" t="s">
        <v>467</v>
      </c>
      <c r="G300" s="91" t="s">
        <v>37</v>
      </c>
      <c r="H300" s="104" t="str">
        <f t="shared" si="20"/>
        <v>F5105J30</v>
      </c>
      <c r="I300" s="104"/>
      <c r="J300" s="105">
        <v>16.329999999999998</v>
      </c>
      <c r="K300" s="106">
        <f>IF(D300="CAESARSTONE LTD",VLOOKUP(H300,'[2]GIA CA'!G:H,2,0),IF(OR(D300="STONE FACINGS LIMITED",D300="NORDIA SA",D300="INVICTUS STONE COUNTERTOPS INC",D300="QUARTZTOP LLC"),VLOOKUP(H300,'[2] Giá ngoài Mỹ - SI-GR'!$B$5:$AZ$84,51,0),IF(OR(D300="HYUNDAI L&amp;C CANADA INC",D300="Hyundai L&amp; C USA LLC"),VLOOKUP(H300,'[2]GIA HS'!A:D,4,0),IF(Y300="Mỹ",VLOOKUP(H300,'[2]giá mỹ từ 6.8.2025'!B:I,2,0),VLOOKUP(H300,'[2]giá ngoài mỹ 6.8.2025 (final)'!B:BP,51,0)))))</f>
        <v>85</v>
      </c>
      <c r="L300" s="106">
        <v>85</v>
      </c>
      <c r="M300" s="106">
        <f t="shared" si="19"/>
        <v>0</v>
      </c>
      <c r="N300" s="106">
        <v>85</v>
      </c>
      <c r="O300" s="106">
        <v>1388.05</v>
      </c>
      <c r="P300" s="107">
        <v>26110</v>
      </c>
      <c r="Q300" s="107">
        <v>36241986</v>
      </c>
      <c r="R300" s="102" t="s">
        <v>30</v>
      </c>
      <c r="S300" s="108"/>
      <c r="T300" s="109"/>
      <c r="U300" s="109"/>
      <c r="V300" s="102"/>
      <c r="W300" s="109"/>
      <c r="X300" s="109"/>
      <c r="Y300" s="110" t="s">
        <v>31</v>
      </c>
      <c r="Z300" s="111" t="str">
        <f>MID(E300,4,2)</f>
        <v>CA</v>
      </c>
    </row>
    <row r="301" spans="1:26" s="111" customFormat="1" x14ac:dyDescent="0.2">
      <c r="A301" s="101">
        <v>46239</v>
      </c>
      <c r="B301" s="91" t="s">
        <v>446</v>
      </c>
      <c r="C301" s="102" t="s">
        <v>447</v>
      </c>
      <c r="D301" s="103" t="s">
        <v>26</v>
      </c>
      <c r="E301" s="91" t="s">
        <v>448</v>
      </c>
      <c r="F301" s="91" t="s">
        <v>36</v>
      </c>
      <c r="G301" s="91" t="s">
        <v>37</v>
      </c>
      <c r="H301" s="104" t="str">
        <f t="shared" si="20"/>
        <v>F5105J30</v>
      </c>
      <c r="I301" s="104"/>
      <c r="J301" s="105">
        <v>59.9</v>
      </c>
      <c r="K301" s="106">
        <f>IF(D301="CAESARSTONE LTD",VLOOKUP(H301,'[2]GIA CA'!G:H,2,0),IF(OR(D301="STONE FACINGS LIMITED",D301="NORDIA SA",D301="INVICTUS STONE COUNTERTOPS INC",D301="QUARTZTOP LLC"),VLOOKUP(H301,'[2] Giá ngoài Mỹ - SI-GR'!$B$5:$AZ$84,51,0),IF(OR(D301="HYUNDAI L&amp;C CANADA INC",D301="Hyundai L&amp; C USA LLC"),VLOOKUP(H301,'[2]GIA HS'!A:D,4,0),IF(Y301="Mỹ",VLOOKUP(H301,'[2]giá mỹ từ 6.8.2025'!B:I,2,0),VLOOKUP(H301,'[2]giá ngoài mỹ 6.8.2025 (final)'!B:BP,51,0)))))</f>
        <v>85</v>
      </c>
      <c r="L301" s="106">
        <v>85</v>
      </c>
      <c r="M301" s="106">
        <f t="shared" si="19"/>
        <v>0</v>
      </c>
      <c r="N301" s="106">
        <v>85</v>
      </c>
      <c r="O301" s="106">
        <v>5091.5</v>
      </c>
      <c r="P301" s="107">
        <v>26110</v>
      </c>
      <c r="Q301" s="107">
        <v>132939065</v>
      </c>
      <c r="R301" s="102" t="s">
        <v>30</v>
      </c>
      <c r="S301" s="108"/>
      <c r="T301" s="109"/>
      <c r="U301" s="109"/>
      <c r="V301" s="102"/>
      <c r="W301" s="109"/>
      <c r="X301" s="109"/>
      <c r="Y301" s="110" t="s">
        <v>31</v>
      </c>
      <c r="Z301" s="111" t="str">
        <f>MID(E301,4,2)</f>
        <v>CA</v>
      </c>
    </row>
    <row r="302" spans="1:26" s="111" customFormat="1" x14ac:dyDescent="0.2">
      <c r="A302" s="101">
        <v>46239</v>
      </c>
      <c r="B302" s="91" t="s">
        <v>468</v>
      </c>
      <c r="C302" s="102" t="s">
        <v>469</v>
      </c>
      <c r="D302" s="103" t="s">
        <v>26</v>
      </c>
      <c r="E302" s="91" t="s">
        <v>470</v>
      </c>
      <c r="F302" s="91" t="s">
        <v>232</v>
      </c>
      <c r="G302" s="91" t="s">
        <v>233</v>
      </c>
      <c r="H302" s="104" t="str">
        <f t="shared" si="20"/>
        <v>C4003J30</v>
      </c>
      <c r="I302" s="104"/>
      <c r="J302" s="105">
        <v>38.119999999999997</v>
      </c>
      <c r="K302" s="106">
        <f>IF(D302="CAESARSTONE LTD",VLOOKUP(H302,'[2]GIA CA'!G:H,2,0),IF(OR(D302="STONE FACINGS LIMITED",D302="NORDIA SA",D302="INVICTUS STONE COUNTERTOPS INC",D302="QUARTZTOP LLC"),VLOOKUP(H302,'[2] Giá ngoài Mỹ - SI-GR'!$B$5:$AZ$84,51,0),IF(OR(D302="HYUNDAI L&amp;C CANADA INC",D302="Hyundai L&amp; C USA LLC"),VLOOKUP(H302,'[2]GIA HS'!A:D,4,0),IF(Y302="Mỹ",VLOOKUP(H302,'[2]giá mỹ từ 6.8.2025'!B:I,2,0),VLOOKUP(H302,'[2]giá ngoài mỹ 6.8.2025 (final)'!B:BP,51,0)))))</f>
        <v>68.75</v>
      </c>
      <c r="L302" s="106">
        <v>72</v>
      </c>
      <c r="M302" s="106">
        <f t="shared" si="19"/>
        <v>3.25</v>
      </c>
      <c r="N302" s="106">
        <v>72</v>
      </c>
      <c r="O302" s="106">
        <v>2744.64</v>
      </c>
      <c r="P302" s="107">
        <v>26110</v>
      </c>
      <c r="Q302" s="107">
        <v>71662550</v>
      </c>
      <c r="R302" s="102" t="s">
        <v>30</v>
      </c>
      <c r="S302" s="108"/>
      <c r="T302" s="109"/>
      <c r="U302" s="109"/>
      <c r="V302" s="102"/>
      <c r="W302" s="109"/>
      <c r="X302" s="109"/>
      <c r="Y302" s="110" t="s">
        <v>31</v>
      </c>
      <c r="Z302" s="111" t="str">
        <f>MID(E302,4,2)</f>
        <v>CA</v>
      </c>
    </row>
    <row r="303" spans="1:26" s="111" customFormat="1" x14ac:dyDescent="0.2">
      <c r="A303" s="101">
        <v>46239</v>
      </c>
      <c r="B303" s="91" t="s">
        <v>468</v>
      </c>
      <c r="C303" s="102" t="s">
        <v>469</v>
      </c>
      <c r="D303" s="103" t="s">
        <v>26</v>
      </c>
      <c r="E303" s="91" t="s">
        <v>470</v>
      </c>
      <c r="F303" s="91" t="s">
        <v>28</v>
      </c>
      <c r="G303" s="91" t="s">
        <v>29</v>
      </c>
      <c r="H303" s="104" t="str">
        <f t="shared" si="20"/>
        <v>F4001J20</v>
      </c>
      <c r="I303" s="104"/>
      <c r="J303" s="105">
        <v>54.45</v>
      </c>
      <c r="K303" s="106">
        <f>IF(D303="CAESARSTONE LTD",VLOOKUP(H303,'[2]GIA CA'!G:H,2,0),IF(OR(D303="STONE FACINGS LIMITED",D303="NORDIA SA",D303="INVICTUS STONE COUNTERTOPS INC",D303="QUARTZTOP LLC"),VLOOKUP(H303,'[2] Giá ngoài Mỹ - SI-GR'!$B$5:$AZ$84,51,0),IF(OR(D303="HYUNDAI L&amp;C CANADA INC",D303="Hyundai L&amp; C USA LLC"),VLOOKUP(H303,'[2]GIA HS'!A:D,4,0),IF(Y303="Mỹ",VLOOKUP(H303,'[2]giá mỹ từ 6.8.2025'!B:I,2,0),VLOOKUP(H303,'[2]giá ngoài mỹ 6.8.2025 (final)'!B:BP,51,0)))))</f>
        <v>58</v>
      </c>
      <c r="L303" s="106">
        <v>61</v>
      </c>
      <c r="M303" s="106">
        <f t="shared" si="19"/>
        <v>3</v>
      </c>
      <c r="N303" s="106">
        <v>61</v>
      </c>
      <c r="O303" s="106">
        <v>3321.45</v>
      </c>
      <c r="P303" s="107">
        <v>26110</v>
      </c>
      <c r="Q303" s="107">
        <v>86723060</v>
      </c>
      <c r="R303" s="102" t="s">
        <v>30</v>
      </c>
      <c r="S303" s="108"/>
      <c r="T303" s="109"/>
      <c r="U303" s="109"/>
      <c r="V303" s="102"/>
      <c r="W303" s="109"/>
      <c r="X303" s="109"/>
      <c r="Y303" s="110" t="s">
        <v>31</v>
      </c>
      <c r="Z303" s="111" t="str">
        <f>MID(E303,4,2)</f>
        <v>CA</v>
      </c>
    </row>
    <row r="304" spans="1:26" s="111" customFormat="1" x14ac:dyDescent="0.2">
      <c r="A304" s="101">
        <v>46239</v>
      </c>
      <c r="B304" s="91" t="s">
        <v>468</v>
      </c>
      <c r="C304" s="102" t="s">
        <v>469</v>
      </c>
      <c r="D304" s="103" t="s">
        <v>26</v>
      </c>
      <c r="E304" s="91" t="s">
        <v>470</v>
      </c>
      <c r="F304" s="91" t="s">
        <v>32</v>
      </c>
      <c r="G304" s="91" t="s">
        <v>33</v>
      </c>
      <c r="H304" s="104" t="str">
        <f t="shared" si="20"/>
        <v>F4001J30</v>
      </c>
      <c r="I304" s="104"/>
      <c r="J304" s="105">
        <v>38.119999999999997</v>
      </c>
      <c r="K304" s="106">
        <f>IF(D304="CAESARSTONE LTD",VLOOKUP(H304,'[2]GIA CA'!G:H,2,0),IF(OR(D304="STONE FACINGS LIMITED",D304="NORDIA SA",D304="INVICTUS STONE COUNTERTOPS INC",D304="QUARTZTOP LLC"),VLOOKUP(H304,'[2] Giá ngoài Mỹ - SI-GR'!$B$5:$AZ$84,51,0),IF(OR(D304="HYUNDAI L&amp;C CANADA INC",D304="Hyundai L&amp; C USA LLC"),VLOOKUP(H304,'[2]GIA HS'!A:D,4,0),IF(Y304="Mỹ",VLOOKUP(H304,'[2]giá mỹ từ 6.8.2025'!B:I,2,0),VLOOKUP(H304,'[2]giá ngoài mỹ 6.8.2025 (final)'!B:BP,51,0)))))</f>
        <v>72.5</v>
      </c>
      <c r="L304" s="106">
        <v>76</v>
      </c>
      <c r="M304" s="106">
        <f t="shared" si="19"/>
        <v>3.5</v>
      </c>
      <c r="N304" s="106">
        <v>76</v>
      </c>
      <c r="O304" s="106">
        <v>2897.12</v>
      </c>
      <c r="P304" s="107">
        <v>26110</v>
      </c>
      <c r="Q304" s="107">
        <v>75643803</v>
      </c>
      <c r="R304" s="102" t="s">
        <v>30</v>
      </c>
      <c r="S304" s="108"/>
      <c r="T304" s="109"/>
      <c r="U304" s="109"/>
      <c r="V304" s="102"/>
      <c r="W304" s="109"/>
      <c r="X304" s="109"/>
      <c r="Y304" s="110" t="s">
        <v>31</v>
      </c>
      <c r="Z304" s="111" t="str">
        <f>MID(E304,4,2)</f>
        <v>CA</v>
      </c>
    </row>
    <row r="305" spans="1:26" s="111" customFormat="1" x14ac:dyDescent="0.2">
      <c r="A305" s="101">
        <v>46239</v>
      </c>
      <c r="B305" s="91" t="s">
        <v>468</v>
      </c>
      <c r="C305" s="102" t="s">
        <v>469</v>
      </c>
      <c r="D305" s="103" t="s">
        <v>26</v>
      </c>
      <c r="E305" s="91" t="s">
        <v>470</v>
      </c>
      <c r="F305" s="91" t="s">
        <v>449</v>
      </c>
      <c r="G305" s="91" t="s">
        <v>450</v>
      </c>
      <c r="H305" s="104" t="str">
        <f t="shared" si="20"/>
        <v>F5031J20</v>
      </c>
      <c r="I305" s="104"/>
      <c r="J305" s="105">
        <v>54.45</v>
      </c>
      <c r="K305" s="106">
        <f>IF(D305="CAESARSTONE LTD",VLOOKUP(H305,'[2]GIA CA'!G:H,2,0),IF(OR(D305="STONE FACINGS LIMITED",D305="NORDIA SA",D305="INVICTUS STONE COUNTERTOPS INC",D305="QUARTZTOP LLC"),VLOOKUP(H305,'[2] Giá ngoài Mỹ - SI-GR'!$B$5:$AZ$84,51,0),IF(OR(D305="HYUNDAI L&amp;C CANADA INC",D305="Hyundai L&amp; C USA LLC"),VLOOKUP(H305,'[2]GIA HS'!A:D,4,0),IF(Y305="Mỹ",VLOOKUP(H305,'[2]giá mỹ từ 6.8.2025'!B:I,2,0),VLOOKUP(H305,'[2]giá ngoài mỹ 6.8.2025 (final)'!B:BP,51,0)))))</f>
        <v>60</v>
      </c>
      <c r="L305" s="106">
        <v>65</v>
      </c>
      <c r="M305" s="106">
        <f t="shared" si="19"/>
        <v>5</v>
      </c>
      <c r="N305" s="106">
        <v>65</v>
      </c>
      <c r="O305" s="106">
        <v>3539.25</v>
      </c>
      <c r="P305" s="107">
        <v>26110</v>
      </c>
      <c r="Q305" s="107">
        <v>92409818</v>
      </c>
      <c r="R305" s="102" t="s">
        <v>30</v>
      </c>
      <c r="S305" s="108"/>
      <c r="T305" s="109"/>
      <c r="U305" s="109"/>
      <c r="V305" s="102"/>
      <c r="W305" s="109"/>
      <c r="X305" s="109"/>
      <c r="Y305" s="110" t="s">
        <v>31</v>
      </c>
      <c r="Z305" s="111" t="str">
        <f>MID(E305,4,2)</f>
        <v>CA</v>
      </c>
    </row>
    <row r="306" spans="1:26" s="111" customFormat="1" x14ac:dyDescent="0.2">
      <c r="A306" s="101">
        <v>46239</v>
      </c>
      <c r="B306" s="91" t="s">
        <v>468</v>
      </c>
      <c r="C306" s="102" t="s">
        <v>469</v>
      </c>
      <c r="D306" s="103" t="s">
        <v>26</v>
      </c>
      <c r="E306" s="91" t="s">
        <v>470</v>
      </c>
      <c r="F306" s="91" t="s">
        <v>238</v>
      </c>
      <c r="G306" s="91" t="s">
        <v>37</v>
      </c>
      <c r="H306" s="104" t="str">
        <f t="shared" si="20"/>
        <v>F5105J30</v>
      </c>
      <c r="I306" s="104"/>
      <c r="J306" s="105">
        <v>76.23</v>
      </c>
      <c r="K306" s="106">
        <f>IF(D306="CAESARSTONE LTD",VLOOKUP(H306,'[2]GIA CA'!G:H,2,0),IF(OR(D306="STONE FACINGS LIMITED",D306="NORDIA SA",D306="INVICTUS STONE COUNTERTOPS INC",D306="QUARTZTOP LLC"),VLOOKUP(H306,'[2] Giá ngoài Mỹ - SI-GR'!$B$5:$AZ$84,51,0),IF(OR(D306="HYUNDAI L&amp;C CANADA INC",D306="Hyundai L&amp; C USA LLC"),VLOOKUP(H306,'[2]GIA HS'!A:D,4,0),IF(Y306="Mỹ",VLOOKUP(H306,'[2]giá mỹ từ 6.8.2025'!B:I,2,0),VLOOKUP(H306,'[2]giá ngoài mỹ 6.8.2025 (final)'!B:BP,51,0)))))</f>
        <v>85</v>
      </c>
      <c r="L306" s="106">
        <v>89</v>
      </c>
      <c r="M306" s="106">
        <f t="shared" si="19"/>
        <v>4</v>
      </c>
      <c r="N306" s="106">
        <v>89</v>
      </c>
      <c r="O306" s="106">
        <v>6784.47</v>
      </c>
      <c r="P306" s="107">
        <v>26110</v>
      </c>
      <c r="Q306" s="107">
        <v>177142512</v>
      </c>
      <c r="R306" s="102" t="s">
        <v>30</v>
      </c>
      <c r="S306" s="108"/>
      <c r="T306" s="109"/>
      <c r="U306" s="109"/>
      <c r="V306" s="102"/>
      <c r="W306" s="109"/>
      <c r="X306" s="109"/>
      <c r="Y306" s="110" t="s">
        <v>31</v>
      </c>
      <c r="Z306" s="111" t="str">
        <f>MID(E306,4,2)</f>
        <v>CA</v>
      </c>
    </row>
    <row r="307" spans="1:26" s="111" customFormat="1" x14ac:dyDescent="0.2">
      <c r="A307" s="101">
        <v>46239</v>
      </c>
      <c r="B307" s="91" t="s">
        <v>468</v>
      </c>
      <c r="C307" s="102" t="s">
        <v>469</v>
      </c>
      <c r="D307" s="103" t="s">
        <v>26</v>
      </c>
      <c r="E307" s="91" t="s">
        <v>470</v>
      </c>
      <c r="F307" s="91" t="s">
        <v>211</v>
      </c>
      <c r="G307" s="91" t="s">
        <v>212</v>
      </c>
      <c r="H307" s="104" t="str">
        <f t="shared" si="20"/>
        <v>F5444J30</v>
      </c>
      <c r="I307" s="104"/>
      <c r="J307" s="105">
        <v>76.23</v>
      </c>
      <c r="K307" s="106">
        <f>IF(D307="CAESARSTONE LTD",VLOOKUP(H307,'[2]GIA CA'!G:H,2,0),IF(OR(D307="STONE FACINGS LIMITED",D307="NORDIA SA",D307="INVICTUS STONE COUNTERTOPS INC",D307="QUARTZTOP LLC"),VLOOKUP(H307,'[2] Giá ngoài Mỹ - SI-GR'!$B$5:$AZ$84,51,0),IF(OR(D307="HYUNDAI L&amp;C CANADA INC",D307="Hyundai L&amp; C USA LLC"),VLOOKUP(H307,'[2]GIA HS'!A:D,4,0),IF(Y307="Mỹ",VLOOKUP(H307,'[2]giá mỹ từ 6.8.2025'!B:I,2,0),VLOOKUP(H307,'[2]giá ngoài mỹ 6.8.2025 (final)'!B:BP,51,0)))))</f>
        <v>92.5</v>
      </c>
      <c r="L307" s="106">
        <v>97.73</v>
      </c>
      <c r="M307" s="106">
        <f t="shared" si="19"/>
        <v>5.230000000000004</v>
      </c>
      <c r="N307" s="106">
        <v>97.73</v>
      </c>
      <c r="O307" s="106">
        <v>7450.32</v>
      </c>
      <c r="P307" s="107">
        <v>26110</v>
      </c>
      <c r="Q307" s="107">
        <v>194527855</v>
      </c>
      <c r="R307" s="102" t="s">
        <v>30</v>
      </c>
      <c r="S307" s="108"/>
      <c r="T307" s="109"/>
      <c r="U307" s="109"/>
      <c r="V307" s="102"/>
      <c r="W307" s="109"/>
      <c r="X307" s="109"/>
      <c r="Y307" s="110" t="s">
        <v>31</v>
      </c>
      <c r="Z307" s="111" t="str">
        <f>MID(E307,4,2)</f>
        <v>CA</v>
      </c>
    </row>
    <row r="308" spans="1:26" s="111" customFormat="1" x14ac:dyDescent="0.2">
      <c r="A308" s="101">
        <v>46239</v>
      </c>
      <c r="B308" s="91" t="s">
        <v>468</v>
      </c>
      <c r="C308" s="102" t="s">
        <v>469</v>
      </c>
      <c r="D308" s="103" t="s">
        <v>26</v>
      </c>
      <c r="E308" s="91" t="s">
        <v>470</v>
      </c>
      <c r="F308" s="91" t="s">
        <v>90</v>
      </c>
      <c r="G308" s="91" t="s">
        <v>91</v>
      </c>
      <c r="H308" s="104" t="str">
        <f t="shared" si="20"/>
        <v>F6131J30</v>
      </c>
      <c r="I308" s="104"/>
      <c r="J308" s="105">
        <v>38.119999999999997</v>
      </c>
      <c r="K308" s="106">
        <f>IF(D308="CAESARSTONE LTD",VLOOKUP(H308,'[2]GIA CA'!G:H,2,0),IF(OR(D308="STONE FACINGS LIMITED",D308="NORDIA SA",D308="INVICTUS STONE COUNTERTOPS INC",D308="QUARTZTOP LLC"),VLOOKUP(H308,'[2] Giá ngoài Mỹ - SI-GR'!$B$5:$AZ$84,51,0),IF(OR(D308="HYUNDAI L&amp;C CANADA INC",D308="Hyundai L&amp; C USA LLC"),VLOOKUP(H308,'[2]GIA HS'!A:D,4,0),IF(Y308="Mỹ",VLOOKUP(H308,'[2]giá mỹ từ 6.8.2025'!B:I,2,0),VLOOKUP(H308,'[2]giá ngoài mỹ 6.8.2025 (final)'!B:BP,51,0)))))</f>
        <v>77.5</v>
      </c>
      <c r="L308" s="106">
        <v>81</v>
      </c>
      <c r="M308" s="106">
        <f t="shared" si="19"/>
        <v>3.5</v>
      </c>
      <c r="N308" s="106">
        <v>81</v>
      </c>
      <c r="O308" s="107">
        <v>3087.72</v>
      </c>
      <c r="P308" s="107">
        <v>26110</v>
      </c>
      <c r="Q308" s="107">
        <v>80620369</v>
      </c>
      <c r="R308" s="102" t="s">
        <v>30</v>
      </c>
      <c r="S308" s="108"/>
      <c r="T308" s="109"/>
      <c r="U308" s="109"/>
      <c r="V308" s="102"/>
      <c r="W308" s="109"/>
      <c r="X308" s="109"/>
      <c r="Y308" s="110" t="s">
        <v>31</v>
      </c>
      <c r="Z308" s="111" t="str">
        <f>MID(E308,4,2)</f>
        <v>CA</v>
      </c>
    </row>
    <row r="309" spans="1:26" s="111" customFormat="1" x14ac:dyDescent="0.2">
      <c r="A309" s="101">
        <v>46239</v>
      </c>
      <c r="B309" s="91" t="s">
        <v>471</v>
      </c>
      <c r="C309" s="102" t="s">
        <v>472</v>
      </c>
      <c r="D309" s="103" t="s">
        <v>26</v>
      </c>
      <c r="E309" s="91" t="s">
        <v>473</v>
      </c>
      <c r="F309" s="91" t="s">
        <v>474</v>
      </c>
      <c r="G309" s="91" t="s">
        <v>475</v>
      </c>
      <c r="H309" s="104" t="str">
        <f t="shared" si="20"/>
        <v>C5100J20</v>
      </c>
      <c r="I309" s="104"/>
      <c r="J309" s="105">
        <v>4.46</v>
      </c>
      <c r="K309" s="106">
        <f>IF(D309="CAESARSTONE LTD",VLOOKUP(H309,'[2]GIA CA'!G:H,2,0),IF(OR(D309="STONE FACINGS LIMITED",D309="NORDIA SA",D309="INVICTUS STONE COUNTERTOPS INC",D309="QUARTZTOP LLC"),VLOOKUP(H309,'[2] Giá ngoài Mỹ - SI-GR'!$B$5:$AZ$84,51,0),IF(OR(D309="HYUNDAI L&amp;C CANADA INC",D309="Hyundai L&amp; C USA LLC"),VLOOKUP(H309,'[2]GIA HS'!A:D,4,0),IF(Y309="Mỹ",VLOOKUP(H309,'[2]giá mỹ từ 6.8.2025'!B:I,2,0),VLOOKUP(H309,'[2]giá ngoài mỹ 6.8.2025 (final)'!B:BP,51,0)))))</f>
        <v>59</v>
      </c>
      <c r="L309" s="106">
        <v>96</v>
      </c>
      <c r="M309" s="106">
        <f t="shared" si="19"/>
        <v>37</v>
      </c>
      <c r="N309" s="106">
        <v>96</v>
      </c>
      <c r="O309" s="106">
        <v>428.16</v>
      </c>
      <c r="P309" s="107">
        <v>26110</v>
      </c>
      <c r="Q309" s="107">
        <v>11179258</v>
      </c>
      <c r="R309" s="102"/>
      <c r="S309" s="108"/>
      <c r="T309" s="109" t="s">
        <v>30</v>
      </c>
      <c r="U309" s="109"/>
      <c r="V309" s="102"/>
      <c r="W309" s="109"/>
      <c r="X309" s="109"/>
      <c r="Y309" s="110" t="s">
        <v>31</v>
      </c>
      <c r="Z309" s="111" t="str">
        <f>MID(E309,4,2)</f>
        <v>CA</v>
      </c>
    </row>
    <row r="310" spans="1:26" s="111" customFormat="1" x14ac:dyDescent="0.2">
      <c r="A310" s="101">
        <v>46239</v>
      </c>
      <c r="B310" s="91" t="s">
        <v>471</v>
      </c>
      <c r="C310" s="102" t="s">
        <v>472</v>
      </c>
      <c r="D310" s="103" t="s">
        <v>26</v>
      </c>
      <c r="E310" s="91" t="s">
        <v>473</v>
      </c>
      <c r="F310" s="91" t="s">
        <v>279</v>
      </c>
      <c r="G310" s="91" t="s">
        <v>280</v>
      </c>
      <c r="H310" s="104" t="str">
        <f t="shared" si="20"/>
        <v>F4011J30</v>
      </c>
      <c r="I310" s="104"/>
      <c r="J310" s="105">
        <v>92.57</v>
      </c>
      <c r="K310" s="106">
        <f t="shared" ref="K310:K311" si="22">+L310</f>
        <v>79</v>
      </c>
      <c r="L310" s="106">
        <v>79</v>
      </c>
      <c r="M310" s="106">
        <f t="shared" si="19"/>
        <v>0</v>
      </c>
      <c r="N310" s="106">
        <v>79</v>
      </c>
      <c r="O310" s="107">
        <v>7313.03</v>
      </c>
      <c r="P310" s="107">
        <v>26110</v>
      </c>
      <c r="Q310" s="107">
        <v>190943213</v>
      </c>
      <c r="R310" s="102" t="s">
        <v>30</v>
      </c>
      <c r="S310" s="108"/>
      <c r="T310" s="109"/>
      <c r="U310" s="109"/>
      <c r="V310" s="102"/>
      <c r="W310" s="109"/>
      <c r="X310" s="109"/>
      <c r="Y310" s="110" t="s">
        <v>31</v>
      </c>
      <c r="Z310" s="111" t="str">
        <f>MID(E310,4,2)</f>
        <v>CA</v>
      </c>
    </row>
    <row r="311" spans="1:26" s="111" customFormat="1" x14ac:dyDescent="0.2">
      <c r="A311" s="101">
        <v>46239</v>
      </c>
      <c r="B311" s="91" t="s">
        <v>471</v>
      </c>
      <c r="C311" s="102" t="s">
        <v>472</v>
      </c>
      <c r="D311" s="103" t="s">
        <v>26</v>
      </c>
      <c r="E311" s="91" t="s">
        <v>473</v>
      </c>
      <c r="F311" s="91" t="s">
        <v>34</v>
      </c>
      <c r="G311" s="91" t="s">
        <v>35</v>
      </c>
      <c r="H311" s="104" t="str">
        <f t="shared" si="20"/>
        <v>F5003J20</v>
      </c>
      <c r="I311" s="104"/>
      <c r="J311" s="105">
        <v>54.45</v>
      </c>
      <c r="K311" s="106">
        <f t="shared" si="22"/>
        <v>63</v>
      </c>
      <c r="L311" s="106">
        <v>63</v>
      </c>
      <c r="M311" s="106">
        <f t="shared" si="19"/>
        <v>0</v>
      </c>
      <c r="N311" s="106">
        <v>63</v>
      </c>
      <c r="O311" s="107">
        <v>3430.35</v>
      </c>
      <c r="P311" s="107">
        <v>26110</v>
      </c>
      <c r="Q311" s="107">
        <v>89566439</v>
      </c>
      <c r="R311" s="102" t="s">
        <v>30</v>
      </c>
      <c r="S311" s="108"/>
      <c r="T311" s="109"/>
      <c r="U311" s="109"/>
      <c r="V311" s="102"/>
      <c r="W311" s="109"/>
      <c r="X311" s="109"/>
      <c r="Y311" s="110" t="s">
        <v>31</v>
      </c>
      <c r="Z311" s="111" t="str">
        <f>MID(E311,4,2)</f>
        <v>CA</v>
      </c>
    </row>
    <row r="312" spans="1:26" s="111" customFormat="1" x14ac:dyDescent="0.2">
      <c r="A312" s="101">
        <v>46239</v>
      </c>
      <c r="B312" s="91" t="s">
        <v>471</v>
      </c>
      <c r="C312" s="102" t="s">
        <v>472</v>
      </c>
      <c r="D312" s="103" t="s">
        <v>26</v>
      </c>
      <c r="E312" s="91" t="s">
        <v>473</v>
      </c>
      <c r="F312" s="91" t="s">
        <v>88</v>
      </c>
      <c r="G312" s="91" t="s">
        <v>89</v>
      </c>
      <c r="H312" s="104" t="str">
        <f t="shared" si="20"/>
        <v>F5131J20</v>
      </c>
      <c r="I312" s="104"/>
      <c r="J312" s="105">
        <v>54.45</v>
      </c>
      <c r="K312" s="106">
        <f>IF(D312="CAESARSTONE LTD",VLOOKUP(H312,'[2]GIA CA'!G:H,2,0),IF(OR(D312="STONE FACINGS LIMITED",D312="NORDIA SA",D312="INVICTUS STONE COUNTERTOPS INC",D312="QUARTZTOP LLC"),VLOOKUP(H312,'[2] Giá ngoài Mỹ - SI-GR'!$B$5:$AZ$84,51,0),IF(OR(D312="HYUNDAI L&amp;C CANADA INC",D312="Hyundai L&amp; C USA LLC"),VLOOKUP(H312,'[2]GIA HS'!A:D,4,0),IF(Y312="Mỹ",VLOOKUP(H312,'[2]giá mỹ từ 6.8.2025'!B:I,2,0),VLOOKUP(H312,'[2]giá ngoài mỹ 6.8.2025 (final)'!B:BP,51,0)))))</f>
        <v>60</v>
      </c>
      <c r="L312" s="106">
        <v>63.44</v>
      </c>
      <c r="M312" s="106">
        <f t="shared" si="19"/>
        <v>3.4399999999999977</v>
      </c>
      <c r="N312" s="106">
        <v>63.44</v>
      </c>
      <c r="O312" s="107">
        <v>3454.38</v>
      </c>
      <c r="P312" s="107">
        <v>26110</v>
      </c>
      <c r="Q312" s="107">
        <v>90193862</v>
      </c>
      <c r="R312" s="102" t="s">
        <v>30</v>
      </c>
      <c r="S312" s="108"/>
      <c r="T312" s="109"/>
      <c r="U312" s="109"/>
      <c r="V312" s="102"/>
      <c r="W312" s="109"/>
      <c r="X312" s="109"/>
      <c r="Y312" s="110" t="s">
        <v>31</v>
      </c>
      <c r="Z312" s="111" t="str">
        <f>MID(E312,4,2)</f>
        <v>CA</v>
      </c>
    </row>
    <row r="313" spans="1:26" s="111" customFormat="1" x14ac:dyDescent="0.2">
      <c r="A313" s="101">
        <v>46239</v>
      </c>
      <c r="B313" s="91" t="s">
        <v>471</v>
      </c>
      <c r="C313" s="102" t="s">
        <v>472</v>
      </c>
      <c r="D313" s="103" t="s">
        <v>26</v>
      </c>
      <c r="E313" s="91" t="s">
        <v>473</v>
      </c>
      <c r="F313" s="91" t="s">
        <v>38</v>
      </c>
      <c r="G313" s="91" t="s">
        <v>39</v>
      </c>
      <c r="H313" s="104" t="str">
        <f t="shared" si="20"/>
        <v>F5143J30</v>
      </c>
      <c r="I313" s="104"/>
      <c r="J313" s="105">
        <v>38.119999999999997</v>
      </c>
      <c r="K313" s="106">
        <f>IF(D313="CAESARSTONE LTD",VLOOKUP(H313,'[2]GIA CA'!G:H,2,0),IF(OR(D313="STONE FACINGS LIMITED",D313="NORDIA SA",D313="INVICTUS STONE COUNTERTOPS INC",D313="QUARTZTOP LLC"),VLOOKUP(H313,'[2] Giá ngoài Mỹ - SI-GR'!$B$5:$AZ$84,51,0),IF(OR(D313="HYUNDAI L&amp;C CANADA INC",D313="Hyundai L&amp; C USA LLC"),VLOOKUP(H313,'[2]GIA HS'!A:D,4,0),IF(Y313="Mỹ",VLOOKUP(H313,'[2]giá mỹ từ 6.8.2025'!B:I,2,0),VLOOKUP(H313,'[2]giá ngoài mỹ 6.8.2025 (final)'!B:BP,51,0)))))</f>
        <v>77.5</v>
      </c>
      <c r="L313" s="106">
        <v>81</v>
      </c>
      <c r="M313" s="106">
        <f t="shared" si="19"/>
        <v>3.5</v>
      </c>
      <c r="N313" s="106">
        <v>81</v>
      </c>
      <c r="O313" s="106">
        <v>3087.72</v>
      </c>
      <c r="P313" s="107">
        <v>26110</v>
      </c>
      <c r="Q313" s="107">
        <v>80620369</v>
      </c>
      <c r="R313" s="102" t="s">
        <v>30</v>
      </c>
      <c r="S313" s="108"/>
      <c r="T313" s="109"/>
      <c r="U313" s="109"/>
      <c r="V313" s="102"/>
      <c r="W313" s="109"/>
      <c r="X313" s="109"/>
      <c r="Y313" s="110" t="s">
        <v>31</v>
      </c>
      <c r="Z313" s="111" t="str">
        <f>MID(E313,4,2)</f>
        <v>CA</v>
      </c>
    </row>
    <row r="314" spans="1:26" s="111" customFormat="1" x14ac:dyDescent="0.2">
      <c r="A314" s="101">
        <v>46239</v>
      </c>
      <c r="B314" s="91" t="s">
        <v>471</v>
      </c>
      <c r="C314" s="102" t="s">
        <v>472</v>
      </c>
      <c r="D314" s="103" t="s">
        <v>26</v>
      </c>
      <c r="E314" s="91" t="s">
        <v>473</v>
      </c>
      <c r="F314" s="91" t="s">
        <v>458</v>
      </c>
      <c r="G314" s="91" t="s">
        <v>459</v>
      </c>
      <c r="H314" s="104" t="str">
        <f t="shared" si="20"/>
        <v>F6131J20</v>
      </c>
      <c r="I314" s="104"/>
      <c r="J314" s="105">
        <v>114.35</v>
      </c>
      <c r="K314" s="106">
        <f>IF(D314="CAESARSTONE LTD",VLOOKUP(H314,'[2]GIA CA'!G:H,2,0),IF(OR(D314="STONE FACINGS LIMITED",D314="NORDIA SA",D314="INVICTUS STONE COUNTERTOPS INC",D314="QUARTZTOP LLC"),VLOOKUP(H314,'[2] Giá ngoài Mỹ - SI-GR'!$B$5:$AZ$84,51,0),IF(OR(D314="HYUNDAI L&amp;C CANADA INC",D314="Hyundai L&amp; C USA LLC"),VLOOKUP(H314,'[2]GIA HS'!A:D,4,0),IF(Y314="Mỹ",VLOOKUP(H314,'[2]giá mỹ từ 6.8.2025'!B:I,2,0),VLOOKUP(H314,'[2]giá ngoài mỹ 6.8.2025 (final)'!B:BP,51,0)))))</f>
        <v>62</v>
      </c>
      <c r="L314" s="106">
        <v>65</v>
      </c>
      <c r="M314" s="106">
        <f t="shared" si="19"/>
        <v>3</v>
      </c>
      <c r="N314" s="106">
        <v>65</v>
      </c>
      <c r="O314" s="106">
        <v>7432.75</v>
      </c>
      <c r="P314" s="107">
        <v>26110</v>
      </c>
      <c r="Q314" s="107">
        <v>194069103</v>
      </c>
      <c r="R314" s="102" t="s">
        <v>30</v>
      </c>
      <c r="S314" s="108"/>
      <c r="T314" s="109"/>
      <c r="U314" s="109"/>
      <c r="V314" s="102"/>
      <c r="W314" s="109"/>
      <c r="X314" s="109"/>
      <c r="Y314" s="110" t="s">
        <v>31</v>
      </c>
      <c r="Z314" s="111" t="str">
        <f>MID(E314,4,2)</f>
        <v>CA</v>
      </c>
    </row>
    <row r="315" spans="1:26" s="111" customFormat="1" x14ac:dyDescent="0.2">
      <c r="A315" s="101">
        <v>46239</v>
      </c>
      <c r="B315" s="91" t="s">
        <v>471</v>
      </c>
      <c r="C315" s="102" t="s">
        <v>472</v>
      </c>
      <c r="D315" s="103" t="s">
        <v>26</v>
      </c>
      <c r="E315" s="91" t="s">
        <v>473</v>
      </c>
      <c r="F315" s="91" t="s">
        <v>90</v>
      </c>
      <c r="G315" s="91" t="s">
        <v>91</v>
      </c>
      <c r="H315" s="104" t="str">
        <f t="shared" si="20"/>
        <v>F6131J30</v>
      </c>
      <c r="I315" s="104"/>
      <c r="J315" s="105">
        <v>38.119999999999997</v>
      </c>
      <c r="K315" s="106">
        <f>IF(D315="CAESARSTONE LTD",VLOOKUP(H315,'[2]GIA CA'!G:H,2,0),IF(OR(D315="STONE FACINGS LIMITED",D315="NORDIA SA",D315="INVICTUS STONE COUNTERTOPS INC",D315="QUARTZTOP LLC"),VLOOKUP(H315,'[2] Giá ngoài Mỹ - SI-GR'!$B$5:$AZ$84,51,0),IF(OR(D315="HYUNDAI L&amp;C CANADA INC",D315="Hyundai L&amp; C USA LLC"),VLOOKUP(H315,'[2]GIA HS'!A:D,4,0),IF(Y315="Mỹ",VLOOKUP(H315,'[2]giá mỹ từ 6.8.2025'!B:I,2,0),VLOOKUP(H315,'[2]giá ngoài mỹ 6.8.2025 (final)'!B:BP,51,0)))))</f>
        <v>77.5</v>
      </c>
      <c r="L315" s="106">
        <v>77</v>
      </c>
      <c r="M315" s="106">
        <f t="shared" si="19"/>
        <v>-0.5</v>
      </c>
      <c r="N315" s="106">
        <v>77</v>
      </c>
      <c r="O315" s="106">
        <v>2935.24</v>
      </c>
      <c r="P315" s="107">
        <v>26110</v>
      </c>
      <c r="Q315" s="107">
        <v>76639116</v>
      </c>
      <c r="R315" s="102" t="s">
        <v>30</v>
      </c>
      <c r="S315" s="108"/>
      <c r="T315" s="109"/>
      <c r="U315" s="109"/>
      <c r="V315" s="102"/>
      <c r="W315" s="109"/>
      <c r="X315" s="109"/>
      <c r="Y315" s="110" t="s">
        <v>31</v>
      </c>
      <c r="Z315" s="111" t="str">
        <f>MID(E315,4,2)</f>
        <v>CA</v>
      </c>
    </row>
    <row r="316" spans="1:26" s="111" customFormat="1" x14ac:dyDescent="0.2">
      <c r="A316" s="101">
        <v>46239</v>
      </c>
      <c r="B316" s="91" t="s">
        <v>476</v>
      </c>
      <c r="C316" s="102" t="s">
        <v>477</v>
      </c>
      <c r="D316" s="103" t="s">
        <v>47</v>
      </c>
      <c r="E316" s="91" t="s">
        <v>478</v>
      </c>
      <c r="F316" s="91" t="s">
        <v>479</v>
      </c>
      <c r="G316" s="91" t="s">
        <v>480</v>
      </c>
      <c r="H316" s="104" t="str">
        <f t="shared" si="20"/>
        <v>C4342J30</v>
      </c>
      <c r="I316" s="104"/>
      <c r="J316" s="105">
        <v>141.57</v>
      </c>
      <c r="K316" s="106"/>
      <c r="L316" s="106">
        <v>0</v>
      </c>
      <c r="M316" s="106">
        <f t="shared" si="19"/>
        <v>0</v>
      </c>
      <c r="N316" s="106">
        <v>83.09</v>
      </c>
      <c r="O316" s="106">
        <v>11762.92</v>
      </c>
      <c r="P316" s="107">
        <v>26110</v>
      </c>
      <c r="Q316" s="107">
        <v>307129841</v>
      </c>
      <c r="R316" s="102" t="s">
        <v>30</v>
      </c>
      <c r="S316" s="108"/>
      <c r="T316" s="109"/>
      <c r="U316" s="109"/>
      <c r="V316" s="102"/>
      <c r="W316" s="109"/>
      <c r="X316" s="109"/>
      <c r="Y316" s="110" t="s">
        <v>31</v>
      </c>
      <c r="Z316" s="111" t="str">
        <f>MID(E316,4,2)</f>
        <v>AT</v>
      </c>
    </row>
    <row r="317" spans="1:26" s="111" customFormat="1" x14ac:dyDescent="0.2">
      <c r="A317" s="101">
        <v>46239</v>
      </c>
      <c r="B317" s="91" t="s">
        <v>476</v>
      </c>
      <c r="C317" s="102" t="s">
        <v>477</v>
      </c>
      <c r="D317" s="103" t="s">
        <v>47</v>
      </c>
      <c r="E317" s="91" t="s">
        <v>478</v>
      </c>
      <c r="F317" s="91" t="s">
        <v>481</v>
      </c>
      <c r="G317" s="91" t="s">
        <v>480</v>
      </c>
      <c r="H317" s="104" t="str">
        <f t="shared" si="20"/>
        <v>C4342J30</v>
      </c>
      <c r="I317" s="104"/>
      <c r="J317" s="105">
        <v>174.24</v>
      </c>
      <c r="K317" s="106"/>
      <c r="L317" s="106">
        <v>0</v>
      </c>
      <c r="M317" s="106">
        <f t="shared" si="19"/>
        <v>0</v>
      </c>
      <c r="N317" s="106">
        <v>83.09</v>
      </c>
      <c r="O317" s="106">
        <v>14477.44</v>
      </c>
      <c r="P317" s="107">
        <v>26110</v>
      </c>
      <c r="Q317" s="107">
        <v>378005958</v>
      </c>
      <c r="R317" s="102" t="s">
        <v>30</v>
      </c>
      <c r="S317" s="108"/>
      <c r="T317" s="109"/>
      <c r="U317" s="109"/>
      <c r="V317" s="102"/>
      <c r="W317" s="109"/>
      <c r="X317" s="109"/>
      <c r="Y317" s="110" t="s">
        <v>31</v>
      </c>
      <c r="Z317" s="111" t="str">
        <f>MID(E317,4,2)</f>
        <v>AT</v>
      </c>
    </row>
    <row r="318" spans="1:26" s="111" customFormat="1" x14ac:dyDescent="0.2">
      <c r="A318" s="101">
        <v>46239</v>
      </c>
      <c r="B318" s="91" t="s">
        <v>482</v>
      </c>
      <c r="C318" s="102" t="s">
        <v>483</v>
      </c>
      <c r="D318" s="103" t="s">
        <v>47</v>
      </c>
      <c r="E318" s="91" t="s">
        <v>484</v>
      </c>
      <c r="F318" s="91" t="s">
        <v>479</v>
      </c>
      <c r="G318" s="91" t="s">
        <v>480</v>
      </c>
      <c r="H318" s="104" t="str">
        <f t="shared" si="20"/>
        <v>C4342J30</v>
      </c>
      <c r="I318" s="104"/>
      <c r="J318" s="105">
        <v>315.81</v>
      </c>
      <c r="K318" s="106">
        <f>IF(D318="CAESARSTONE LTD",VLOOKUP(H318,'[2]GIA CA'!G:H,2,0),IF(OR(D318="STONE FACINGS LIMITED",D318="NORDIA SA",D318="INVICTUS STONE COUNTERTOPS INC",D318="QUARTZTOP LLC"),VLOOKUP(H318,'[2] Giá ngoài Mỹ - SI-GR'!$B$5:$AZ$84,51,0),IF(OR(D318="HYUNDAI L&amp;C CANADA INC",D318="Hyundai L&amp; C USA LLC"),VLOOKUP(H318,'[2]GIA HS'!A:D,4,0),IF(Y318="Mỹ",VLOOKUP(H318,'[2]giá mỹ từ 6.8.2025'!B:I,2,0),VLOOKUP(H318,'[2]giá ngoài mỹ 6.8.2025 (final)'!B:BP,51,0)))))</f>
        <v>79</v>
      </c>
      <c r="L318" s="106">
        <v>83.09</v>
      </c>
      <c r="M318" s="106">
        <f t="shared" si="19"/>
        <v>4.0900000000000034</v>
      </c>
      <c r="N318" s="106">
        <v>83.09</v>
      </c>
      <c r="O318" s="106">
        <v>26240.36</v>
      </c>
      <c r="P318" s="107">
        <v>26110</v>
      </c>
      <c r="Q318" s="107">
        <v>685135800</v>
      </c>
      <c r="R318" s="102" t="s">
        <v>30</v>
      </c>
      <c r="S318" s="108"/>
      <c r="T318" s="109"/>
      <c r="U318" s="109"/>
      <c r="V318" s="102"/>
      <c r="W318" s="109"/>
      <c r="X318" s="109"/>
      <c r="Y318" s="110" t="s">
        <v>31</v>
      </c>
      <c r="Z318" s="111" t="str">
        <f>MID(E318,4,2)</f>
        <v>AT</v>
      </c>
    </row>
    <row r="319" spans="1:26" s="111" customFormat="1" x14ac:dyDescent="0.2">
      <c r="A319" s="101">
        <v>46239</v>
      </c>
      <c r="B319" s="91" t="s">
        <v>485</v>
      </c>
      <c r="C319" s="102" t="s">
        <v>486</v>
      </c>
      <c r="D319" s="103" t="s">
        <v>26</v>
      </c>
      <c r="E319" s="91" t="s">
        <v>487</v>
      </c>
      <c r="F319" s="91" t="s">
        <v>232</v>
      </c>
      <c r="G319" s="91" t="s">
        <v>233</v>
      </c>
      <c r="H319" s="104" t="str">
        <f t="shared" si="20"/>
        <v>C4003J30</v>
      </c>
      <c r="I319" s="104"/>
      <c r="J319" s="105">
        <v>38.119999999999997</v>
      </c>
      <c r="K319" s="106">
        <f>IF(D319="CAESARSTONE LTD",VLOOKUP(H319,'[2]GIA CA'!G:H,2,0),IF(OR(D319="STONE FACINGS LIMITED",D319="NORDIA SA",D319="INVICTUS STONE COUNTERTOPS INC",D319="QUARTZTOP LLC"),VLOOKUP(H319,'[2] Giá ngoài Mỹ - SI-GR'!$B$5:$AZ$84,51,0),IF(OR(D319="HYUNDAI L&amp;C CANADA INC",D319="Hyundai L&amp; C USA LLC"),VLOOKUP(H319,'[2]GIA HS'!A:D,4,0),IF(Y319="Mỹ",VLOOKUP(H319,'[2]giá mỹ từ 6.8.2025'!B:I,2,0),VLOOKUP(H319,'[2]giá ngoài mỹ 6.8.2025 (final)'!B:BP,51,0)))))</f>
        <v>68.75</v>
      </c>
      <c r="L319" s="106">
        <v>72.19</v>
      </c>
      <c r="M319" s="106">
        <f t="shared" si="19"/>
        <v>3.4399999999999977</v>
      </c>
      <c r="N319" s="106">
        <v>72</v>
      </c>
      <c r="O319" s="106">
        <v>2744.64</v>
      </c>
      <c r="P319" s="107">
        <v>26110</v>
      </c>
      <c r="Q319" s="107">
        <v>71662550</v>
      </c>
      <c r="R319" s="102" t="s">
        <v>30</v>
      </c>
      <c r="S319" s="108"/>
      <c r="T319" s="109"/>
      <c r="U319" s="109"/>
      <c r="V319" s="102"/>
      <c r="W319" s="109"/>
      <c r="X319" s="109"/>
      <c r="Y319" s="110" t="s">
        <v>31</v>
      </c>
      <c r="Z319" s="111" t="str">
        <f>MID(E319,4,2)</f>
        <v>CA</v>
      </c>
    </row>
    <row r="320" spans="1:26" s="111" customFormat="1" x14ac:dyDescent="0.2">
      <c r="A320" s="101">
        <v>46239</v>
      </c>
      <c r="B320" s="91" t="s">
        <v>485</v>
      </c>
      <c r="C320" s="102" t="s">
        <v>486</v>
      </c>
      <c r="D320" s="103" t="s">
        <v>26</v>
      </c>
      <c r="E320" s="91" t="s">
        <v>487</v>
      </c>
      <c r="F320" s="91" t="s">
        <v>68</v>
      </c>
      <c r="G320" s="91" t="s">
        <v>69</v>
      </c>
      <c r="H320" s="104" t="str">
        <f t="shared" si="20"/>
        <v>C4004J30</v>
      </c>
      <c r="I320" s="104"/>
      <c r="J320" s="105">
        <v>76.23</v>
      </c>
      <c r="K320" s="106">
        <f>IF(D320="CAESARSTONE LTD",VLOOKUP(H320,'[2]GIA CA'!G:H,2,0),IF(OR(D320="STONE FACINGS LIMITED",D320="NORDIA SA",D320="INVICTUS STONE COUNTERTOPS INC",D320="QUARTZTOP LLC"),VLOOKUP(H320,'[2] Giá ngoài Mỹ - SI-GR'!$B$5:$AZ$84,51,0),IF(OR(D320="HYUNDAI L&amp;C CANADA INC",D320="Hyundai L&amp; C USA LLC"),VLOOKUP(H320,'[2]GIA HS'!A:D,4,0),IF(Y320="Mỹ",VLOOKUP(H320,'[2]giá mỹ từ 6.8.2025'!B:I,2,0),VLOOKUP(H320,'[2]giá ngoài mỹ 6.8.2025 (final)'!B:BP,51,0)))))</f>
        <v>68.75</v>
      </c>
      <c r="L320" s="106">
        <v>72.2</v>
      </c>
      <c r="M320" s="106">
        <f t="shared" si="19"/>
        <v>3.4500000000000028</v>
      </c>
      <c r="N320" s="106">
        <v>72</v>
      </c>
      <c r="O320" s="106">
        <v>5488.56</v>
      </c>
      <c r="P320" s="107">
        <v>26110</v>
      </c>
      <c r="Q320" s="107">
        <v>143306302</v>
      </c>
      <c r="R320" s="102" t="s">
        <v>30</v>
      </c>
      <c r="S320" s="108"/>
      <c r="T320" s="109"/>
      <c r="U320" s="109"/>
      <c r="V320" s="102"/>
      <c r="W320" s="109"/>
      <c r="X320" s="109"/>
      <c r="Y320" s="110" t="s">
        <v>31</v>
      </c>
      <c r="Z320" s="111" t="str">
        <f>MID(E320,4,2)</f>
        <v>CA</v>
      </c>
    </row>
    <row r="321" spans="1:26" s="111" customFormat="1" x14ac:dyDescent="0.2">
      <c r="A321" s="101">
        <v>46239</v>
      </c>
      <c r="B321" s="91" t="s">
        <v>485</v>
      </c>
      <c r="C321" s="102" t="s">
        <v>486</v>
      </c>
      <c r="D321" s="103" t="s">
        <v>26</v>
      </c>
      <c r="E321" s="91" t="s">
        <v>487</v>
      </c>
      <c r="F321" s="91" t="s">
        <v>383</v>
      </c>
      <c r="G321" s="91" t="s">
        <v>384</v>
      </c>
      <c r="H321" s="104" t="str">
        <f t="shared" si="20"/>
        <v>C5141J30</v>
      </c>
      <c r="I321" s="104"/>
      <c r="J321" s="105">
        <v>38.119999999999997</v>
      </c>
      <c r="K321" s="106">
        <f>IF(D321="CAESARSTONE LTD",VLOOKUP(H321,'[2]GIA CA'!G:H,2,0),IF(OR(D321="STONE FACINGS LIMITED",D321="NORDIA SA",D321="INVICTUS STONE COUNTERTOPS INC",D321="QUARTZTOP LLC"),VLOOKUP(H321,'[2] Giá ngoài Mỹ - SI-GR'!$B$5:$AZ$84,51,0),IF(OR(D321="HYUNDAI L&amp;C CANADA INC",D321="Hyundai L&amp; C USA LLC"),VLOOKUP(H321,'[2]GIA HS'!A:D,4,0),IF(Y321="Mỹ",VLOOKUP(H321,'[2]giá mỹ từ 6.8.2025'!B:I,2,0),VLOOKUP(H321,'[2]giá ngoài mỹ 6.8.2025 (final)'!B:BP,51,0)))))</f>
        <v>68.75</v>
      </c>
      <c r="L321" s="106">
        <v>72.19</v>
      </c>
      <c r="M321" s="106">
        <f t="shared" si="19"/>
        <v>3.4399999999999977</v>
      </c>
      <c r="N321" s="106">
        <v>72</v>
      </c>
      <c r="O321" s="106">
        <v>2744.64</v>
      </c>
      <c r="P321" s="107">
        <v>26110</v>
      </c>
      <c r="Q321" s="107">
        <v>71662550</v>
      </c>
      <c r="R321" s="102" t="s">
        <v>30</v>
      </c>
      <c r="S321" s="108"/>
      <c r="T321" s="109"/>
      <c r="U321" s="109"/>
      <c r="V321" s="102"/>
      <c r="W321" s="109"/>
      <c r="X321" s="109"/>
      <c r="Y321" s="110" t="s">
        <v>31</v>
      </c>
      <c r="Z321" s="111" t="str">
        <f>MID(E321,4,2)</f>
        <v>CA</v>
      </c>
    </row>
    <row r="322" spans="1:26" s="111" customFormat="1" x14ac:dyDescent="0.2">
      <c r="A322" s="101">
        <v>46239</v>
      </c>
      <c r="B322" s="91" t="s">
        <v>485</v>
      </c>
      <c r="C322" s="102" t="s">
        <v>486</v>
      </c>
      <c r="D322" s="103" t="s">
        <v>26</v>
      </c>
      <c r="E322" s="91" t="s">
        <v>487</v>
      </c>
      <c r="F322" s="91" t="s">
        <v>72</v>
      </c>
      <c r="G322" s="91" t="s">
        <v>73</v>
      </c>
      <c r="H322" s="104" t="str">
        <f t="shared" si="20"/>
        <v>C5143J30</v>
      </c>
      <c r="I322" s="104"/>
      <c r="J322" s="105">
        <v>21.79</v>
      </c>
      <c r="K322" s="106">
        <f>IF(D322="CAESARSTONE LTD",VLOOKUP(H322,'[2]GIA CA'!G:H,2,0),IF(OR(D322="STONE FACINGS LIMITED",D322="NORDIA SA",D322="INVICTUS STONE COUNTERTOPS INC",D322="QUARTZTOP LLC"),VLOOKUP(H322,'[2] Giá ngoài Mỹ - SI-GR'!$B$5:$AZ$84,51,0),IF(OR(D322="HYUNDAI L&amp;C CANADA INC",D322="Hyundai L&amp; C USA LLC"),VLOOKUP(H322,'[2]GIA HS'!A:D,4,0),IF(Y322="Mỹ",VLOOKUP(H322,'[2]giá mỹ từ 6.8.2025'!B:I,2,0),VLOOKUP(H322,'[2]giá ngoài mỹ 6.8.2025 (final)'!B:BP,51,0)))))</f>
        <v>73.75</v>
      </c>
      <c r="L322" s="106">
        <v>77.39</v>
      </c>
      <c r="M322" s="106">
        <f t="shared" si="19"/>
        <v>3.6400000000000006</v>
      </c>
      <c r="N322" s="106">
        <v>77</v>
      </c>
      <c r="O322" s="106">
        <v>1677.83</v>
      </c>
      <c r="P322" s="107">
        <v>26110</v>
      </c>
      <c r="Q322" s="107">
        <v>43808141</v>
      </c>
      <c r="R322" s="102" t="s">
        <v>30</v>
      </c>
      <c r="S322" s="108"/>
      <c r="T322" s="109"/>
      <c r="U322" s="109"/>
      <c r="V322" s="102"/>
      <c r="W322" s="109"/>
      <c r="X322" s="109"/>
      <c r="Y322" s="110" t="s">
        <v>31</v>
      </c>
      <c r="Z322" s="111" t="str">
        <f>MID(E322,4,2)</f>
        <v>CA</v>
      </c>
    </row>
    <row r="323" spans="1:26" s="111" customFormat="1" x14ac:dyDescent="0.2">
      <c r="A323" s="101">
        <v>46239</v>
      </c>
      <c r="B323" s="91" t="s">
        <v>485</v>
      </c>
      <c r="C323" s="102" t="s">
        <v>486</v>
      </c>
      <c r="D323" s="103" t="s">
        <v>26</v>
      </c>
      <c r="E323" s="91" t="s">
        <v>487</v>
      </c>
      <c r="F323" s="91" t="s">
        <v>237</v>
      </c>
      <c r="G323" s="91" t="s">
        <v>73</v>
      </c>
      <c r="H323" s="104" t="str">
        <f t="shared" si="20"/>
        <v>C5143J30</v>
      </c>
      <c r="I323" s="104"/>
      <c r="J323" s="105">
        <v>54.45</v>
      </c>
      <c r="K323" s="106">
        <f>IF(D323="CAESARSTONE LTD",VLOOKUP(H323,'[2]GIA CA'!G:H,2,0),IF(OR(D323="STONE FACINGS LIMITED",D323="NORDIA SA",D323="INVICTUS STONE COUNTERTOPS INC",D323="QUARTZTOP LLC"),VLOOKUP(H323,'[2] Giá ngoài Mỹ - SI-GR'!$B$5:$AZ$84,51,0),IF(OR(D323="HYUNDAI L&amp;C CANADA INC",D323="Hyundai L&amp; C USA LLC"),VLOOKUP(H323,'[2]GIA HS'!A:D,4,0),IF(Y323="Mỹ",VLOOKUP(H323,'[2]giá mỹ từ 6.8.2025'!B:I,2,0),VLOOKUP(H323,'[2]giá ngoài mỹ 6.8.2025 (final)'!B:BP,51,0)))))</f>
        <v>73.75</v>
      </c>
      <c r="L323" s="106">
        <v>77.39</v>
      </c>
      <c r="M323" s="106">
        <f t="shared" si="19"/>
        <v>3.6400000000000006</v>
      </c>
      <c r="N323" s="106">
        <v>77</v>
      </c>
      <c r="O323" s="106">
        <v>4192.6499999999996</v>
      </c>
      <c r="P323" s="107">
        <v>26110</v>
      </c>
      <c r="Q323" s="107">
        <v>109470092</v>
      </c>
      <c r="R323" s="102" t="s">
        <v>30</v>
      </c>
      <c r="S323" s="108"/>
      <c r="T323" s="109"/>
      <c r="U323" s="109"/>
      <c r="V323" s="102"/>
      <c r="W323" s="109"/>
      <c r="X323" s="109"/>
      <c r="Y323" s="110" t="s">
        <v>31</v>
      </c>
      <c r="Z323" s="111" t="str">
        <f>MID(E323,4,2)</f>
        <v>CA</v>
      </c>
    </row>
    <row r="324" spans="1:26" s="111" customFormat="1" x14ac:dyDescent="0.2">
      <c r="A324" s="101">
        <v>46239</v>
      </c>
      <c r="B324" s="91" t="s">
        <v>485</v>
      </c>
      <c r="C324" s="102" t="s">
        <v>486</v>
      </c>
      <c r="D324" s="103" t="s">
        <v>26</v>
      </c>
      <c r="E324" s="91" t="s">
        <v>487</v>
      </c>
      <c r="F324" s="91" t="s">
        <v>76</v>
      </c>
      <c r="G324" s="91" t="s">
        <v>75</v>
      </c>
      <c r="H324" s="104" t="str">
        <f t="shared" si="20"/>
        <v>C5151J30</v>
      </c>
      <c r="I324" s="104"/>
      <c r="J324" s="105">
        <v>38.119999999999997</v>
      </c>
      <c r="K324" s="106">
        <f>IF(D324="CAESARSTONE LTD",VLOOKUP(H324,'[2]GIA CA'!G:H,2,0),IF(OR(D324="STONE FACINGS LIMITED",D324="NORDIA SA",D324="INVICTUS STONE COUNTERTOPS INC",D324="QUARTZTOP LLC"),VLOOKUP(H324,'[2] Giá ngoài Mỹ - SI-GR'!$B$5:$AZ$84,51,0),IF(OR(D324="HYUNDAI L&amp;C CANADA INC",D324="Hyundai L&amp; C USA LLC"),VLOOKUP(H324,'[2]GIA HS'!A:D,4,0),IF(Y324="Mỹ",VLOOKUP(H324,'[2]giá mỹ từ 6.8.2025'!B:I,2,0),VLOOKUP(H324,'[2]giá ngoài mỹ 6.8.2025 (final)'!B:BP,51,0)))))</f>
        <v>81.25</v>
      </c>
      <c r="L324" s="106">
        <v>85.3</v>
      </c>
      <c r="M324" s="106">
        <f t="shared" si="19"/>
        <v>4.0499999999999972</v>
      </c>
      <c r="N324" s="106">
        <v>85</v>
      </c>
      <c r="O324" s="106">
        <v>3240.2</v>
      </c>
      <c r="P324" s="107">
        <v>26110</v>
      </c>
      <c r="Q324" s="107">
        <v>84601622</v>
      </c>
      <c r="R324" s="102" t="s">
        <v>30</v>
      </c>
      <c r="S324" s="108"/>
      <c r="T324" s="109"/>
      <c r="U324" s="109"/>
      <c r="V324" s="102"/>
      <c r="W324" s="109"/>
      <c r="X324" s="109"/>
      <c r="Y324" s="110" t="s">
        <v>31</v>
      </c>
      <c r="Z324" s="111" t="str">
        <f>MID(E324,4,2)</f>
        <v>CA</v>
      </c>
    </row>
    <row r="325" spans="1:26" s="111" customFormat="1" x14ac:dyDescent="0.2">
      <c r="A325" s="101">
        <v>46239</v>
      </c>
      <c r="B325" s="91" t="s">
        <v>485</v>
      </c>
      <c r="C325" s="102" t="s">
        <v>486</v>
      </c>
      <c r="D325" s="103" t="s">
        <v>26</v>
      </c>
      <c r="E325" s="91" t="s">
        <v>487</v>
      </c>
      <c r="F325" s="91" t="s">
        <v>79</v>
      </c>
      <c r="G325" s="91" t="s">
        <v>80</v>
      </c>
      <c r="H325" s="104" t="str">
        <f t="shared" si="20"/>
        <v>C6046J30</v>
      </c>
      <c r="I325" s="104"/>
      <c r="J325" s="105">
        <v>38.119999999999997</v>
      </c>
      <c r="K325" s="106">
        <f>IF(D325="CAESARSTONE LTD",VLOOKUP(H325,'[2]GIA CA'!G:H,2,0),IF(OR(D325="STONE FACINGS LIMITED",D325="NORDIA SA",D325="INVICTUS STONE COUNTERTOPS INC",D325="QUARTZTOP LLC"),VLOOKUP(H325,'[2] Giá ngoài Mỹ - SI-GR'!$B$5:$AZ$84,51,0),IF(OR(D325="HYUNDAI L&amp;C CANADA INC",D325="Hyundai L&amp; C USA LLC"),VLOOKUP(H325,'[2]GIA HS'!A:D,4,0),IF(Y325="Mỹ",VLOOKUP(H325,'[2]giá mỹ từ 6.8.2025'!B:I,2,0),VLOOKUP(H325,'[2]giá ngoài mỹ 6.8.2025 (final)'!B:BP,51,0)))))</f>
        <v>73.75</v>
      </c>
      <c r="L325" s="106">
        <v>77.39</v>
      </c>
      <c r="M325" s="106">
        <f t="shared" si="19"/>
        <v>3.6400000000000006</v>
      </c>
      <c r="N325" s="106">
        <v>77</v>
      </c>
      <c r="O325" s="106">
        <v>2935.24</v>
      </c>
      <c r="P325" s="107">
        <v>26110</v>
      </c>
      <c r="Q325" s="107">
        <v>76639116</v>
      </c>
      <c r="R325" s="102" t="s">
        <v>30</v>
      </c>
      <c r="S325" s="108"/>
      <c r="T325" s="109"/>
      <c r="U325" s="109"/>
      <c r="V325" s="102"/>
      <c r="W325" s="109"/>
      <c r="X325" s="109"/>
      <c r="Y325" s="110" t="s">
        <v>31</v>
      </c>
      <c r="Z325" s="111" t="str">
        <f>MID(E325,4,2)</f>
        <v>CA</v>
      </c>
    </row>
    <row r="326" spans="1:26" s="111" customFormat="1" x14ac:dyDescent="0.2">
      <c r="A326" s="101">
        <v>46239</v>
      </c>
      <c r="B326" s="91" t="s">
        <v>485</v>
      </c>
      <c r="C326" s="102" t="s">
        <v>486</v>
      </c>
      <c r="D326" s="103" t="s">
        <v>26</v>
      </c>
      <c r="E326" s="91" t="s">
        <v>487</v>
      </c>
      <c r="F326" s="91" t="s">
        <v>90</v>
      </c>
      <c r="G326" s="91" t="s">
        <v>91</v>
      </c>
      <c r="H326" s="104" t="str">
        <f t="shared" si="20"/>
        <v>F6131J30</v>
      </c>
      <c r="I326" s="104"/>
      <c r="J326" s="105">
        <v>38.119999999999997</v>
      </c>
      <c r="K326" s="106">
        <f>IF(D326="CAESARSTONE LTD",VLOOKUP(H326,'[2]GIA CA'!G:H,2,0),IF(OR(D326="STONE FACINGS LIMITED",D326="NORDIA SA",D326="INVICTUS STONE COUNTERTOPS INC",D326="QUARTZTOP LLC"),VLOOKUP(H326,'[2] Giá ngoài Mỹ - SI-GR'!$B$5:$AZ$84,51,0),IF(OR(D326="HYUNDAI L&amp;C CANADA INC",D326="Hyundai L&amp; C USA LLC"),VLOOKUP(H326,'[2]GIA HS'!A:D,4,0),IF(Y326="Mỹ",VLOOKUP(H326,'[2]giá mỹ từ 6.8.2025'!B:I,2,0),VLOOKUP(H326,'[2]giá ngoài mỹ 6.8.2025 (final)'!B:BP,51,0)))))</f>
        <v>77.5</v>
      </c>
      <c r="L326" s="106">
        <v>81.39</v>
      </c>
      <c r="M326" s="106">
        <f t="shared" si="19"/>
        <v>3.8900000000000006</v>
      </c>
      <c r="N326" s="106">
        <v>83.64</v>
      </c>
      <c r="O326" s="106">
        <v>3188.23</v>
      </c>
      <c r="P326" s="107">
        <v>26110</v>
      </c>
      <c r="Q326" s="107">
        <v>83244685</v>
      </c>
      <c r="R326" s="102" t="s">
        <v>30</v>
      </c>
      <c r="S326" s="108"/>
      <c r="T326" s="109"/>
      <c r="U326" s="109"/>
      <c r="V326" s="102"/>
      <c r="W326" s="109"/>
      <c r="X326" s="109"/>
      <c r="Y326" s="110" t="s">
        <v>31</v>
      </c>
      <c r="Z326" s="111" t="str">
        <f>MID(E326,4,2)</f>
        <v>CA</v>
      </c>
    </row>
    <row r="327" spans="1:26" s="111" customFormat="1" x14ac:dyDescent="0.2">
      <c r="A327" s="101">
        <v>46239</v>
      </c>
      <c r="B327" s="91" t="s">
        <v>488</v>
      </c>
      <c r="C327" s="102" t="s">
        <v>489</v>
      </c>
      <c r="D327" s="103" t="s">
        <v>490</v>
      </c>
      <c r="E327" s="91" t="s">
        <v>491</v>
      </c>
      <c r="F327" s="91" t="s">
        <v>492</v>
      </c>
      <c r="G327" s="91" t="s">
        <v>493</v>
      </c>
      <c r="H327" s="104" t="str">
        <f t="shared" si="20"/>
        <v>C4143J30</v>
      </c>
      <c r="I327" s="104"/>
      <c r="J327" s="105">
        <v>114.35</v>
      </c>
      <c r="K327" s="106">
        <v>20</v>
      </c>
      <c r="L327" s="106">
        <v>20</v>
      </c>
      <c r="M327" s="106">
        <f t="shared" si="19"/>
        <v>0</v>
      </c>
      <c r="N327" s="106">
        <v>20</v>
      </c>
      <c r="O327" s="106">
        <v>2287</v>
      </c>
      <c r="P327" s="107">
        <v>26110</v>
      </c>
      <c r="Q327" s="107">
        <v>59713570</v>
      </c>
      <c r="R327" s="102" t="s">
        <v>30</v>
      </c>
      <c r="S327" s="108"/>
      <c r="T327" s="109"/>
      <c r="U327" s="109"/>
      <c r="V327" s="102"/>
      <c r="W327" s="109"/>
      <c r="X327" s="109"/>
      <c r="Y327" s="110" t="s">
        <v>494</v>
      </c>
      <c r="Z327" s="111" t="str">
        <f>MID(E327,4,2)</f>
        <v>JO</v>
      </c>
    </row>
    <row r="328" spans="1:26" s="111" customFormat="1" x14ac:dyDescent="0.2">
      <c r="A328" s="101">
        <v>46239</v>
      </c>
      <c r="B328" s="91" t="s">
        <v>488</v>
      </c>
      <c r="C328" s="102" t="s">
        <v>489</v>
      </c>
      <c r="D328" s="103" t="s">
        <v>490</v>
      </c>
      <c r="E328" s="91" t="s">
        <v>491</v>
      </c>
      <c r="F328" s="91" t="s">
        <v>492</v>
      </c>
      <c r="G328" s="91" t="s">
        <v>493</v>
      </c>
      <c r="H328" s="104" t="str">
        <f t="shared" si="20"/>
        <v>C4143J30</v>
      </c>
      <c r="I328" s="104"/>
      <c r="J328" s="105">
        <v>5.45</v>
      </c>
      <c r="K328" s="106">
        <v>20</v>
      </c>
      <c r="L328" s="106">
        <v>20</v>
      </c>
      <c r="M328" s="106">
        <f t="shared" si="19"/>
        <v>0</v>
      </c>
      <c r="N328" s="106">
        <v>20</v>
      </c>
      <c r="O328" s="106">
        <v>109</v>
      </c>
      <c r="P328" s="107">
        <v>26110</v>
      </c>
      <c r="Q328" s="107">
        <v>2845990</v>
      </c>
      <c r="R328" s="102" t="s">
        <v>30</v>
      </c>
      <c r="S328" s="108"/>
      <c r="T328" s="109"/>
      <c r="U328" s="109"/>
      <c r="V328" s="102"/>
      <c r="W328" s="109"/>
      <c r="X328" s="109"/>
      <c r="Y328" s="110" t="s">
        <v>494</v>
      </c>
      <c r="Z328" s="111" t="str">
        <f>MID(E328,4,2)</f>
        <v>JO</v>
      </c>
    </row>
    <row r="329" spans="1:26" s="111" customFormat="1" x14ac:dyDescent="0.2">
      <c r="A329" s="101">
        <v>46239</v>
      </c>
      <c r="B329" s="91" t="s">
        <v>488</v>
      </c>
      <c r="C329" s="102" t="s">
        <v>489</v>
      </c>
      <c r="D329" s="103" t="s">
        <v>490</v>
      </c>
      <c r="E329" s="91" t="s">
        <v>491</v>
      </c>
      <c r="F329" s="91" t="s">
        <v>492</v>
      </c>
      <c r="G329" s="91" t="s">
        <v>493</v>
      </c>
      <c r="H329" s="104" t="str">
        <f t="shared" si="20"/>
        <v>C4143J30</v>
      </c>
      <c r="I329" s="104"/>
      <c r="J329" s="105">
        <v>10.89</v>
      </c>
      <c r="K329" s="106">
        <v>20</v>
      </c>
      <c r="L329" s="106">
        <v>20</v>
      </c>
      <c r="M329" s="106">
        <f t="shared" si="19"/>
        <v>0</v>
      </c>
      <c r="N329" s="106">
        <v>20</v>
      </c>
      <c r="O329" s="106">
        <v>217.8</v>
      </c>
      <c r="P329" s="107">
        <v>26110</v>
      </c>
      <c r="Q329" s="107">
        <v>5686758</v>
      </c>
      <c r="R329" s="102" t="s">
        <v>30</v>
      </c>
      <c r="S329" s="108"/>
      <c r="T329" s="109"/>
      <c r="U329" s="109"/>
      <c r="V329" s="102"/>
      <c r="W329" s="109"/>
      <c r="X329" s="109"/>
      <c r="Y329" s="110" t="s">
        <v>494</v>
      </c>
      <c r="Z329" s="111" t="str">
        <f>MID(E329,4,2)</f>
        <v>JO</v>
      </c>
    </row>
    <row r="330" spans="1:26" s="111" customFormat="1" x14ac:dyDescent="0.2">
      <c r="A330" s="101">
        <v>46239</v>
      </c>
      <c r="B330" s="91" t="s">
        <v>488</v>
      </c>
      <c r="C330" s="102" t="s">
        <v>489</v>
      </c>
      <c r="D330" s="103" t="s">
        <v>490</v>
      </c>
      <c r="E330" s="91" t="s">
        <v>491</v>
      </c>
      <c r="F330" s="91" t="s">
        <v>492</v>
      </c>
      <c r="G330" s="91" t="s">
        <v>493</v>
      </c>
      <c r="H330" s="104" t="str">
        <f t="shared" si="20"/>
        <v>C4143J30</v>
      </c>
      <c r="I330" s="104"/>
      <c r="J330" s="105">
        <v>38.11</v>
      </c>
      <c r="K330" s="106">
        <v>20</v>
      </c>
      <c r="L330" s="106">
        <v>20</v>
      </c>
      <c r="M330" s="106">
        <f t="shared" si="19"/>
        <v>0</v>
      </c>
      <c r="N330" s="106">
        <v>20</v>
      </c>
      <c r="O330" s="106">
        <v>762.2</v>
      </c>
      <c r="P330" s="107">
        <v>26110</v>
      </c>
      <c r="Q330" s="107">
        <v>19901042</v>
      </c>
      <c r="R330" s="102" t="s">
        <v>30</v>
      </c>
      <c r="S330" s="108"/>
      <c r="T330" s="109"/>
      <c r="U330" s="109"/>
      <c r="V330" s="102"/>
      <c r="W330" s="109"/>
      <c r="X330" s="109"/>
      <c r="Y330" s="110" t="s">
        <v>494</v>
      </c>
      <c r="Z330" s="111" t="str">
        <f>MID(E330,4,2)</f>
        <v>JO</v>
      </c>
    </row>
    <row r="331" spans="1:26" s="111" customFormat="1" x14ac:dyDescent="0.2">
      <c r="A331" s="101">
        <v>46239</v>
      </c>
      <c r="B331" s="91" t="s">
        <v>488</v>
      </c>
      <c r="C331" s="102" t="s">
        <v>489</v>
      </c>
      <c r="D331" s="103" t="s">
        <v>490</v>
      </c>
      <c r="E331" s="91" t="s">
        <v>491</v>
      </c>
      <c r="F331" s="91" t="s">
        <v>495</v>
      </c>
      <c r="G331" s="91" t="s">
        <v>493</v>
      </c>
      <c r="H331" s="104" t="str">
        <f t="shared" si="20"/>
        <v>C4143J30</v>
      </c>
      <c r="I331" s="104"/>
      <c r="J331" s="105">
        <v>21.77</v>
      </c>
      <c r="K331" s="106">
        <v>20</v>
      </c>
      <c r="L331" s="106">
        <v>20</v>
      </c>
      <c r="M331" s="106">
        <f t="shared" si="19"/>
        <v>0</v>
      </c>
      <c r="N331" s="106">
        <v>20</v>
      </c>
      <c r="O331" s="106">
        <v>435.4</v>
      </c>
      <c r="P331" s="107">
        <v>26110</v>
      </c>
      <c r="Q331" s="107">
        <v>11368294</v>
      </c>
      <c r="R331" s="102" t="s">
        <v>30</v>
      </c>
      <c r="S331" s="108"/>
      <c r="T331" s="109"/>
      <c r="U331" s="109"/>
      <c r="V331" s="102"/>
      <c r="W331" s="109"/>
      <c r="X331" s="109"/>
      <c r="Y331" s="110" t="s">
        <v>494</v>
      </c>
      <c r="Z331" s="111" t="str">
        <f>MID(E331,4,2)</f>
        <v>JO</v>
      </c>
    </row>
    <row r="332" spans="1:26" s="111" customFormat="1" x14ac:dyDescent="0.2">
      <c r="A332" s="101">
        <v>46239</v>
      </c>
      <c r="B332" s="91" t="s">
        <v>488</v>
      </c>
      <c r="C332" s="102" t="s">
        <v>489</v>
      </c>
      <c r="D332" s="103" t="s">
        <v>490</v>
      </c>
      <c r="E332" s="91" t="s">
        <v>491</v>
      </c>
      <c r="F332" s="91" t="s">
        <v>495</v>
      </c>
      <c r="G332" s="91" t="s">
        <v>493</v>
      </c>
      <c r="H332" s="104" t="str">
        <f t="shared" si="20"/>
        <v>C4143J30</v>
      </c>
      <c r="I332" s="104"/>
      <c r="J332" s="105">
        <v>5.45</v>
      </c>
      <c r="K332" s="106">
        <v>20</v>
      </c>
      <c r="L332" s="106">
        <v>20</v>
      </c>
      <c r="M332" s="106">
        <f t="shared" si="19"/>
        <v>0</v>
      </c>
      <c r="N332" s="106">
        <v>20</v>
      </c>
      <c r="O332" s="106">
        <v>109</v>
      </c>
      <c r="P332" s="107">
        <v>26110</v>
      </c>
      <c r="Q332" s="107">
        <v>2845990</v>
      </c>
      <c r="R332" s="102" t="s">
        <v>30</v>
      </c>
      <c r="S332" s="108"/>
      <c r="T332" s="109"/>
      <c r="U332" s="109"/>
      <c r="V332" s="102"/>
      <c r="W332" s="109"/>
      <c r="X332" s="109"/>
      <c r="Y332" s="110" t="s">
        <v>494</v>
      </c>
      <c r="Z332" s="111" t="str">
        <f>MID(E332,4,2)</f>
        <v>JO</v>
      </c>
    </row>
    <row r="333" spans="1:26" s="111" customFormat="1" x14ac:dyDescent="0.2">
      <c r="A333" s="101">
        <v>46239</v>
      </c>
      <c r="B333" s="91" t="s">
        <v>488</v>
      </c>
      <c r="C333" s="102" t="s">
        <v>489</v>
      </c>
      <c r="D333" s="103" t="s">
        <v>490</v>
      </c>
      <c r="E333" s="91" t="s">
        <v>491</v>
      </c>
      <c r="F333" s="91" t="s">
        <v>496</v>
      </c>
      <c r="G333" s="91" t="s">
        <v>493</v>
      </c>
      <c r="H333" s="104" t="str">
        <f t="shared" si="20"/>
        <v>C4143J30</v>
      </c>
      <c r="I333" s="104"/>
      <c r="J333" s="105">
        <v>16.34</v>
      </c>
      <c r="K333" s="106">
        <v>20</v>
      </c>
      <c r="L333" s="106">
        <v>20</v>
      </c>
      <c r="M333" s="106">
        <f t="shared" ref="M333:M396" si="23">L333-K333</f>
        <v>0</v>
      </c>
      <c r="N333" s="106">
        <v>20</v>
      </c>
      <c r="O333" s="106">
        <v>326.8</v>
      </c>
      <c r="P333" s="107">
        <v>26110</v>
      </c>
      <c r="Q333" s="107">
        <v>8532748</v>
      </c>
      <c r="R333" s="102" t="s">
        <v>30</v>
      </c>
      <c r="S333" s="108"/>
      <c r="T333" s="109"/>
      <c r="U333" s="109"/>
      <c r="V333" s="102"/>
      <c r="W333" s="109"/>
      <c r="X333" s="109"/>
      <c r="Y333" s="110" t="s">
        <v>494</v>
      </c>
      <c r="Z333" s="111" t="str">
        <f>MID(E333,4,2)</f>
        <v>JO</v>
      </c>
    </row>
    <row r="334" spans="1:26" s="111" customFormat="1" x14ac:dyDescent="0.2">
      <c r="A334" s="101">
        <v>46239</v>
      </c>
      <c r="B334" s="91" t="s">
        <v>488</v>
      </c>
      <c r="C334" s="102" t="s">
        <v>489</v>
      </c>
      <c r="D334" s="103" t="s">
        <v>490</v>
      </c>
      <c r="E334" s="91" t="s">
        <v>491</v>
      </c>
      <c r="F334" s="91" t="s">
        <v>496</v>
      </c>
      <c r="G334" s="91" t="s">
        <v>493</v>
      </c>
      <c r="H334" s="104" t="str">
        <f t="shared" ref="H334:H397" si="24">IF(LEN(G334)=13,LEFT(G334,5)&amp;MID(G334,SEARCH("-J",G334)+1,3),LEFT(G334,5)&amp;"J20")</f>
        <v>C4143J30</v>
      </c>
      <c r="I334" s="104"/>
      <c r="J334" s="105">
        <v>70.790000000000006</v>
      </c>
      <c r="K334" s="106">
        <v>20</v>
      </c>
      <c r="L334" s="106">
        <v>20</v>
      </c>
      <c r="M334" s="106">
        <f t="shared" si="23"/>
        <v>0</v>
      </c>
      <c r="N334" s="106">
        <v>20</v>
      </c>
      <c r="O334" s="106">
        <v>1415.8</v>
      </c>
      <c r="P334" s="107">
        <v>26110</v>
      </c>
      <c r="Q334" s="107">
        <v>36966538</v>
      </c>
      <c r="R334" s="102" t="s">
        <v>30</v>
      </c>
      <c r="S334" s="108"/>
      <c r="T334" s="109"/>
      <c r="U334" s="109"/>
      <c r="V334" s="102"/>
      <c r="W334" s="109"/>
      <c r="X334" s="109"/>
      <c r="Y334" s="110" t="s">
        <v>494</v>
      </c>
      <c r="Z334" s="111" t="str">
        <f>MID(E334,4,2)</f>
        <v>JO</v>
      </c>
    </row>
    <row r="335" spans="1:26" s="111" customFormat="1" x14ac:dyDescent="0.2">
      <c r="A335" s="101">
        <v>46239</v>
      </c>
      <c r="B335" s="91" t="s">
        <v>488</v>
      </c>
      <c r="C335" s="102" t="s">
        <v>489</v>
      </c>
      <c r="D335" s="103" t="s">
        <v>490</v>
      </c>
      <c r="E335" s="91" t="s">
        <v>491</v>
      </c>
      <c r="F335" s="91" t="s">
        <v>496</v>
      </c>
      <c r="G335" s="91" t="s">
        <v>493</v>
      </c>
      <c r="H335" s="104" t="str">
        <f t="shared" si="24"/>
        <v>C4143J30</v>
      </c>
      <c r="I335" s="104"/>
      <c r="J335" s="105">
        <v>5.45</v>
      </c>
      <c r="K335" s="106">
        <v>20</v>
      </c>
      <c r="L335" s="106">
        <v>20</v>
      </c>
      <c r="M335" s="106">
        <f t="shared" si="23"/>
        <v>0</v>
      </c>
      <c r="N335" s="106">
        <v>20</v>
      </c>
      <c r="O335" s="106">
        <v>109</v>
      </c>
      <c r="P335" s="107">
        <v>26110</v>
      </c>
      <c r="Q335" s="107">
        <v>2845990</v>
      </c>
      <c r="R335" s="102" t="s">
        <v>30</v>
      </c>
      <c r="S335" s="108"/>
      <c r="T335" s="109"/>
      <c r="U335" s="109"/>
      <c r="V335" s="102"/>
      <c r="W335" s="109"/>
      <c r="X335" s="109"/>
      <c r="Y335" s="110" t="s">
        <v>494</v>
      </c>
      <c r="Z335" s="111" t="str">
        <f>MID(E335,4,2)</f>
        <v>JO</v>
      </c>
    </row>
    <row r="336" spans="1:26" s="111" customFormat="1" x14ac:dyDescent="0.2">
      <c r="A336" s="101">
        <v>46239</v>
      </c>
      <c r="B336" s="91" t="s">
        <v>488</v>
      </c>
      <c r="C336" s="102" t="s">
        <v>489</v>
      </c>
      <c r="D336" s="103" t="s">
        <v>490</v>
      </c>
      <c r="E336" s="91" t="s">
        <v>491</v>
      </c>
      <c r="F336" s="91" t="s">
        <v>497</v>
      </c>
      <c r="G336" s="91" t="s">
        <v>498</v>
      </c>
      <c r="H336" s="104" t="str">
        <f t="shared" si="24"/>
        <v>C4147J20</v>
      </c>
      <c r="I336" s="104"/>
      <c r="J336" s="105">
        <v>10.88</v>
      </c>
      <c r="K336" s="106">
        <v>30</v>
      </c>
      <c r="L336" s="106">
        <v>33.93</v>
      </c>
      <c r="M336" s="106">
        <f t="shared" si="23"/>
        <v>3.9299999999999997</v>
      </c>
      <c r="N336" s="106">
        <v>33.93</v>
      </c>
      <c r="O336" s="106">
        <v>369.13</v>
      </c>
      <c r="P336" s="107">
        <v>26110</v>
      </c>
      <c r="Q336" s="107">
        <v>9637984</v>
      </c>
      <c r="R336" s="102" t="s">
        <v>30</v>
      </c>
      <c r="S336" s="108"/>
      <c r="T336" s="109"/>
      <c r="U336" s="109"/>
      <c r="V336" s="102"/>
      <c r="W336" s="109"/>
      <c r="X336" s="109"/>
      <c r="Y336" s="110" t="s">
        <v>494</v>
      </c>
      <c r="Z336" s="111" t="str">
        <f>MID(E336,4,2)</f>
        <v>JO</v>
      </c>
    </row>
    <row r="337" spans="1:26" s="111" customFormat="1" x14ac:dyDescent="0.2">
      <c r="A337" s="101">
        <v>46239</v>
      </c>
      <c r="B337" s="91" t="s">
        <v>488</v>
      </c>
      <c r="C337" s="102" t="s">
        <v>489</v>
      </c>
      <c r="D337" s="103" t="s">
        <v>490</v>
      </c>
      <c r="E337" s="91" t="s">
        <v>491</v>
      </c>
      <c r="F337" s="91" t="s">
        <v>499</v>
      </c>
      <c r="G337" s="91" t="s">
        <v>498</v>
      </c>
      <c r="H337" s="104" t="str">
        <f t="shared" si="24"/>
        <v>C4147J20</v>
      </c>
      <c r="I337" s="104"/>
      <c r="J337" s="105">
        <v>5.45</v>
      </c>
      <c r="K337" s="106">
        <v>30</v>
      </c>
      <c r="L337" s="106">
        <v>33.93</v>
      </c>
      <c r="M337" s="106">
        <f t="shared" si="23"/>
        <v>3.9299999999999997</v>
      </c>
      <c r="N337" s="106">
        <v>33.93</v>
      </c>
      <c r="O337" s="107">
        <v>184.9</v>
      </c>
      <c r="P337" s="107">
        <v>26110</v>
      </c>
      <c r="Q337" s="107">
        <v>4827739</v>
      </c>
      <c r="R337" s="102" t="s">
        <v>30</v>
      </c>
      <c r="S337" s="108"/>
      <c r="T337" s="109"/>
      <c r="U337" s="109"/>
      <c r="V337" s="102"/>
      <c r="W337" s="109"/>
      <c r="X337" s="109"/>
      <c r="Y337" s="110" t="s">
        <v>494</v>
      </c>
      <c r="Z337" s="111" t="str">
        <f>MID(E337,4,2)</f>
        <v>JO</v>
      </c>
    </row>
    <row r="338" spans="1:26" s="111" customFormat="1" x14ac:dyDescent="0.2">
      <c r="A338" s="101">
        <v>46239</v>
      </c>
      <c r="B338" s="91" t="s">
        <v>488</v>
      </c>
      <c r="C338" s="102" t="s">
        <v>489</v>
      </c>
      <c r="D338" s="103" t="s">
        <v>490</v>
      </c>
      <c r="E338" s="91" t="s">
        <v>491</v>
      </c>
      <c r="F338" s="91" t="s">
        <v>500</v>
      </c>
      <c r="G338" s="91" t="s">
        <v>498</v>
      </c>
      <c r="H338" s="104" t="str">
        <f t="shared" si="24"/>
        <v>C4147J20</v>
      </c>
      <c r="I338" s="104"/>
      <c r="J338" s="105">
        <v>16.34</v>
      </c>
      <c r="K338" s="106">
        <v>30</v>
      </c>
      <c r="L338" s="106">
        <v>33.93</v>
      </c>
      <c r="M338" s="106">
        <f t="shared" si="23"/>
        <v>3.9299999999999997</v>
      </c>
      <c r="N338" s="106">
        <v>33.93</v>
      </c>
      <c r="O338" s="107">
        <v>554.36</v>
      </c>
      <c r="P338" s="107">
        <v>26110</v>
      </c>
      <c r="Q338" s="107">
        <v>14474340</v>
      </c>
      <c r="R338" s="102" t="s">
        <v>30</v>
      </c>
      <c r="S338" s="108"/>
      <c r="T338" s="109"/>
      <c r="U338" s="109"/>
      <c r="V338" s="102"/>
      <c r="W338" s="109"/>
      <c r="X338" s="109"/>
      <c r="Y338" s="110" t="s">
        <v>494</v>
      </c>
      <c r="Z338" s="111" t="str">
        <f>MID(E338,4,2)</f>
        <v>JO</v>
      </c>
    </row>
    <row r="339" spans="1:26" s="111" customFormat="1" x14ac:dyDescent="0.2">
      <c r="A339" s="101">
        <v>46239</v>
      </c>
      <c r="B339" s="91" t="s">
        <v>488</v>
      </c>
      <c r="C339" s="102" t="s">
        <v>489</v>
      </c>
      <c r="D339" s="103" t="s">
        <v>490</v>
      </c>
      <c r="E339" s="91" t="s">
        <v>491</v>
      </c>
      <c r="F339" s="91" t="s">
        <v>501</v>
      </c>
      <c r="G339" s="91" t="s">
        <v>502</v>
      </c>
      <c r="H339" s="104" t="str">
        <f t="shared" si="24"/>
        <v>C4221J20</v>
      </c>
      <c r="I339" s="104"/>
      <c r="J339" s="105">
        <v>5.45</v>
      </c>
      <c r="K339" s="106">
        <v>30</v>
      </c>
      <c r="L339" s="106">
        <v>31</v>
      </c>
      <c r="M339" s="106">
        <f t="shared" si="23"/>
        <v>1</v>
      </c>
      <c r="N339" s="106">
        <v>31</v>
      </c>
      <c r="O339" s="107">
        <v>168.95</v>
      </c>
      <c r="P339" s="107">
        <v>26110</v>
      </c>
      <c r="Q339" s="107">
        <v>4411285</v>
      </c>
      <c r="R339" s="102" t="s">
        <v>30</v>
      </c>
      <c r="S339" s="108"/>
      <c r="T339" s="109"/>
      <c r="U339" s="109"/>
      <c r="V339" s="102"/>
      <c r="W339" s="109"/>
      <c r="X339" s="109"/>
      <c r="Y339" s="110" t="s">
        <v>494</v>
      </c>
      <c r="Z339" s="111" t="str">
        <f>MID(E339,4,2)</f>
        <v>JO</v>
      </c>
    </row>
    <row r="340" spans="1:26" s="111" customFormat="1" x14ac:dyDescent="0.2">
      <c r="A340" s="101">
        <v>46239</v>
      </c>
      <c r="B340" s="91" t="s">
        <v>488</v>
      </c>
      <c r="C340" s="102" t="s">
        <v>489</v>
      </c>
      <c r="D340" s="103" t="s">
        <v>490</v>
      </c>
      <c r="E340" s="91" t="s">
        <v>491</v>
      </c>
      <c r="F340" s="91" t="s">
        <v>503</v>
      </c>
      <c r="G340" s="91" t="s">
        <v>504</v>
      </c>
      <c r="H340" s="104" t="str">
        <f t="shared" si="24"/>
        <v>C4254J20</v>
      </c>
      <c r="I340" s="104"/>
      <c r="J340" s="105">
        <v>10.89</v>
      </c>
      <c r="K340" s="106">
        <v>30</v>
      </c>
      <c r="L340" s="106">
        <v>31</v>
      </c>
      <c r="M340" s="106">
        <f t="shared" si="23"/>
        <v>1</v>
      </c>
      <c r="N340" s="106">
        <v>31</v>
      </c>
      <c r="O340" s="107">
        <v>337.59</v>
      </c>
      <c r="P340" s="107">
        <v>26110</v>
      </c>
      <c r="Q340" s="107">
        <v>8814475</v>
      </c>
      <c r="R340" s="102" t="s">
        <v>30</v>
      </c>
      <c r="S340" s="108"/>
      <c r="T340" s="109"/>
      <c r="U340" s="109"/>
      <c r="V340" s="102"/>
      <c r="W340" s="109"/>
      <c r="X340" s="109"/>
      <c r="Y340" s="110" t="s">
        <v>494</v>
      </c>
      <c r="Z340" s="111" t="str">
        <f>MID(E340,4,2)</f>
        <v>JO</v>
      </c>
    </row>
    <row r="341" spans="1:26" s="111" customFormat="1" x14ac:dyDescent="0.2">
      <c r="A341" s="101">
        <v>46239</v>
      </c>
      <c r="B341" s="91" t="s">
        <v>488</v>
      </c>
      <c r="C341" s="102" t="s">
        <v>489</v>
      </c>
      <c r="D341" s="103" t="s">
        <v>490</v>
      </c>
      <c r="E341" s="91" t="s">
        <v>491</v>
      </c>
      <c r="F341" s="91" t="s">
        <v>505</v>
      </c>
      <c r="G341" s="91" t="s">
        <v>504</v>
      </c>
      <c r="H341" s="104" t="str">
        <f t="shared" si="24"/>
        <v>C4254J20</v>
      </c>
      <c r="I341" s="104"/>
      <c r="J341" s="105">
        <v>5.45</v>
      </c>
      <c r="K341" s="106">
        <v>30</v>
      </c>
      <c r="L341" s="106">
        <v>31</v>
      </c>
      <c r="M341" s="106">
        <f t="shared" si="23"/>
        <v>1</v>
      </c>
      <c r="N341" s="106">
        <v>31</v>
      </c>
      <c r="O341" s="107">
        <v>168.95</v>
      </c>
      <c r="P341" s="107">
        <v>26110</v>
      </c>
      <c r="Q341" s="107">
        <v>4411285</v>
      </c>
      <c r="R341" s="102" t="s">
        <v>30</v>
      </c>
      <c r="S341" s="108"/>
      <c r="T341" s="109"/>
      <c r="U341" s="109"/>
      <c r="V341" s="102"/>
      <c r="W341" s="109"/>
      <c r="X341" s="109"/>
      <c r="Y341" s="110" t="s">
        <v>494</v>
      </c>
      <c r="Z341" s="111" t="str">
        <f>MID(E341,4,2)</f>
        <v>JO</v>
      </c>
    </row>
    <row r="342" spans="1:26" s="111" customFormat="1" x14ac:dyDescent="0.2">
      <c r="A342" s="101">
        <v>46239</v>
      </c>
      <c r="B342" s="91" t="s">
        <v>488</v>
      </c>
      <c r="C342" s="102" t="s">
        <v>489</v>
      </c>
      <c r="D342" s="103" t="s">
        <v>490</v>
      </c>
      <c r="E342" s="91" t="s">
        <v>491</v>
      </c>
      <c r="F342" s="91" t="s">
        <v>506</v>
      </c>
      <c r="G342" s="91" t="s">
        <v>507</v>
      </c>
      <c r="H342" s="104" t="str">
        <f t="shared" si="24"/>
        <v>C5341J30</v>
      </c>
      <c r="I342" s="104"/>
      <c r="J342" s="105">
        <v>21.78</v>
      </c>
      <c r="K342" s="106">
        <v>20</v>
      </c>
      <c r="L342" s="106">
        <v>20</v>
      </c>
      <c r="M342" s="106">
        <f t="shared" si="23"/>
        <v>0</v>
      </c>
      <c r="N342" s="106">
        <v>20</v>
      </c>
      <c r="O342" s="106">
        <v>435.6</v>
      </c>
      <c r="P342" s="107">
        <v>26110</v>
      </c>
      <c r="Q342" s="107">
        <v>11373516</v>
      </c>
      <c r="R342" s="102" t="s">
        <v>30</v>
      </c>
      <c r="S342" s="108"/>
      <c r="T342" s="109"/>
      <c r="U342" s="109"/>
      <c r="V342" s="102"/>
      <c r="W342" s="109"/>
      <c r="X342" s="109"/>
      <c r="Y342" s="110" t="s">
        <v>494</v>
      </c>
      <c r="Z342" s="111" t="str">
        <f>MID(E342,4,2)</f>
        <v>JO</v>
      </c>
    </row>
    <row r="343" spans="1:26" s="111" customFormat="1" x14ac:dyDescent="0.2">
      <c r="A343" s="101">
        <v>46239</v>
      </c>
      <c r="B343" s="91" t="s">
        <v>488</v>
      </c>
      <c r="C343" s="102" t="s">
        <v>489</v>
      </c>
      <c r="D343" s="103" t="s">
        <v>490</v>
      </c>
      <c r="E343" s="91" t="s">
        <v>491</v>
      </c>
      <c r="F343" s="91" t="s">
        <v>508</v>
      </c>
      <c r="G343" s="91" t="s">
        <v>509</v>
      </c>
      <c r="H343" s="104" t="str">
        <f t="shared" si="24"/>
        <v>F4254J20</v>
      </c>
      <c r="I343" s="104"/>
      <c r="J343" s="105">
        <v>16.34</v>
      </c>
      <c r="K343" s="106">
        <v>30</v>
      </c>
      <c r="L343" s="106">
        <v>31</v>
      </c>
      <c r="M343" s="106">
        <f t="shared" si="23"/>
        <v>1</v>
      </c>
      <c r="N343" s="106">
        <v>31</v>
      </c>
      <c r="O343" s="107">
        <v>506.54</v>
      </c>
      <c r="P343" s="107">
        <v>26110</v>
      </c>
      <c r="Q343" s="107">
        <v>13225759</v>
      </c>
      <c r="R343" s="102" t="s">
        <v>30</v>
      </c>
      <c r="S343" s="108"/>
      <c r="T343" s="109"/>
      <c r="U343" s="109"/>
      <c r="V343" s="102"/>
      <c r="W343" s="109"/>
      <c r="X343" s="109"/>
      <c r="Y343" s="110" t="s">
        <v>494</v>
      </c>
      <c r="Z343" s="111" t="str">
        <f>MID(E343,4,2)</f>
        <v>JO</v>
      </c>
    </row>
    <row r="344" spans="1:26" s="111" customFormat="1" x14ac:dyDescent="0.2">
      <c r="A344" s="101">
        <v>46240</v>
      </c>
      <c r="B344" s="91" t="s">
        <v>510</v>
      </c>
      <c r="C344" s="102" t="s">
        <v>511</v>
      </c>
      <c r="D344" s="103" t="s">
        <v>26</v>
      </c>
      <c r="E344" s="91" t="s">
        <v>512</v>
      </c>
      <c r="F344" s="91" t="s">
        <v>513</v>
      </c>
      <c r="G344" s="91" t="s">
        <v>514</v>
      </c>
      <c r="H344" s="104" t="str">
        <f t="shared" si="24"/>
        <v>C4147J30</v>
      </c>
      <c r="I344" s="104"/>
      <c r="J344" s="105">
        <v>5.45</v>
      </c>
      <c r="K344" s="106">
        <v>20</v>
      </c>
      <c r="L344" s="106">
        <v>72</v>
      </c>
      <c r="M344" s="106">
        <f t="shared" si="23"/>
        <v>52</v>
      </c>
      <c r="N344" s="106">
        <v>72</v>
      </c>
      <c r="O344" s="107">
        <v>2744.64</v>
      </c>
      <c r="P344" s="107">
        <v>26110</v>
      </c>
      <c r="Q344" s="107">
        <v>71662550</v>
      </c>
      <c r="R344" s="102" t="s">
        <v>30</v>
      </c>
      <c r="S344" s="108"/>
      <c r="T344" s="109"/>
      <c r="U344" s="109"/>
      <c r="V344" s="102"/>
      <c r="W344" s="109"/>
      <c r="X344" s="109"/>
      <c r="Y344" s="110" t="s">
        <v>31</v>
      </c>
      <c r="Z344" s="111" t="str">
        <f>MID(E344,4,2)</f>
        <v>CA</v>
      </c>
    </row>
    <row r="345" spans="1:26" s="111" customFormat="1" x14ac:dyDescent="0.2">
      <c r="A345" s="101">
        <v>46240</v>
      </c>
      <c r="B345" s="91" t="s">
        <v>510</v>
      </c>
      <c r="C345" s="102" t="s">
        <v>511</v>
      </c>
      <c r="D345" s="103" t="s">
        <v>26</v>
      </c>
      <c r="E345" s="91" t="s">
        <v>512</v>
      </c>
      <c r="F345" s="91" t="s">
        <v>515</v>
      </c>
      <c r="G345" s="91" t="s">
        <v>514</v>
      </c>
      <c r="H345" s="104" t="str">
        <f t="shared" si="24"/>
        <v>C4147J30</v>
      </c>
      <c r="I345" s="104"/>
      <c r="J345" s="105">
        <v>5.45</v>
      </c>
      <c r="K345" s="106">
        <v>20</v>
      </c>
      <c r="L345" s="106">
        <v>79.010000000000005</v>
      </c>
      <c r="M345" s="106">
        <f t="shared" si="23"/>
        <v>59.010000000000005</v>
      </c>
      <c r="N345" s="106">
        <v>79.010000000000005</v>
      </c>
      <c r="O345" s="106">
        <v>3011.96</v>
      </c>
      <c r="P345" s="107">
        <v>26110</v>
      </c>
      <c r="Q345" s="107">
        <v>78642276</v>
      </c>
      <c r="R345" s="102" t="s">
        <v>30</v>
      </c>
      <c r="S345" s="108"/>
      <c r="T345" s="109"/>
      <c r="U345" s="109"/>
      <c r="V345" s="102"/>
      <c r="W345" s="109"/>
      <c r="X345" s="109"/>
      <c r="Y345" s="110" t="s">
        <v>31</v>
      </c>
      <c r="Z345" s="111" t="str">
        <f>MID(E345,4,2)</f>
        <v>CA</v>
      </c>
    </row>
    <row r="346" spans="1:26" s="111" customFormat="1" x14ac:dyDescent="0.2">
      <c r="A346" s="101">
        <v>46240</v>
      </c>
      <c r="B346" s="91" t="s">
        <v>510</v>
      </c>
      <c r="C346" s="102" t="s">
        <v>511</v>
      </c>
      <c r="D346" s="103" t="s">
        <v>26</v>
      </c>
      <c r="E346" s="91" t="s">
        <v>512</v>
      </c>
      <c r="F346" s="91" t="s">
        <v>515</v>
      </c>
      <c r="G346" s="91" t="s">
        <v>514</v>
      </c>
      <c r="H346" s="104" t="str">
        <f t="shared" si="24"/>
        <v>C4147J30</v>
      </c>
      <c r="I346" s="104"/>
      <c r="J346" s="105">
        <v>10.88</v>
      </c>
      <c r="K346" s="106">
        <v>20</v>
      </c>
      <c r="L346" s="106">
        <v>61</v>
      </c>
      <c r="M346" s="106">
        <f t="shared" si="23"/>
        <v>41</v>
      </c>
      <c r="N346" s="106">
        <v>61</v>
      </c>
      <c r="O346" s="107">
        <v>3321.45</v>
      </c>
      <c r="P346" s="107">
        <v>26110</v>
      </c>
      <c r="Q346" s="107">
        <v>86723060</v>
      </c>
      <c r="R346" s="102" t="s">
        <v>30</v>
      </c>
      <c r="S346" s="108"/>
      <c r="T346" s="109"/>
      <c r="U346" s="109"/>
      <c r="V346" s="102"/>
      <c r="W346" s="109"/>
      <c r="X346" s="109"/>
      <c r="Y346" s="110" t="s">
        <v>31</v>
      </c>
      <c r="Z346" s="111" t="str">
        <f>MID(E346,4,2)</f>
        <v>CA</v>
      </c>
    </row>
    <row r="347" spans="1:26" s="111" customFormat="1" x14ac:dyDescent="0.2">
      <c r="A347" s="101">
        <v>46240</v>
      </c>
      <c r="B347" s="91" t="s">
        <v>510</v>
      </c>
      <c r="C347" s="102" t="s">
        <v>511</v>
      </c>
      <c r="D347" s="103" t="s">
        <v>26</v>
      </c>
      <c r="E347" s="91" t="s">
        <v>512</v>
      </c>
      <c r="F347" s="91" t="s">
        <v>516</v>
      </c>
      <c r="G347" s="91" t="s">
        <v>514</v>
      </c>
      <c r="H347" s="104" t="str">
        <f t="shared" si="24"/>
        <v>C4147J30</v>
      </c>
      <c r="I347" s="104"/>
      <c r="J347" s="105">
        <v>5.45</v>
      </c>
      <c r="K347" s="106">
        <v>20</v>
      </c>
      <c r="L347" s="106">
        <v>76</v>
      </c>
      <c r="M347" s="106">
        <f t="shared" si="23"/>
        <v>56</v>
      </c>
      <c r="N347" s="106">
        <v>76</v>
      </c>
      <c r="O347" s="107">
        <v>14484.08</v>
      </c>
      <c r="P347" s="107">
        <v>26110</v>
      </c>
      <c r="Q347" s="107">
        <v>378179329</v>
      </c>
      <c r="R347" s="102" t="s">
        <v>30</v>
      </c>
      <c r="S347" s="108"/>
      <c r="T347" s="109"/>
      <c r="U347" s="109"/>
      <c r="V347" s="102"/>
      <c r="W347" s="109"/>
      <c r="X347" s="109"/>
      <c r="Y347" s="110" t="s">
        <v>31</v>
      </c>
      <c r="Z347" s="111" t="str">
        <f>MID(E347,4,2)</f>
        <v>CA</v>
      </c>
    </row>
    <row r="348" spans="1:26" s="111" customFormat="1" x14ac:dyDescent="0.2">
      <c r="A348" s="101">
        <v>46240</v>
      </c>
      <c r="B348" s="91" t="s">
        <v>510</v>
      </c>
      <c r="C348" s="102" t="s">
        <v>511</v>
      </c>
      <c r="D348" s="103" t="s">
        <v>26</v>
      </c>
      <c r="E348" s="91" t="s">
        <v>512</v>
      </c>
      <c r="F348" s="91" t="s">
        <v>516</v>
      </c>
      <c r="G348" s="91" t="s">
        <v>514</v>
      </c>
      <c r="H348" s="104" t="str">
        <f t="shared" si="24"/>
        <v>C4147J30</v>
      </c>
      <c r="I348" s="104"/>
      <c r="J348" s="105">
        <v>16.329999999999998</v>
      </c>
      <c r="K348" s="106" t="e">
        <f>IF(D348="CAESARSTONE LTD",VLOOKUP(H348,'[2]GIA CA'!G:H,2,0),IF(OR(D348="STONE FACINGS LIMITED",D348="NORDIA SA",D348="INVICTUS STONE COUNTERTOPS INC",D348="QUARTZTOP LLC"),VLOOKUP(H348,'[2] Giá ngoài Mỹ - SI-GR'!$B$5:$AZ$84,51,0),IF(OR(D348="HYUNDAI L&amp;C CANADA INC",D348="Hyundai L&amp; C USA LLC"),VLOOKUP(H348,'[2]GIA HS'!A:D,4,0),IF(Y348="Mỹ",VLOOKUP(H348,'[2]giá mỹ từ 6.8.2025'!B:I,2,0),VLOOKUP(H348,'[2]giá ngoài mỹ 6.8.2025 (final)'!B:BP,51,0)))))</f>
        <v>#N/A</v>
      </c>
      <c r="L348" s="106">
        <v>89</v>
      </c>
      <c r="M348" s="106" t="e">
        <f t="shared" si="23"/>
        <v>#N/A</v>
      </c>
      <c r="N348" s="106">
        <v>89</v>
      </c>
      <c r="O348" s="106">
        <v>3392.68</v>
      </c>
      <c r="P348" s="107">
        <v>26110</v>
      </c>
      <c r="Q348" s="107">
        <v>88582875</v>
      </c>
      <c r="R348" s="102" t="s">
        <v>30</v>
      </c>
      <c r="S348" s="108"/>
      <c r="T348" s="109"/>
      <c r="U348" s="109"/>
      <c r="V348" s="102"/>
      <c r="W348" s="109"/>
      <c r="X348" s="109"/>
      <c r="Y348" s="110" t="s">
        <v>31</v>
      </c>
      <c r="Z348" s="111" t="str">
        <f>MID(E348,4,2)</f>
        <v>CA</v>
      </c>
    </row>
    <row r="349" spans="1:26" s="111" customFormat="1" x14ac:dyDescent="0.2">
      <c r="A349" s="101">
        <v>46240</v>
      </c>
      <c r="B349" s="91" t="s">
        <v>510</v>
      </c>
      <c r="C349" s="102" t="s">
        <v>511</v>
      </c>
      <c r="D349" s="103" t="s">
        <v>26</v>
      </c>
      <c r="E349" s="91" t="s">
        <v>512</v>
      </c>
      <c r="F349" s="91" t="s">
        <v>517</v>
      </c>
      <c r="G349" s="91" t="s">
        <v>514</v>
      </c>
      <c r="H349" s="104" t="str">
        <f t="shared" si="24"/>
        <v>C4147J30</v>
      </c>
      <c r="I349" s="104"/>
      <c r="J349" s="105">
        <v>5.45</v>
      </c>
      <c r="K349" s="106">
        <v>20</v>
      </c>
      <c r="L349" s="106">
        <v>63</v>
      </c>
      <c r="M349" s="106">
        <f t="shared" si="23"/>
        <v>43</v>
      </c>
      <c r="N349" s="106">
        <v>63</v>
      </c>
      <c r="O349" s="107">
        <v>2058.21</v>
      </c>
      <c r="P349" s="107">
        <v>26110</v>
      </c>
      <c r="Q349" s="107">
        <v>53739863</v>
      </c>
      <c r="R349" s="102" t="s">
        <v>30</v>
      </c>
      <c r="S349" s="108"/>
      <c r="T349" s="109"/>
      <c r="U349" s="109"/>
      <c r="V349" s="102"/>
      <c r="W349" s="109"/>
      <c r="X349" s="109"/>
      <c r="Y349" s="110" t="s">
        <v>31</v>
      </c>
      <c r="Z349" s="111" t="str">
        <f>MID(E349,4,2)</f>
        <v>CA</v>
      </c>
    </row>
    <row r="350" spans="1:26" s="111" customFormat="1" x14ac:dyDescent="0.2">
      <c r="A350" s="101">
        <v>46240</v>
      </c>
      <c r="B350" s="91" t="s">
        <v>510</v>
      </c>
      <c r="C350" s="102" t="s">
        <v>511</v>
      </c>
      <c r="D350" s="103" t="s">
        <v>26</v>
      </c>
      <c r="E350" s="91" t="s">
        <v>512</v>
      </c>
      <c r="F350" s="91" t="s">
        <v>518</v>
      </c>
      <c r="G350" s="91" t="s">
        <v>519</v>
      </c>
      <c r="H350" s="104" t="str">
        <f t="shared" si="24"/>
        <v>C4221J30</v>
      </c>
      <c r="I350" s="104"/>
      <c r="J350" s="105">
        <v>5.45</v>
      </c>
      <c r="K350" s="106">
        <v>20</v>
      </c>
      <c r="L350" s="106">
        <v>63</v>
      </c>
      <c r="M350" s="106">
        <f t="shared" si="23"/>
        <v>43</v>
      </c>
      <c r="N350" s="106">
        <v>63</v>
      </c>
      <c r="O350" s="107">
        <v>4802.49</v>
      </c>
      <c r="P350" s="107">
        <v>26110</v>
      </c>
      <c r="Q350" s="107">
        <v>125393014</v>
      </c>
      <c r="R350" s="102" t="s">
        <v>30</v>
      </c>
      <c r="S350" s="108"/>
      <c r="T350" s="109"/>
      <c r="U350" s="109"/>
      <c r="V350" s="102"/>
      <c r="W350" s="109"/>
      <c r="X350" s="109"/>
      <c r="Y350" s="110" t="s">
        <v>31</v>
      </c>
      <c r="Z350" s="111" t="str">
        <f>MID(E350,4,2)</f>
        <v>CA</v>
      </c>
    </row>
    <row r="351" spans="1:26" s="111" customFormat="1" x14ac:dyDescent="0.2">
      <c r="A351" s="101">
        <v>46240</v>
      </c>
      <c r="B351" s="91" t="s">
        <v>510</v>
      </c>
      <c r="C351" s="102" t="s">
        <v>511</v>
      </c>
      <c r="D351" s="103" t="s">
        <v>26</v>
      </c>
      <c r="E351" s="91" t="s">
        <v>512</v>
      </c>
      <c r="F351" s="91" t="s">
        <v>520</v>
      </c>
      <c r="G351" s="91" t="s">
        <v>519</v>
      </c>
      <c r="H351" s="104" t="str">
        <f t="shared" si="24"/>
        <v>C4221J30</v>
      </c>
      <c r="I351" s="104"/>
      <c r="J351" s="105">
        <v>10.89</v>
      </c>
      <c r="K351" s="106">
        <v>20</v>
      </c>
      <c r="L351" s="106">
        <v>61</v>
      </c>
      <c r="M351" s="106">
        <f t="shared" si="23"/>
        <v>41</v>
      </c>
      <c r="N351" s="106">
        <v>61</v>
      </c>
      <c r="O351" s="107">
        <v>5978.61</v>
      </c>
      <c r="P351" s="107">
        <v>26110</v>
      </c>
      <c r="Q351" s="107">
        <v>156101507</v>
      </c>
      <c r="R351" s="102" t="s">
        <v>30</v>
      </c>
      <c r="S351" s="108"/>
      <c r="T351" s="109"/>
      <c r="U351" s="109"/>
      <c r="V351" s="102"/>
      <c r="W351" s="109"/>
      <c r="X351" s="109"/>
      <c r="Y351" s="110" t="s">
        <v>31</v>
      </c>
      <c r="Z351" s="111" t="str">
        <f>MID(E351,4,2)</f>
        <v>CA</v>
      </c>
    </row>
    <row r="352" spans="1:26" s="111" customFormat="1" x14ac:dyDescent="0.2">
      <c r="A352" s="101">
        <v>46240</v>
      </c>
      <c r="B352" s="91" t="s">
        <v>510</v>
      </c>
      <c r="C352" s="102" t="s">
        <v>511</v>
      </c>
      <c r="D352" s="103" t="s">
        <v>26</v>
      </c>
      <c r="E352" s="91" t="s">
        <v>512</v>
      </c>
      <c r="F352" s="91" t="s">
        <v>521</v>
      </c>
      <c r="G352" s="91" t="s">
        <v>522</v>
      </c>
      <c r="H352" s="104" t="str">
        <f t="shared" si="24"/>
        <v>C5233J30</v>
      </c>
      <c r="I352" s="104"/>
      <c r="J352" s="105">
        <v>21.78</v>
      </c>
      <c r="K352" s="106">
        <v>20</v>
      </c>
      <c r="L352" s="106">
        <v>61</v>
      </c>
      <c r="M352" s="106">
        <f t="shared" si="23"/>
        <v>41</v>
      </c>
      <c r="N352" s="106">
        <v>61</v>
      </c>
      <c r="O352" s="107">
        <v>664.29</v>
      </c>
      <c r="P352" s="107">
        <v>26110</v>
      </c>
      <c r="Q352" s="107">
        <v>17344612</v>
      </c>
      <c r="R352" s="102" t="s">
        <v>30</v>
      </c>
      <c r="S352" s="108"/>
      <c r="T352" s="109"/>
      <c r="U352" s="109"/>
      <c r="V352" s="102"/>
      <c r="W352" s="109"/>
      <c r="X352" s="109"/>
      <c r="Y352" s="110" t="s">
        <v>31</v>
      </c>
      <c r="Z352" s="111" t="str">
        <f>MID(E352,4,2)</f>
        <v>CA</v>
      </c>
    </row>
    <row r="353" spans="1:26" s="111" customFormat="1" x14ac:dyDescent="0.2">
      <c r="A353" s="101">
        <v>46240</v>
      </c>
      <c r="B353" s="91" t="s">
        <v>510</v>
      </c>
      <c r="C353" s="102" t="s">
        <v>511</v>
      </c>
      <c r="D353" s="103" t="s">
        <v>26</v>
      </c>
      <c r="E353" s="91" t="s">
        <v>512</v>
      </c>
      <c r="F353" s="91" t="s">
        <v>523</v>
      </c>
      <c r="G353" s="91" t="s">
        <v>522</v>
      </c>
      <c r="H353" s="104" t="str">
        <f t="shared" si="24"/>
        <v>C5233J30</v>
      </c>
      <c r="I353" s="104"/>
      <c r="J353" s="105">
        <v>38.119999999999997</v>
      </c>
      <c r="K353" s="106">
        <v>20</v>
      </c>
      <c r="L353" s="106">
        <v>76</v>
      </c>
      <c r="M353" s="106">
        <f t="shared" si="23"/>
        <v>56</v>
      </c>
      <c r="N353" s="106">
        <v>76</v>
      </c>
      <c r="O353" s="107">
        <v>5793.48</v>
      </c>
      <c r="P353" s="107">
        <v>26110</v>
      </c>
      <c r="Q353" s="107">
        <v>151267763</v>
      </c>
      <c r="R353" s="102" t="s">
        <v>30</v>
      </c>
      <c r="S353" s="108"/>
      <c r="T353" s="109"/>
      <c r="U353" s="109"/>
      <c r="V353" s="102"/>
      <c r="W353" s="109"/>
      <c r="X353" s="109"/>
      <c r="Y353" s="110" t="s">
        <v>31</v>
      </c>
      <c r="Z353" s="111" t="str">
        <f>MID(E353,4,2)</f>
        <v>CA</v>
      </c>
    </row>
    <row r="354" spans="1:26" s="111" customFormat="1" x14ac:dyDescent="0.2">
      <c r="A354" s="101">
        <v>46240</v>
      </c>
      <c r="B354" s="91" t="s">
        <v>510</v>
      </c>
      <c r="C354" s="102" t="s">
        <v>511</v>
      </c>
      <c r="D354" s="103" t="s">
        <v>26</v>
      </c>
      <c r="E354" s="91" t="s">
        <v>512</v>
      </c>
      <c r="F354" s="91" t="s">
        <v>524</v>
      </c>
      <c r="G354" s="91" t="s">
        <v>507</v>
      </c>
      <c r="H354" s="104" t="str">
        <f t="shared" si="24"/>
        <v>C5341J30</v>
      </c>
      <c r="I354" s="104"/>
      <c r="J354" s="105">
        <v>10.89</v>
      </c>
      <c r="K354" s="106" t="e">
        <f>IF(D354="CAESARSTONE LTD",VLOOKUP(H354,'[2]GIA CA'!G:H,2,0),IF(OR(D354="STONE FACINGS LIMITED",D354="NORDIA SA",D354="INVICTUS STONE COUNTERTOPS INC",D354="QUARTZTOP LLC"),VLOOKUP(H354,'[2] Giá ngoài Mỹ - SI-GR'!$B$5:$AZ$84,51,0),IF(OR(D354="HYUNDAI L&amp;C CANADA INC",D354="Hyundai L&amp; C USA LLC"),VLOOKUP(H354,'[2]GIA HS'!A:D,4,0),IF(Y354="Mỹ",VLOOKUP(H354,'[2]giá mỹ từ 6.8.2025'!B:I,2,0),VLOOKUP(H354,'[2]giá ngoài mỹ 6.8.2025 (final)'!B:BP,51,0)))))</f>
        <v>#N/A</v>
      </c>
      <c r="L354" s="106">
        <v>81</v>
      </c>
      <c r="M354" s="106" t="e">
        <f t="shared" si="23"/>
        <v>#N/A</v>
      </c>
      <c r="N354" s="106">
        <v>81</v>
      </c>
      <c r="O354" s="107">
        <v>6174.63</v>
      </c>
      <c r="P354" s="107">
        <v>26110</v>
      </c>
      <c r="Q354" s="107">
        <v>161219589</v>
      </c>
      <c r="R354" s="102" t="s">
        <v>30</v>
      </c>
      <c r="S354" s="108"/>
      <c r="T354" s="109"/>
      <c r="U354" s="109"/>
      <c r="V354" s="102"/>
      <c r="W354" s="109"/>
      <c r="X354" s="109"/>
      <c r="Y354" s="110" t="s">
        <v>31</v>
      </c>
      <c r="Z354" s="111" t="str">
        <f>MID(E354,4,2)</f>
        <v>CA</v>
      </c>
    </row>
    <row r="355" spans="1:26" s="111" customFormat="1" x14ac:dyDescent="0.2">
      <c r="A355" s="101">
        <v>46240</v>
      </c>
      <c r="B355" s="91" t="s">
        <v>510</v>
      </c>
      <c r="C355" s="102" t="s">
        <v>511</v>
      </c>
      <c r="D355" s="103" t="s">
        <v>26</v>
      </c>
      <c r="E355" s="91" t="s">
        <v>512</v>
      </c>
      <c r="F355" s="91" t="s">
        <v>506</v>
      </c>
      <c r="G355" s="91" t="s">
        <v>507</v>
      </c>
      <c r="H355" s="104" t="str">
        <f t="shared" si="24"/>
        <v>C5341J30</v>
      </c>
      <c r="I355" s="104"/>
      <c r="J355" s="105">
        <v>16.34</v>
      </c>
      <c r="K355" s="106" t="e">
        <f>IF(D355="CAESARSTONE LTD",VLOOKUP(H355,'[2]GIA CA'!G:H,2,0),IF(OR(D355="STONE FACINGS LIMITED",D355="NORDIA SA",D355="INVICTUS STONE COUNTERTOPS INC",D355="QUARTZTOP LLC"),VLOOKUP(H355,'[2] Giá ngoài Mỹ - SI-GR'!$B$5:$AZ$84,51,0),IF(OR(D355="HYUNDAI L&amp;C CANADA INC",D355="Hyundai L&amp; C USA LLC"),VLOOKUP(H355,'[2]GIA HS'!A:D,4,0),IF(Y355="Mỹ",VLOOKUP(H355,'[2]giá mỹ từ 6.8.2025'!B:I,2,0),VLOOKUP(H355,'[2]giá ngoài mỹ 6.8.2025 (final)'!B:BP,51,0)))))</f>
        <v>#N/A</v>
      </c>
      <c r="L355" s="106">
        <v>97</v>
      </c>
      <c r="M355" s="106" t="e">
        <f t="shared" si="23"/>
        <v>#N/A</v>
      </c>
      <c r="N355" s="106">
        <v>97</v>
      </c>
      <c r="O355" s="107">
        <v>3697.64</v>
      </c>
      <c r="P355" s="107">
        <v>26110</v>
      </c>
      <c r="Q355" s="107">
        <v>96545380</v>
      </c>
      <c r="R355" s="102" t="s">
        <v>30</v>
      </c>
      <c r="S355" s="108"/>
      <c r="T355" s="109"/>
      <c r="U355" s="109"/>
      <c r="V355" s="102"/>
      <c r="W355" s="109"/>
      <c r="X355" s="109"/>
      <c r="Y355" s="110" t="s">
        <v>31</v>
      </c>
      <c r="Z355" s="111" t="str">
        <f>MID(E355,4,2)</f>
        <v>CA</v>
      </c>
    </row>
    <row r="356" spans="1:26" s="111" customFormat="1" x14ac:dyDescent="0.2">
      <c r="A356" s="101">
        <v>46240</v>
      </c>
      <c r="B356" s="91" t="s">
        <v>525</v>
      </c>
      <c r="C356" s="102" t="s">
        <v>526</v>
      </c>
      <c r="D356" s="103" t="s">
        <v>26</v>
      </c>
      <c r="E356" s="91" t="s">
        <v>527</v>
      </c>
      <c r="F356" s="91" t="s">
        <v>528</v>
      </c>
      <c r="G356" s="91" t="s">
        <v>529</v>
      </c>
      <c r="H356" s="104" t="str">
        <f t="shared" si="24"/>
        <v>G5233J30</v>
      </c>
      <c r="I356" s="104"/>
      <c r="J356" s="105">
        <v>38.119999999999997</v>
      </c>
      <c r="K356" s="106">
        <f t="shared" ref="K356:K357" si="25">+L356</f>
        <v>65</v>
      </c>
      <c r="L356" s="106">
        <v>65</v>
      </c>
      <c r="M356" s="106">
        <f t="shared" si="23"/>
        <v>0</v>
      </c>
      <c r="N356" s="106">
        <v>65</v>
      </c>
      <c r="O356" s="107">
        <v>33623.199999999997</v>
      </c>
      <c r="P356" s="107">
        <v>26110</v>
      </c>
      <c r="Q356" s="107">
        <v>877901752</v>
      </c>
      <c r="R356" s="102" t="s">
        <v>30</v>
      </c>
      <c r="S356" s="108"/>
      <c r="T356" s="109"/>
      <c r="U356" s="109"/>
      <c r="V356" s="102"/>
      <c r="W356" s="109"/>
      <c r="X356" s="109"/>
      <c r="Y356" s="110" t="s">
        <v>31</v>
      </c>
      <c r="Z356" s="111" t="str">
        <f>MID(E356,4,2)</f>
        <v>CA</v>
      </c>
    </row>
    <row r="357" spans="1:26" s="111" customFormat="1" x14ac:dyDescent="0.2">
      <c r="A357" s="101">
        <v>46240</v>
      </c>
      <c r="B357" s="91" t="s">
        <v>525</v>
      </c>
      <c r="C357" s="102" t="s">
        <v>526</v>
      </c>
      <c r="D357" s="103" t="s">
        <v>26</v>
      </c>
      <c r="E357" s="91" t="s">
        <v>527</v>
      </c>
      <c r="F357" s="91" t="s">
        <v>530</v>
      </c>
      <c r="G357" s="91" t="s">
        <v>529</v>
      </c>
      <c r="H357" s="104" t="str">
        <f t="shared" si="24"/>
        <v>G5233J30</v>
      </c>
      <c r="I357" s="104"/>
      <c r="J357" s="105">
        <v>190.57</v>
      </c>
      <c r="K357" s="106">
        <f t="shared" si="25"/>
        <v>75</v>
      </c>
      <c r="L357" s="106">
        <v>75</v>
      </c>
      <c r="M357" s="106">
        <f t="shared" si="23"/>
        <v>0</v>
      </c>
      <c r="N357" s="106">
        <v>75</v>
      </c>
      <c r="O357" s="107">
        <v>2859</v>
      </c>
      <c r="P357" s="107">
        <v>26110</v>
      </c>
      <c r="Q357" s="107">
        <v>74648490</v>
      </c>
      <c r="R357" s="102" t="s">
        <v>30</v>
      </c>
      <c r="S357" s="108"/>
      <c r="T357" s="109"/>
      <c r="U357" s="109"/>
      <c r="V357" s="102"/>
      <c r="W357" s="109"/>
      <c r="X357" s="109"/>
      <c r="Y357" s="110" t="s">
        <v>31</v>
      </c>
      <c r="Z357" s="111" t="str">
        <f>MID(E357,4,2)</f>
        <v>CA</v>
      </c>
    </row>
    <row r="358" spans="1:26" s="111" customFormat="1" x14ac:dyDescent="0.2">
      <c r="A358" s="101">
        <v>46240</v>
      </c>
      <c r="B358" s="91" t="s">
        <v>525</v>
      </c>
      <c r="C358" s="102" t="s">
        <v>526</v>
      </c>
      <c r="D358" s="103" t="s">
        <v>26</v>
      </c>
      <c r="E358" s="91" t="s">
        <v>527</v>
      </c>
      <c r="F358" s="91" t="s">
        <v>232</v>
      </c>
      <c r="G358" s="91" t="s">
        <v>233</v>
      </c>
      <c r="H358" s="104" t="str">
        <f t="shared" si="24"/>
        <v>C4003J30</v>
      </c>
      <c r="I358" s="104"/>
      <c r="J358" s="105">
        <v>38.119999999999997</v>
      </c>
      <c r="K358" s="106">
        <f>IF(D358="CAESARSTONE LTD",VLOOKUP(H358,'[2]GIA CA'!G:H,2,0),IF(OR(D358="STONE FACINGS LIMITED",D358="NORDIA SA",D358="INVICTUS STONE COUNTERTOPS INC",D358="QUARTZTOP LLC"),VLOOKUP(H358,'[2] Giá ngoài Mỹ - SI-GR'!$B$5:$AZ$84,51,0),IF(OR(D358="HYUNDAI L&amp;C CANADA INC",D358="Hyundai L&amp; C USA LLC"),VLOOKUP(H358,'[2]GIA HS'!A:D,4,0),IF(Y358="Mỹ",VLOOKUP(H358,'[2]giá mỹ từ 6.8.2025'!B:I,2,0),VLOOKUP(H358,'[2]giá ngoài mỹ 6.8.2025 (final)'!B:BP,51,0)))))</f>
        <v>68.75</v>
      </c>
      <c r="L358" s="106">
        <v>89</v>
      </c>
      <c r="M358" s="106">
        <f t="shared" si="23"/>
        <v>20.25</v>
      </c>
      <c r="N358" s="106">
        <v>89</v>
      </c>
      <c r="O358" s="107">
        <v>3392.68</v>
      </c>
      <c r="P358" s="107">
        <v>26110</v>
      </c>
      <c r="Q358" s="107">
        <v>88582875</v>
      </c>
      <c r="R358" s="102" t="s">
        <v>30</v>
      </c>
      <c r="S358" s="108"/>
      <c r="T358" s="109"/>
      <c r="U358" s="109"/>
      <c r="V358" s="102"/>
      <c r="W358" s="109"/>
      <c r="X358" s="109"/>
      <c r="Y358" s="110" t="s">
        <v>31</v>
      </c>
      <c r="Z358" s="111" t="str">
        <f>MID(E358,4,2)</f>
        <v>CA</v>
      </c>
    </row>
    <row r="359" spans="1:26" s="111" customFormat="1" x14ac:dyDescent="0.2">
      <c r="A359" s="101">
        <v>46240</v>
      </c>
      <c r="B359" s="91" t="s">
        <v>525</v>
      </c>
      <c r="C359" s="102" t="s">
        <v>526</v>
      </c>
      <c r="D359" s="103" t="s">
        <v>26</v>
      </c>
      <c r="E359" s="91" t="s">
        <v>527</v>
      </c>
      <c r="F359" s="91" t="s">
        <v>72</v>
      </c>
      <c r="G359" s="91" t="s">
        <v>73</v>
      </c>
      <c r="H359" s="104" t="str">
        <f t="shared" si="24"/>
        <v>C5143J30</v>
      </c>
      <c r="I359" s="104"/>
      <c r="J359" s="105">
        <v>38.119999999999997</v>
      </c>
      <c r="K359" s="106">
        <f>IF(D359="CAESARSTONE LTD",VLOOKUP(H359,'[2]GIA CA'!G:H,2,0),IF(OR(D359="STONE FACINGS LIMITED",D359="NORDIA SA",D359="INVICTUS STONE COUNTERTOPS INC",D359="QUARTZTOP LLC"),VLOOKUP(H359,'[2] Giá ngoài Mỹ - SI-GR'!$B$5:$AZ$84,51,0),IF(OR(D359="HYUNDAI L&amp;C CANADA INC",D359="Hyundai L&amp; C USA LLC"),VLOOKUP(H359,'[2]GIA HS'!A:D,4,0),IF(Y359="Mỹ",VLOOKUP(H359,'[2]giá mỹ từ 6.8.2025'!B:I,2,0),VLOOKUP(H359,'[2]giá ngoài mỹ 6.8.2025 (final)'!B:BP,51,0)))))</f>
        <v>73.75</v>
      </c>
      <c r="L359" s="106">
        <v>73.75</v>
      </c>
      <c r="M359" s="106">
        <f t="shared" si="23"/>
        <v>0</v>
      </c>
      <c r="N359" s="106">
        <v>65</v>
      </c>
      <c r="O359" s="107">
        <v>354.25</v>
      </c>
      <c r="P359" s="107">
        <v>26110</v>
      </c>
      <c r="Q359" s="107">
        <v>9249468</v>
      </c>
      <c r="R359" s="102" t="s">
        <v>30</v>
      </c>
      <c r="S359" s="108"/>
      <c r="T359" s="109"/>
      <c r="U359" s="109"/>
      <c r="V359" s="102"/>
      <c r="W359" s="109"/>
      <c r="X359" s="109"/>
      <c r="Y359" s="110" t="s">
        <v>31</v>
      </c>
      <c r="Z359" s="111" t="str">
        <f>MID(E359,4,2)</f>
        <v>CA</v>
      </c>
    </row>
    <row r="360" spans="1:26" s="111" customFormat="1" x14ac:dyDescent="0.2">
      <c r="A360" s="101">
        <v>46240</v>
      </c>
      <c r="B360" s="91" t="s">
        <v>525</v>
      </c>
      <c r="C360" s="102" t="s">
        <v>526</v>
      </c>
      <c r="D360" s="103" t="s">
        <v>26</v>
      </c>
      <c r="E360" s="91" t="s">
        <v>527</v>
      </c>
      <c r="F360" s="91" t="s">
        <v>28</v>
      </c>
      <c r="G360" s="91" t="s">
        <v>29</v>
      </c>
      <c r="H360" s="104" t="str">
        <f t="shared" si="24"/>
        <v>F4001J20</v>
      </c>
      <c r="I360" s="104"/>
      <c r="J360" s="105">
        <v>54.45</v>
      </c>
      <c r="K360" s="106">
        <f>IF(D360="CAESARSTONE LTD",VLOOKUP(H360,'[2]GIA CA'!G:H,2,0),IF(OR(D360="STONE FACINGS LIMITED",D360="NORDIA SA",D360="INVICTUS STONE COUNTERTOPS INC",D360="QUARTZTOP LLC"),VLOOKUP(H360,'[2] Giá ngoài Mỹ - SI-GR'!$B$5:$AZ$84,51,0),IF(OR(D360="HYUNDAI L&amp;C CANADA INC",D360="Hyundai L&amp; C USA LLC"),VLOOKUP(H360,'[2]GIA HS'!A:D,4,0),IF(Y360="Mỹ",VLOOKUP(H360,'[2]giá mỹ từ 6.8.2025'!B:I,2,0),VLOOKUP(H360,'[2]giá ngoài mỹ 6.8.2025 (final)'!B:BP,51,0)))))</f>
        <v>58</v>
      </c>
      <c r="L360" s="106">
        <v>65</v>
      </c>
      <c r="M360" s="106">
        <f t="shared" si="23"/>
        <v>7</v>
      </c>
      <c r="N360" s="106">
        <v>65</v>
      </c>
      <c r="O360" s="107">
        <v>354.25</v>
      </c>
      <c r="P360" s="107">
        <v>26110</v>
      </c>
      <c r="Q360" s="107">
        <v>9249468</v>
      </c>
      <c r="R360" s="102" t="s">
        <v>30</v>
      </c>
      <c r="S360" s="108"/>
      <c r="T360" s="109"/>
      <c r="U360" s="109"/>
      <c r="V360" s="102"/>
      <c r="W360" s="109"/>
      <c r="X360" s="109"/>
      <c r="Y360" s="110" t="s">
        <v>31</v>
      </c>
      <c r="Z360" s="111" t="str">
        <f>MID(E360,4,2)</f>
        <v>CA</v>
      </c>
    </row>
    <row r="361" spans="1:26" s="111" customFormat="1" x14ac:dyDescent="0.2">
      <c r="A361" s="101">
        <v>46240</v>
      </c>
      <c r="B361" s="91" t="s">
        <v>525</v>
      </c>
      <c r="C361" s="102" t="s">
        <v>526</v>
      </c>
      <c r="D361" s="103" t="s">
        <v>26</v>
      </c>
      <c r="E361" s="91" t="s">
        <v>527</v>
      </c>
      <c r="F361" s="91" t="s">
        <v>32</v>
      </c>
      <c r="G361" s="91" t="s">
        <v>33</v>
      </c>
      <c r="H361" s="104" t="str">
        <f t="shared" si="24"/>
        <v>F4001J30</v>
      </c>
      <c r="I361" s="104"/>
      <c r="J361" s="105">
        <v>190.58</v>
      </c>
      <c r="K361" s="106">
        <f>IF(D361="CAESARSTONE LTD",VLOOKUP(H361,'[2]GIA CA'!G:H,2,0),IF(OR(D361="STONE FACINGS LIMITED",D361="NORDIA SA",D361="INVICTUS STONE COUNTERTOPS INC",D361="QUARTZTOP LLC"),VLOOKUP(H361,'[2] Giá ngoài Mỹ - SI-GR'!$B$5:$AZ$84,51,0),IF(OR(D361="HYUNDAI L&amp;C CANADA INC",D361="Hyundai L&amp; C USA LLC"),VLOOKUP(H361,'[2]GIA HS'!A:D,4,0),IF(Y361="Mỹ",VLOOKUP(H361,'[2]giá mỹ từ 6.8.2025'!B:I,2,0),VLOOKUP(H361,'[2]giá ngoài mỹ 6.8.2025 (final)'!B:BP,51,0)))))</f>
        <v>72.5</v>
      </c>
      <c r="L361" s="106">
        <v>72.5</v>
      </c>
      <c r="M361" s="106">
        <f t="shared" si="23"/>
        <v>0</v>
      </c>
      <c r="N361" s="106">
        <v>65</v>
      </c>
      <c r="O361" s="107">
        <v>2830.75</v>
      </c>
      <c r="P361" s="107">
        <v>26110</v>
      </c>
      <c r="Q361" s="107">
        <v>73910883</v>
      </c>
      <c r="R361" s="102" t="s">
        <v>30</v>
      </c>
      <c r="S361" s="108"/>
      <c r="T361" s="109"/>
      <c r="U361" s="109"/>
      <c r="V361" s="102"/>
      <c r="W361" s="109"/>
      <c r="X361" s="109"/>
      <c r="Y361" s="110" t="s">
        <v>31</v>
      </c>
      <c r="Z361" s="111" t="str">
        <f>MID(E361,4,2)</f>
        <v>CA</v>
      </c>
    </row>
    <row r="362" spans="1:26" s="111" customFormat="1" x14ac:dyDescent="0.2">
      <c r="A362" s="101">
        <v>46240</v>
      </c>
      <c r="B362" s="91" t="s">
        <v>525</v>
      </c>
      <c r="C362" s="102" t="s">
        <v>526</v>
      </c>
      <c r="D362" s="103" t="s">
        <v>26</v>
      </c>
      <c r="E362" s="91" t="s">
        <v>527</v>
      </c>
      <c r="F362" s="91" t="s">
        <v>36</v>
      </c>
      <c r="G362" s="91" t="s">
        <v>37</v>
      </c>
      <c r="H362" s="104" t="str">
        <f t="shared" si="24"/>
        <v>F5105J30</v>
      </c>
      <c r="I362" s="104"/>
      <c r="J362" s="105">
        <v>38.119999999999997</v>
      </c>
      <c r="K362" s="106">
        <f>IF(D362="CAESARSTONE LTD",VLOOKUP(H362,'[2]GIA CA'!G:H,2,0),IF(OR(D362="STONE FACINGS LIMITED",D362="NORDIA SA",D362="INVICTUS STONE COUNTERTOPS INC",D362="QUARTZTOP LLC"),VLOOKUP(H362,'[2] Giá ngoài Mỹ - SI-GR'!$B$5:$AZ$84,51,0),IF(OR(D362="HYUNDAI L&amp;C CANADA INC",D362="Hyundai L&amp; C USA LLC"),VLOOKUP(H362,'[2]GIA HS'!A:D,4,0),IF(Y362="Mỹ",VLOOKUP(H362,'[2]giá mỹ từ 6.8.2025'!B:I,2,0),VLOOKUP(H362,'[2]giá ngoài mỹ 6.8.2025 (final)'!B:BP,51,0)))))</f>
        <v>85</v>
      </c>
      <c r="L362" s="106">
        <v>85</v>
      </c>
      <c r="M362" s="106">
        <f t="shared" si="23"/>
        <v>0</v>
      </c>
      <c r="N362" s="106">
        <v>66.8</v>
      </c>
      <c r="O362" s="107">
        <v>3637</v>
      </c>
      <c r="P362" s="107">
        <v>26110</v>
      </c>
      <c r="Q362" s="107">
        <v>94962070</v>
      </c>
      <c r="R362" s="102" t="s">
        <v>30</v>
      </c>
      <c r="S362" s="108"/>
      <c r="T362" s="109"/>
      <c r="U362" s="109"/>
      <c r="V362" s="102"/>
      <c r="W362" s="109"/>
      <c r="X362" s="109"/>
      <c r="Y362" s="110" t="s">
        <v>31</v>
      </c>
      <c r="Z362" s="111" t="str">
        <f>MID(E362,4,2)</f>
        <v>CA</v>
      </c>
    </row>
    <row r="363" spans="1:26" s="111" customFormat="1" x14ac:dyDescent="0.2">
      <c r="A363" s="101">
        <v>46240</v>
      </c>
      <c r="B363" s="91" t="s">
        <v>525</v>
      </c>
      <c r="C363" s="102" t="s">
        <v>526</v>
      </c>
      <c r="D363" s="103" t="s">
        <v>26</v>
      </c>
      <c r="E363" s="91" t="s">
        <v>527</v>
      </c>
      <c r="F363" s="91" t="s">
        <v>388</v>
      </c>
      <c r="G363" s="91" t="s">
        <v>271</v>
      </c>
      <c r="H363" s="104" t="str">
        <f t="shared" si="24"/>
        <v>F4044J20</v>
      </c>
      <c r="I363" s="104"/>
      <c r="J363" s="105">
        <v>32.67</v>
      </c>
      <c r="K363" s="106">
        <f t="shared" ref="K363:K364" si="26">+L363</f>
        <v>76</v>
      </c>
      <c r="L363" s="106">
        <v>76</v>
      </c>
      <c r="M363" s="106">
        <f t="shared" si="23"/>
        <v>0</v>
      </c>
      <c r="N363" s="106">
        <v>76</v>
      </c>
      <c r="O363" s="107">
        <v>2897.12</v>
      </c>
      <c r="P363" s="107">
        <v>26110</v>
      </c>
      <c r="Q363" s="107">
        <v>75643803</v>
      </c>
      <c r="R363" s="102" t="s">
        <v>30</v>
      </c>
      <c r="S363" s="108"/>
      <c r="T363" s="109"/>
      <c r="U363" s="109"/>
      <c r="V363" s="102"/>
      <c r="W363" s="109"/>
      <c r="X363" s="109"/>
      <c r="Y363" s="110" t="s">
        <v>31</v>
      </c>
      <c r="Z363" s="111" t="str">
        <f>MID(E363,4,2)</f>
        <v>CA</v>
      </c>
    </row>
    <row r="364" spans="1:26" s="111" customFormat="1" x14ac:dyDescent="0.2">
      <c r="A364" s="101">
        <v>46240</v>
      </c>
      <c r="B364" s="91" t="s">
        <v>525</v>
      </c>
      <c r="C364" s="102" t="s">
        <v>526</v>
      </c>
      <c r="D364" s="103" t="s">
        <v>26</v>
      </c>
      <c r="E364" s="91" t="s">
        <v>527</v>
      </c>
      <c r="F364" s="91" t="s">
        <v>388</v>
      </c>
      <c r="G364" s="91" t="s">
        <v>271</v>
      </c>
      <c r="H364" s="104" t="str">
        <f t="shared" si="24"/>
        <v>F4044J20</v>
      </c>
      <c r="I364" s="104"/>
      <c r="J364" s="105">
        <v>76.23</v>
      </c>
      <c r="K364" s="106">
        <f t="shared" si="26"/>
        <v>81</v>
      </c>
      <c r="L364" s="106">
        <v>81</v>
      </c>
      <c r="M364" s="106">
        <f t="shared" si="23"/>
        <v>0</v>
      </c>
      <c r="N364" s="106">
        <v>81</v>
      </c>
      <c r="O364" s="107">
        <v>9262.35</v>
      </c>
      <c r="P364" s="107">
        <v>26110</v>
      </c>
      <c r="Q364" s="107">
        <v>241839959</v>
      </c>
      <c r="R364" s="102" t="s">
        <v>30</v>
      </c>
      <c r="S364" s="108"/>
      <c r="T364" s="109"/>
      <c r="U364" s="109"/>
      <c r="V364" s="102"/>
      <c r="W364" s="109"/>
      <c r="X364" s="109"/>
      <c r="Y364" s="110" t="s">
        <v>31</v>
      </c>
      <c r="Z364" s="111" t="str">
        <f>MID(E364,4,2)</f>
        <v>CA</v>
      </c>
    </row>
    <row r="365" spans="1:26" s="111" customFormat="1" x14ac:dyDescent="0.2">
      <c r="A365" s="101">
        <v>46240</v>
      </c>
      <c r="B365" s="91" t="s">
        <v>525</v>
      </c>
      <c r="C365" s="102" t="s">
        <v>526</v>
      </c>
      <c r="D365" s="103" t="s">
        <v>26</v>
      </c>
      <c r="E365" s="91" t="s">
        <v>527</v>
      </c>
      <c r="F365" s="91" t="s">
        <v>205</v>
      </c>
      <c r="G365" s="91" t="s">
        <v>206</v>
      </c>
      <c r="H365" s="104" t="str">
        <f t="shared" si="24"/>
        <v>F5141J20</v>
      </c>
      <c r="I365" s="104"/>
      <c r="J365" s="105">
        <v>98.01</v>
      </c>
      <c r="K365" s="106">
        <f>IF(D365="CAESARSTONE LTD",VLOOKUP(H365,'[2]GIA CA'!G:H,2,0),IF(OR(D365="STONE FACINGS LIMITED",D365="NORDIA SA",D365="INVICTUS STONE COUNTERTOPS INC",D365="QUARTZTOP LLC"),VLOOKUP(H365,'[2] Giá ngoài Mỹ - SI-GR'!$B$5:$AZ$84,51,0),IF(OR(D365="HYUNDAI L&amp;C CANADA INC",D365="Hyundai L&amp; C USA LLC"),VLOOKUP(H365,'[2]GIA HS'!A:D,4,0),IF(Y365="Mỹ",VLOOKUP(H365,'[2]giá mỹ từ 6.8.2025'!B:I,2,0),VLOOKUP(H365,'[2]giá ngoài mỹ 6.8.2025 (final)'!B:BP,51,0)))))</f>
        <v>58</v>
      </c>
      <c r="L365" s="106">
        <v>78</v>
      </c>
      <c r="M365" s="106">
        <f t="shared" si="23"/>
        <v>20</v>
      </c>
      <c r="N365" s="106">
        <v>78</v>
      </c>
      <c r="O365" s="107">
        <v>4247.1000000000004</v>
      </c>
      <c r="P365" s="107">
        <v>26110</v>
      </c>
      <c r="Q365" s="107">
        <v>110891781</v>
      </c>
      <c r="R365" s="102" t="s">
        <v>30</v>
      </c>
      <c r="S365" s="108"/>
      <c r="T365" s="109"/>
      <c r="U365" s="109"/>
      <c r="V365" s="102"/>
      <c r="W365" s="109"/>
      <c r="X365" s="109"/>
      <c r="Y365" s="110" t="s">
        <v>31</v>
      </c>
      <c r="Z365" s="111" t="str">
        <f>MID(E365,4,2)</f>
        <v>CA</v>
      </c>
    </row>
    <row r="366" spans="1:26" s="111" customFormat="1" x14ac:dyDescent="0.2">
      <c r="A366" s="101">
        <v>46240</v>
      </c>
      <c r="B366" s="91" t="s">
        <v>531</v>
      </c>
      <c r="C366" s="102" t="s">
        <v>532</v>
      </c>
      <c r="D366" s="103" t="s">
        <v>26</v>
      </c>
      <c r="E366" s="91" t="s">
        <v>533</v>
      </c>
      <c r="F366" s="91" t="s">
        <v>207</v>
      </c>
      <c r="G366" s="91" t="s">
        <v>206</v>
      </c>
      <c r="H366" s="104" t="str">
        <f t="shared" si="24"/>
        <v>F5141J20</v>
      </c>
      <c r="I366" s="104"/>
      <c r="J366" s="105">
        <v>10.89</v>
      </c>
      <c r="K366" s="106">
        <f>IF(D366="CAESARSTONE LTD",VLOOKUP(H366,'[2]GIA CA'!G:H,2,0),IF(OR(D366="STONE FACINGS LIMITED",D366="NORDIA SA",D366="INVICTUS STONE COUNTERTOPS INC",D366="QUARTZTOP LLC"),VLOOKUP(H366,'[2] Giá ngoài Mỹ - SI-GR'!$B$5:$AZ$84,51,0),IF(OR(D366="HYUNDAI L&amp;C CANADA INC",D366="Hyundai L&amp; C USA LLC"),VLOOKUP(H366,'[2]GIA HS'!A:D,4,0),IF(Y366="Mỹ",VLOOKUP(H366,'[2]giá mỹ từ 6.8.2025'!B:I,2,0),VLOOKUP(H366,'[2]giá ngoài mỹ 6.8.2025 (final)'!B:BP,51,0)))))</f>
        <v>58</v>
      </c>
      <c r="L366" s="106">
        <v>85</v>
      </c>
      <c r="M366" s="106">
        <f t="shared" si="23"/>
        <v>27</v>
      </c>
      <c r="N366" s="106">
        <v>85</v>
      </c>
      <c r="O366" s="107">
        <v>6479.55</v>
      </c>
      <c r="P366" s="107">
        <v>26110</v>
      </c>
      <c r="Q366" s="107">
        <v>169181051</v>
      </c>
      <c r="R366" s="102" t="s">
        <v>30</v>
      </c>
      <c r="S366" s="108"/>
      <c r="T366" s="109"/>
      <c r="U366" s="109"/>
      <c r="V366" s="102"/>
      <c r="W366" s="109"/>
      <c r="X366" s="109"/>
      <c r="Y366" s="110" t="s">
        <v>31</v>
      </c>
      <c r="Z366" s="111" t="str">
        <f>MID(E366,4,2)</f>
        <v>CA</v>
      </c>
    </row>
    <row r="367" spans="1:26" s="111" customFormat="1" x14ac:dyDescent="0.2">
      <c r="A367" s="101">
        <v>46240</v>
      </c>
      <c r="B367" s="91" t="s">
        <v>531</v>
      </c>
      <c r="C367" s="102" t="s">
        <v>532</v>
      </c>
      <c r="D367" s="103" t="s">
        <v>26</v>
      </c>
      <c r="E367" s="91" t="s">
        <v>533</v>
      </c>
      <c r="F367" s="91" t="s">
        <v>43</v>
      </c>
      <c r="G367" s="91" t="s">
        <v>44</v>
      </c>
      <c r="H367" s="104" t="str">
        <f t="shared" si="24"/>
        <v>F5141J30</v>
      </c>
      <c r="I367" s="104"/>
      <c r="J367" s="105">
        <v>76.23</v>
      </c>
      <c r="K367" s="106">
        <f>IF(D367="CAESARSTONE LTD",VLOOKUP(H367,'[2]GIA CA'!G:H,2,0),IF(OR(D367="STONE FACINGS LIMITED",D367="NORDIA SA",D367="INVICTUS STONE COUNTERTOPS INC",D367="QUARTZTOP LLC"),VLOOKUP(H367,'[2] Giá ngoài Mỹ - SI-GR'!$B$5:$AZ$84,51,0),IF(OR(D367="HYUNDAI L&amp;C CANADA INC",D367="Hyundai L&amp; C USA LLC"),VLOOKUP(H367,'[2]GIA HS'!A:D,4,0),IF(Y367="Mỹ",VLOOKUP(H367,'[2]giá mỹ từ 6.8.2025'!B:I,2,0),VLOOKUP(H367,'[2]giá ngoài mỹ 6.8.2025 (final)'!B:BP,51,0)))))</f>
        <v>72.5</v>
      </c>
      <c r="L367" s="106">
        <v>72.5</v>
      </c>
      <c r="M367" s="106">
        <f t="shared" si="23"/>
        <v>0</v>
      </c>
      <c r="N367" s="106">
        <v>65.62</v>
      </c>
      <c r="O367" s="107">
        <v>3572.84</v>
      </c>
      <c r="P367" s="107">
        <v>26110</v>
      </c>
      <c r="Q367" s="107">
        <v>93286852</v>
      </c>
      <c r="R367" s="102" t="s">
        <v>30</v>
      </c>
      <c r="S367" s="108"/>
      <c r="T367" s="109"/>
      <c r="U367" s="109"/>
      <c r="V367" s="102"/>
      <c r="W367" s="109"/>
      <c r="X367" s="109"/>
      <c r="Y367" s="110" t="s">
        <v>31</v>
      </c>
      <c r="Z367" s="111" t="str">
        <f>MID(E367,4,2)</f>
        <v>CA</v>
      </c>
    </row>
    <row r="368" spans="1:26" s="111" customFormat="1" x14ac:dyDescent="0.2">
      <c r="A368" s="101">
        <v>46240</v>
      </c>
      <c r="B368" s="91" t="s">
        <v>531</v>
      </c>
      <c r="C368" s="102" t="s">
        <v>532</v>
      </c>
      <c r="D368" s="103" t="s">
        <v>26</v>
      </c>
      <c r="E368" s="91" t="s">
        <v>533</v>
      </c>
      <c r="F368" s="91" t="s">
        <v>38</v>
      </c>
      <c r="G368" s="91" t="s">
        <v>39</v>
      </c>
      <c r="H368" s="104" t="str">
        <f t="shared" si="24"/>
        <v>F5143J30</v>
      </c>
      <c r="I368" s="104"/>
      <c r="J368" s="105">
        <v>76.23</v>
      </c>
      <c r="K368" s="106">
        <f>IF(D368="CAESARSTONE LTD",VLOOKUP(H368,'[2]GIA CA'!G:H,2,0),IF(OR(D368="STONE FACINGS LIMITED",D368="NORDIA SA",D368="INVICTUS STONE COUNTERTOPS INC",D368="QUARTZTOP LLC"),VLOOKUP(H368,'[2] Giá ngoài Mỹ - SI-GR'!$B$5:$AZ$84,51,0),IF(OR(D368="HYUNDAI L&amp;C CANADA INC",D368="Hyundai L&amp; C USA LLC"),VLOOKUP(H368,'[2]GIA HS'!A:D,4,0),IF(Y368="Mỹ",VLOOKUP(H368,'[2]giá mỹ từ 6.8.2025'!B:I,2,0),VLOOKUP(H368,'[2]giá ngoài mỹ 6.8.2025 (final)'!B:BP,51,0)))))</f>
        <v>77.5</v>
      </c>
      <c r="L368" s="106">
        <v>77.5</v>
      </c>
      <c r="M368" s="106">
        <f t="shared" si="23"/>
        <v>0</v>
      </c>
      <c r="N368" s="106">
        <v>61</v>
      </c>
      <c r="O368" s="107">
        <v>3321.45</v>
      </c>
      <c r="P368" s="107">
        <v>26110</v>
      </c>
      <c r="Q368" s="107">
        <v>86723060</v>
      </c>
      <c r="R368" s="102" t="s">
        <v>30</v>
      </c>
      <c r="S368" s="108"/>
      <c r="T368" s="109"/>
      <c r="U368" s="109"/>
      <c r="V368" s="102"/>
      <c r="W368" s="109"/>
      <c r="X368" s="109"/>
      <c r="Y368" s="110" t="s">
        <v>31</v>
      </c>
      <c r="Z368" s="111" t="str">
        <f>MID(E368,4,2)</f>
        <v>CA</v>
      </c>
    </row>
    <row r="369" spans="1:26" s="111" customFormat="1" x14ac:dyDescent="0.2">
      <c r="A369" s="101">
        <v>46240</v>
      </c>
      <c r="B369" s="91" t="s">
        <v>531</v>
      </c>
      <c r="C369" s="102" t="s">
        <v>532</v>
      </c>
      <c r="D369" s="103" t="s">
        <v>26</v>
      </c>
      <c r="E369" s="91" t="s">
        <v>533</v>
      </c>
      <c r="F369" s="91" t="s">
        <v>211</v>
      </c>
      <c r="G369" s="91" t="s">
        <v>212</v>
      </c>
      <c r="H369" s="104" t="str">
        <f t="shared" si="24"/>
        <v>F5444J30</v>
      </c>
      <c r="I369" s="104"/>
      <c r="J369" s="105">
        <v>38.119999999999997</v>
      </c>
      <c r="K369" s="106">
        <f>IF(D369="CAESARSTONE LTD",VLOOKUP(H369,'[2]GIA CA'!G:H,2,0),IF(OR(D369="STONE FACINGS LIMITED",D369="NORDIA SA",D369="INVICTUS STONE COUNTERTOPS INC",D369="QUARTZTOP LLC"),VLOOKUP(H369,'[2] Giá ngoài Mỹ - SI-GR'!$B$5:$AZ$84,51,0),IF(OR(D369="HYUNDAI L&amp;C CANADA INC",D369="Hyundai L&amp; C USA LLC"),VLOOKUP(H369,'[2]GIA HS'!A:D,4,0),IF(Y369="Mỹ",VLOOKUP(H369,'[2]giá mỹ từ 6.8.2025'!B:I,2,0),VLOOKUP(H369,'[2]giá ngoài mỹ 6.8.2025 (final)'!B:BP,51,0)))))</f>
        <v>92.5</v>
      </c>
      <c r="L369" s="106">
        <v>92.5</v>
      </c>
      <c r="M369" s="106">
        <f t="shared" si="23"/>
        <v>0</v>
      </c>
      <c r="N369" s="106">
        <v>76</v>
      </c>
      <c r="O369" s="107">
        <v>2897.12</v>
      </c>
      <c r="P369" s="107">
        <v>26110</v>
      </c>
      <c r="Q369" s="107">
        <v>75643803</v>
      </c>
      <c r="R369" s="102" t="s">
        <v>30</v>
      </c>
      <c r="S369" s="108"/>
      <c r="T369" s="109"/>
      <c r="U369" s="109"/>
      <c r="V369" s="102"/>
      <c r="W369" s="109"/>
      <c r="X369" s="109"/>
      <c r="Y369" s="110" t="s">
        <v>31</v>
      </c>
      <c r="Z369" s="111" t="str">
        <f>MID(E369,4,2)</f>
        <v>CA</v>
      </c>
    </row>
    <row r="370" spans="1:26" s="111" customFormat="1" x14ac:dyDescent="0.2">
      <c r="A370" s="101">
        <v>46240</v>
      </c>
      <c r="B370" s="91" t="s">
        <v>531</v>
      </c>
      <c r="C370" s="102" t="s">
        <v>532</v>
      </c>
      <c r="D370" s="103" t="s">
        <v>26</v>
      </c>
      <c r="E370" s="91" t="s">
        <v>533</v>
      </c>
      <c r="F370" s="91" t="s">
        <v>451</v>
      </c>
      <c r="G370" s="91" t="s">
        <v>452</v>
      </c>
      <c r="H370" s="104" t="str">
        <f t="shared" si="24"/>
        <v>F5143J20</v>
      </c>
      <c r="I370" s="104"/>
      <c r="J370" s="105">
        <v>517.28</v>
      </c>
      <c r="K370" s="106">
        <f>IF(D370="CAESARSTONE LTD",VLOOKUP(H370,'[2]GIA CA'!G:H,2,0),IF(OR(D370="STONE FACINGS LIMITED",D370="NORDIA SA",D370="INVICTUS STONE COUNTERTOPS INC",D370="QUARTZTOP LLC"),VLOOKUP(H370,'[2] Giá ngoài Mỹ - SI-GR'!$B$5:$AZ$84,51,0),IF(OR(D370="HYUNDAI L&amp;C CANADA INC",D370="Hyundai L&amp; C USA LLC"),VLOOKUP(H370,'[2]GIA HS'!A:D,4,0),IF(Y370="Mỹ",VLOOKUP(H370,'[2]giá mỹ từ 6.8.2025'!B:I,2,0),VLOOKUP(H370,'[2]giá ngoài mỹ 6.8.2025 (final)'!B:BP,51,0)))))</f>
        <v>62</v>
      </c>
      <c r="L370" s="106">
        <v>65</v>
      </c>
      <c r="M370" s="106">
        <f t="shared" si="23"/>
        <v>3</v>
      </c>
      <c r="N370" s="106">
        <v>65</v>
      </c>
      <c r="O370" s="106">
        <v>3539.25</v>
      </c>
      <c r="P370" s="107">
        <v>26110</v>
      </c>
      <c r="Q370" s="107">
        <v>92409818</v>
      </c>
      <c r="R370" s="102" t="s">
        <v>30</v>
      </c>
      <c r="S370" s="108"/>
      <c r="T370" s="109"/>
      <c r="U370" s="109"/>
      <c r="V370" s="102"/>
      <c r="W370" s="109"/>
      <c r="X370" s="109"/>
      <c r="Y370" s="110" t="s">
        <v>31</v>
      </c>
      <c r="Z370" s="111" t="str">
        <f>MID(E370,4,2)</f>
        <v>CA</v>
      </c>
    </row>
    <row r="371" spans="1:26" s="111" customFormat="1" x14ac:dyDescent="0.2">
      <c r="A371" s="101">
        <v>46240</v>
      </c>
      <c r="B371" s="91" t="s">
        <v>531</v>
      </c>
      <c r="C371" s="102" t="s">
        <v>532</v>
      </c>
      <c r="D371" s="103" t="s">
        <v>26</v>
      </c>
      <c r="E371" s="91" t="s">
        <v>533</v>
      </c>
      <c r="F371" s="91" t="s">
        <v>86</v>
      </c>
      <c r="G371" s="91" t="s">
        <v>87</v>
      </c>
      <c r="H371" s="104" t="str">
        <f t="shared" si="24"/>
        <v>C4033J30</v>
      </c>
      <c r="I371" s="104"/>
      <c r="J371" s="105">
        <v>38.119999999999997</v>
      </c>
      <c r="K371" s="106">
        <f>+L371</f>
        <v>81</v>
      </c>
      <c r="L371" s="106">
        <v>81</v>
      </c>
      <c r="M371" s="106">
        <f t="shared" si="23"/>
        <v>0</v>
      </c>
      <c r="N371" s="106">
        <v>81</v>
      </c>
      <c r="O371" s="106">
        <v>3087.72</v>
      </c>
      <c r="P371" s="107">
        <v>26110</v>
      </c>
      <c r="Q371" s="107">
        <v>80620369</v>
      </c>
      <c r="R371" s="102" t="s">
        <v>30</v>
      </c>
      <c r="S371" s="108"/>
      <c r="T371" s="109"/>
      <c r="U371" s="109"/>
      <c r="V371" s="102"/>
      <c r="W371" s="109"/>
      <c r="X371" s="109"/>
      <c r="Y371" s="110" t="s">
        <v>31</v>
      </c>
      <c r="Z371" s="111" t="str">
        <f>MID(E371,4,2)</f>
        <v>CA</v>
      </c>
    </row>
    <row r="372" spans="1:26" s="111" customFormat="1" x14ac:dyDescent="0.2">
      <c r="A372" s="101">
        <v>46240</v>
      </c>
      <c r="B372" s="91" t="s">
        <v>531</v>
      </c>
      <c r="C372" s="102" t="s">
        <v>532</v>
      </c>
      <c r="D372" s="103" t="s">
        <v>26</v>
      </c>
      <c r="E372" s="91" t="s">
        <v>533</v>
      </c>
      <c r="F372" s="91" t="s">
        <v>36</v>
      </c>
      <c r="G372" s="91" t="s">
        <v>37</v>
      </c>
      <c r="H372" s="104" t="str">
        <f t="shared" si="24"/>
        <v>F5105J30</v>
      </c>
      <c r="I372" s="104"/>
      <c r="J372" s="105">
        <v>38.119999999999997</v>
      </c>
      <c r="K372" s="106">
        <f>IF(D372="CAESARSTONE LTD",VLOOKUP(H372,'[2]GIA CA'!G:H,2,0),IF(OR(D372="STONE FACINGS LIMITED",D372="NORDIA SA",D372="INVICTUS STONE COUNTERTOPS INC",D372="QUARTZTOP LLC"),VLOOKUP(H372,'[2] Giá ngoài Mỹ - SI-GR'!$B$5:$AZ$84,51,0),IF(OR(D372="HYUNDAI L&amp;C CANADA INC",D372="Hyundai L&amp; C USA LLC"),VLOOKUP(H372,'[2]GIA HS'!A:D,4,0),IF(Y372="Mỹ",VLOOKUP(H372,'[2]giá mỹ từ 6.8.2025'!B:I,2,0),VLOOKUP(H372,'[2]giá ngoài mỹ 6.8.2025 (final)'!B:BP,51,0)))))</f>
        <v>85</v>
      </c>
      <c r="L372" s="106">
        <v>85</v>
      </c>
      <c r="M372" s="106">
        <f t="shared" si="23"/>
        <v>0</v>
      </c>
      <c r="N372" s="106">
        <v>78</v>
      </c>
      <c r="O372" s="106">
        <v>4247.1000000000004</v>
      </c>
      <c r="P372" s="107">
        <v>26110</v>
      </c>
      <c r="Q372" s="107">
        <v>110891781</v>
      </c>
      <c r="R372" s="102" t="s">
        <v>30</v>
      </c>
      <c r="S372" s="108"/>
      <c r="T372" s="109"/>
      <c r="U372" s="109"/>
      <c r="V372" s="102"/>
      <c r="W372" s="109"/>
      <c r="X372" s="109"/>
      <c r="Y372" s="110" t="s">
        <v>31</v>
      </c>
      <c r="Z372" s="111" t="str">
        <f>MID(E372,4,2)</f>
        <v>CA</v>
      </c>
    </row>
    <row r="373" spans="1:26" s="111" customFormat="1" x14ac:dyDescent="0.2">
      <c r="A373" s="101">
        <v>46240</v>
      </c>
      <c r="B373" s="91" t="s">
        <v>531</v>
      </c>
      <c r="C373" s="102" t="s">
        <v>532</v>
      </c>
      <c r="D373" s="103" t="s">
        <v>26</v>
      </c>
      <c r="E373" s="91" t="s">
        <v>533</v>
      </c>
      <c r="F373" s="91" t="s">
        <v>534</v>
      </c>
      <c r="G373" s="91" t="s">
        <v>535</v>
      </c>
      <c r="H373" s="104" t="str">
        <f t="shared" si="24"/>
        <v>F5110J20</v>
      </c>
      <c r="I373" s="104"/>
      <c r="J373" s="105">
        <v>5.45</v>
      </c>
      <c r="K373" s="106">
        <f>IF(D373="CAESARSTONE LTD",VLOOKUP(H373,'[2]GIA CA'!G:H,2,0),IF(OR(D373="STONE FACINGS LIMITED",D373="NORDIA SA",D373="INVICTUS STONE COUNTERTOPS INC",D373="QUARTZTOP LLC"),VLOOKUP(H373,'[2] Giá ngoài Mỹ - SI-GR'!$B$5:$AZ$84,51,0),IF(OR(D373="HYUNDAI L&amp;C CANADA INC",D373="Hyundai L&amp; C USA LLC"),VLOOKUP(H373,'[2]GIA HS'!A:D,4,0),IF(Y373="Mỹ",VLOOKUP(H373,'[2]giá mỹ từ 6.8.2025'!B:I,2,0),VLOOKUP(H373,'[2]giá ngoài mỹ 6.8.2025 (final)'!B:BP,51,0)))))</f>
        <v>60</v>
      </c>
      <c r="L373" s="106">
        <v>97</v>
      </c>
      <c r="M373" s="106">
        <f t="shared" si="23"/>
        <v>37</v>
      </c>
      <c r="N373" s="106">
        <v>97</v>
      </c>
      <c r="O373" s="106">
        <v>3697.64</v>
      </c>
      <c r="P373" s="107">
        <v>26110</v>
      </c>
      <c r="Q373" s="107">
        <v>96545380</v>
      </c>
      <c r="R373" s="102" t="s">
        <v>30</v>
      </c>
      <c r="S373" s="108"/>
      <c r="T373" s="109"/>
      <c r="U373" s="109"/>
      <c r="V373" s="102"/>
      <c r="W373" s="109"/>
      <c r="X373" s="109"/>
      <c r="Y373" s="110" t="s">
        <v>31</v>
      </c>
      <c r="Z373" s="111" t="str">
        <f>MID(E373,4,2)</f>
        <v>CA</v>
      </c>
    </row>
    <row r="374" spans="1:26" s="111" customFormat="1" x14ac:dyDescent="0.2">
      <c r="A374" s="101">
        <v>46240</v>
      </c>
      <c r="B374" s="91" t="s">
        <v>536</v>
      </c>
      <c r="C374" s="102" t="s">
        <v>537</v>
      </c>
      <c r="D374" s="103" t="s">
        <v>490</v>
      </c>
      <c r="E374" s="91" t="s">
        <v>538</v>
      </c>
      <c r="F374" s="91" t="s">
        <v>539</v>
      </c>
      <c r="G374" s="91" t="s">
        <v>535</v>
      </c>
      <c r="H374" s="104" t="str">
        <f t="shared" si="24"/>
        <v>F5110J20</v>
      </c>
      <c r="I374" s="104"/>
      <c r="J374" s="105">
        <v>5.45</v>
      </c>
      <c r="K374" s="106">
        <v>20</v>
      </c>
      <c r="L374" s="106">
        <f t="shared" ref="L374:L387" si="27">+N374</f>
        <v>20</v>
      </c>
      <c r="M374" s="106">
        <f t="shared" si="23"/>
        <v>0</v>
      </c>
      <c r="N374" s="106">
        <v>20</v>
      </c>
      <c r="O374" s="106">
        <v>109</v>
      </c>
      <c r="P374" s="107">
        <v>26110</v>
      </c>
      <c r="Q374" s="107">
        <v>2845990</v>
      </c>
      <c r="R374" s="102" t="s">
        <v>30</v>
      </c>
      <c r="S374" s="108"/>
      <c r="T374" s="109"/>
      <c r="U374" s="109"/>
      <c r="V374" s="102"/>
      <c r="W374" s="109"/>
      <c r="X374" s="109"/>
      <c r="Y374" s="110" t="s">
        <v>494</v>
      </c>
      <c r="Z374" s="111" t="str">
        <f>MID(E374,4,2)</f>
        <v>JO</v>
      </c>
    </row>
    <row r="375" spans="1:26" s="111" customFormat="1" x14ac:dyDescent="0.2">
      <c r="A375" s="101">
        <v>46240</v>
      </c>
      <c r="B375" s="91" t="s">
        <v>536</v>
      </c>
      <c r="C375" s="102" t="s">
        <v>537</v>
      </c>
      <c r="D375" s="103" t="s">
        <v>490</v>
      </c>
      <c r="E375" s="91" t="s">
        <v>538</v>
      </c>
      <c r="F375" s="91" t="s">
        <v>540</v>
      </c>
      <c r="G375" s="91" t="s">
        <v>535</v>
      </c>
      <c r="H375" s="104" t="str">
        <f t="shared" si="24"/>
        <v>F5110J20</v>
      </c>
      <c r="I375" s="104"/>
      <c r="J375" s="105">
        <v>43.55</v>
      </c>
      <c r="K375" s="106">
        <v>20</v>
      </c>
      <c r="L375" s="106">
        <f t="shared" si="27"/>
        <v>20</v>
      </c>
      <c r="M375" s="106">
        <f t="shared" si="23"/>
        <v>0</v>
      </c>
      <c r="N375" s="106">
        <v>20</v>
      </c>
      <c r="O375" s="106">
        <v>109</v>
      </c>
      <c r="P375" s="107">
        <v>26110</v>
      </c>
      <c r="Q375" s="107">
        <v>2845990</v>
      </c>
      <c r="R375" s="102" t="s">
        <v>30</v>
      </c>
      <c r="S375" s="108"/>
      <c r="T375" s="109"/>
      <c r="U375" s="109"/>
      <c r="V375" s="102"/>
      <c r="W375" s="109"/>
      <c r="X375" s="109"/>
      <c r="Y375" s="110" t="s">
        <v>494</v>
      </c>
      <c r="Z375" s="111" t="str">
        <f>MID(E375,4,2)</f>
        <v>JO</v>
      </c>
    </row>
    <row r="376" spans="1:26" s="111" customFormat="1" x14ac:dyDescent="0.2">
      <c r="A376" s="101">
        <v>46240</v>
      </c>
      <c r="B376" s="91" t="s">
        <v>536</v>
      </c>
      <c r="C376" s="102" t="s">
        <v>537</v>
      </c>
      <c r="D376" s="103" t="s">
        <v>490</v>
      </c>
      <c r="E376" s="91" t="s">
        <v>538</v>
      </c>
      <c r="F376" s="91" t="s">
        <v>203</v>
      </c>
      <c r="G376" s="91" t="s">
        <v>204</v>
      </c>
      <c r="H376" s="104" t="str">
        <f t="shared" si="24"/>
        <v>F5132J20</v>
      </c>
      <c r="I376" s="104"/>
      <c r="J376" s="105">
        <v>54.45</v>
      </c>
      <c r="K376" s="106">
        <v>20</v>
      </c>
      <c r="L376" s="106">
        <f t="shared" si="27"/>
        <v>20</v>
      </c>
      <c r="M376" s="106">
        <f t="shared" si="23"/>
        <v>0</v>
      </c>
      <c r="N376" s="106">
        <v>20</v>
      </c>
      <c r="O376" s="106">
        <v>217.6</v>
      </c>
      <c r="P376" s="107">
        <v>26110</v>
      </c>
      <c r="Q376" s="107">
        <v>5681536</v>
      </c>
      <c r="R376" s="102" t="s">
        <v>30</v>
      </c>
      <c r="S376" s="108"/>
      <c r="T376" s="109"/>
      <c r="U376" s="109"/>
      <c r="V376" s="102"/>
      <c r="W376" s="109"/>
      <c r="X376" s="109"/>
      <c r="Y376" s="110" t="s">
        <v>494</v>
      </c>
      <c r="Z376" s="111" t="str">
        <f>MID(E376,4,2)</f>
        <v>JO</v>
      </c>
    </row>
    <row r="377" spans="1:26" s="111" customFormat="1" x14ac:dyDescent="0.2">
      <c r="A377" s="101">
        <v>46240</v>
      </c>
      <c r="B377" s="91" t="s">
        <v>536</v>
      </c>
      <c r="C377" s="102" t="s">
        <v>537</v>
      </c>
      <c r="D377" s="103" t="s">
        <v>490</v>
      </c>
      <c r="E377" s="91" t="s">
        <v>538</v>
      </c>
      <c r="F377" s="91" t="s">
        <v>43</v>
      </c>
      <c r="G377" s="91" t="s">
        <v>44</v>
      </c>
      <c r="H377" s="104" t="str">
        <f t="shared" si="24"/>
        <v>F5141J30</v>
      </c>
      <c r="I377" s="104"/>
      <c r="J377" s="105">
        <v>38.119999999999997</v>
      </c>
      <c r="K377" s="106">
        <v>20</v>
      </c>
      <c r="L377" s="106">
        <f t="shared" si="27"/>
        <v>20</v>
      </c>
      <c r="M377" s="106">
        <f t="shared" si="23"/>
        <v>0</v>
      </c>
      <c r="N377" s="106">
        <v>20</v>
      </c>
      <c r="O377" s="106">
        <v>109</v>
      </c>
      <c r="P377" s="107">
        <v>26110</v>
      </c>
      <c r="Q377" s="107">
        <v>2845990</v>
      </c>
      <c r="R377" s="102" t="s">
        <v>30</v>
      </c>
      <c r="S377" s="108"/>
      <c r="T377" s="109"/>
      <c r="U377" s="109"/>
      <c r="V377" s="102"/>
      <c r="W377" s="109"/>
      <c r="X377" s="109"/>
      <c r="Y377" s="110" t="s">
        <v>494</v>
      </c>
      <c r="Z377" s="111" t="str">
        <f>MID(E377,4,2)</f>
        <v>JO</v>
      </c>
    </row>
    <row r="378" spans="1:26" s="111" customFormat="1" x14ac:dyDescent="0.2">
      <c r="A378" s="101">
        <v>46240</v>
      </c>
      <c r="B378" s="91" t="s">
        <v>536</v>
      </c>
      <c r="C378" s="102" t="s">
        <v>537</v>
      </c>
      <c r="D378" s="103" t="s">
        <v>490</v>
      </c>
      <c r="E378" s="91" t="s">
        <v>538</v>
      </c>
      <c r="F378" s="91" t="s">
        <v>38</v>
      </c>
      <c r="G378" s="91" t="s">
        <v>39</v>
      </c>
      <c r="H378" s="104" t="str">
        <f t="shared" si="24"/>
        <v>F5143J30</v>
      </c>
      <c r="I378" s="104"/>
      <c r="J378" s="105">
        <v>114.35</v>
      </c>
      <c r="K378" s="106">
        <v>20</v>
      </c>
      <c r="L378" s="106">
        <f t="shared" si="27"/>
        <v>20</v>
      </c>
      <c r="M378" s="106">
        <f t="shared" si="23"/>
        <v>0</v>
      </c>
      <c r="N378" s="106">
        <v>20</v>
      </c>
      <c r="O378" s="106">
        <v>326.60000000000002</v>
      </c>
      <c r="P378" s="107">
        <v>26110</v>
      </c>
      <c r="Q378" s="107">
        <v>8527526</v>
      </c>
      <c r="R378" s="102" t="s">
        <v>30</v>
      </c>
      <c r="S378" s="108"/>
      <c r="T378" s="109"/>
      <c r="U378" s="109"/>
      <c r="V378" s="102"/>
      <c r="W378" s="109"/>
      <c r="X378" s="109"/>
      <c r="Y378" s="110" t="s">
        <v>494</v>
      </c>
      <c r="Z378" s="111" t="str">
        <f>MID(E378,4,2)</f>
        <v>JO</v>
      </c>
    </row>
    <row r="379" spans="1:26" s="111" customFormat="1" x14ac:dyDescent="0.2">
      <c r="A379" s="101">
        <v>46240</v>
      </c>
      <c r="B379" s="91" t="s">
        <v>536</v>
      </c>
      <c r="C379" s="102" t="s">
        <v>537</v>
      </c>
      <c r="D379" s="103" t="s">
        <v>490</v>
      </c>
      <c r="E379" s="91" t="s">
        <v>538</v>
      </c>
      <c r="F379" s="91" t="s">
        <v>453</v>
      </c>
      <c r="G379" s="91" t="s">
        <v>454</v>
      </c>
      <c r="H379" s="104" t="str">
        <f t="shared" si="24"/>
        <v>F5151J20</v>
      </c>
      <c r="I379" s="104"/>
      <c r="J379" s="105">
        <v>54.45</v>
      </c>
      <c r="K379" s="106">
        <v>20</v>
      </c>
      <c r="L379" s="106">
        <f t="shared" si="27"/>
        <v>20</v>
      </c>
      <c r="M379" s="106">
        <f t="shared" si="23"/>
        <v>0</v>
      </c>
      <c r="N379" s="106">
        <v>20</v>
      </c>
      <c r="O379" s="106">
        <v>109</v>
      </c>
      <c r="P379" s="107">
        <v>26110</v>
      </c>
      <c r="Q379" s="107">
        <v>2845990</v>
      </c>
      <c r="R379" s="102" t="s">
        <v>30</v>
      </c>
      <c r="S379" s="108"/>
      <c r="T379" s="109"/>
      <c r="U379" s="109"/>
      <c r="V379" s="102"/>
      <c r="W379" s="109"/>
      <c r="X379" s="109"/>
      <c r="Y379" s="110" t="s">
        <v>494</v>
      </c>
      <c r="Z379" s="111" t="str">
        <f>MID(E379,4,2)</f>
        <v>JO</v>
      </c>
    </row>
    <row r="380" spans="1:26" s="111" customFormat="1" x14ac:dyDescent="0.2">
      <c r="A380" s="101">
        <v>46240</v>
      </c>
      <c r="B380" s="91" t="s">
        <v>536</v>
      </c>
      <c r="C380" s="102" t="s">
        <v>537</v>
      </c>
      <c r="D380" s="103" t="s">
        <v>490</v>
      </c>
      <c r="E380" s="91" t="s">
        <v>538</v>
      </c>
      <c r="F380" s="91" t="s">
        <v>70</v>
      </c>
      <c r="G380" s="91" t="s">
        <v>71</v>
      </c>
      <c r="H380" s="104" t="str">
        <f t="shared" si="24"/>
        <v>C5116J30</v>
      </c>
      <c r="I380" s="104"/>
      <c r="J380" s="105">
        <v>76.23</v>
      </c>
      <c r="K380" s="106">
        <v>20</v>
      </c>
      <c r="L380" s="106">
        <f t="shared" si="27"/>
        <v>20</v>
      </c>
      <c r="M380" s="106">
        <f t="shared" si="23"/>
        <v>0</v>
      </c>
      <c r="N380" s="106">
        <v>20</v>
      </c>
      <c r="O380" s="106">
        <v>109</v>
      </c>
      <c r="P380" s="107">
        <v>26110</v>
      </c>
      <c r="Q380" s="107">
        <v>2845990</v>
      </c>
      <c r="R380" s="102" t="s">
        <v>30</v>
      </c>
      <c r="S380" s="108"/>
      <c r="T380" s="109"/>
      <c r="U380" s="109"/>
      <c r="V380" s="102"/>
      <c r="W380" s="109"/>
      <c r="X380" s="109"/>
      <c r="Y380" s="110" t="s">
        <v>494</v>
      </c>
      <c r="Z380" s="111" t="str">
        <f>MID(E380,4,2)</f>
        <v>JO</v>
      </c>
    </row>
    <row r="381" spans="1:26" s="111" customFormat="1" x14ac:dyDescent="0.2">
      <c r="A381" s="101">
        <v>46240</v>
      </c>
      <c r="B381" s="91" t="s">
        <v>536</v>
      </c>
      <c r="C381" s="102" t="s">
        <v>537</v>
      </c>
      <c r="D381" s="103" t="s">
        <v>490</v>
      </c>
      <c r="E381" s="91" t="s">
        <v>538</v>
      </c>
      <c r="F381" s="91" t="s">
        <v>203</v>
      </c>
      <c r="G381" s="91" t="s">
        <v>204</v>
      </c>
      <c r="H381" s="104" t="str">
        <f t="shared" si="24"/>
        <v>F5132J20</v>
      </c>
      <c r="I381" s="104"/>
      <c r="J381" s="105">
        <v>54.45</v>
      </c>
      <c r="K381" s="106">
        <v>20</v>
      </c>
      <c r="L381" s="106">
        <f t="shared" si="27"/>
        <v>20</v>
      </c>
      <c r="M381" s="106">
        <f t="shared" si="23"/>
        <v>0</v>
      </c>
      <c r="N381" s="106">
        <v>20</v>
      </c>
      <c r="O381" s="106">
        <v>217.8</v>
      </c>
      <c r="P381" s="107">
        <v>26110</v>
      </c>
      <c r="Q381" s="107">
        <v>5686758</v>
      </c>
      <c r="R381" s="102" t="s">
        <v>30</v>
      </c>
      <c r="S381" s="108"/>
      <c r="T381" s="109"/>
      <c r="U381" s="109"/>
      <c r="V381" s="102"/>
      <c r="W381" s="109"/>
      <c r="X381" s="109"/>
      <c r="Y381" s="110" t="s">
        <v>494</v>
      </c>
      <c r="Z381" s="111" t="str">
        <f>MID(E381,4,2)</f>
        <v>JO</v>
      </c>
    </row>
    <row r="382" spans="1:26" s="111" customFormat="1" x14ac:dyDescent="0.2">
      <c r="A382" s="101">
        <v>46240</v>
      </c>
      <c r="B382" s="91" t="s">
        <v>536</v>
      </c>
      <c r="C382" s="102" t="s">
        <v>537</v>
      </c>
      <c r="D382" s="103" t="s">
        <v>490</v>
      </c>
      <c r="E382" s="91" t="s">
        <v>538</v>
      </c>
      <c r="F382" s="91" t="s">
        <v>205</v>
      </c>
      <c r="G382" s="91" t="s">
        <v>206</v>
      </c>
      <c r="H382" s="104" t="str">
        <f t="shared" si="24"/>
        <v>F5141J20</v>
      </c>
      <c r="I382" s="104"/>
      <c r="J382" s="105">
        <v>54.45</v>
      </c>
      <c r="K382" s="106">
        <v>20</v>
      </c>
      <c r="L382" s="106">
        <f t="shared" si="27"/>
        <v>20</v>
      </c>
      <c r="M382" s="106">
        <f t="shared" si="23"/>
        <v>0</v>
      </c>
      <c r="N382" s="106">
        <v>20</v>
      </c>
      <c r="O382" s="107">
        <v>435.6</v>
      </c>
      <c r="P382" s="107">
        <v>26110</v>
      </c>
      <c r="Q382" s="107">
        <v>11373516</v>
      </c>
      <c r="R382" s="102" t="s">
        <v>30</v>
      </c>
      <c r="S382" s="108"/>
      <c r="T382" s="109"/>
      <c r="U382" s="109"/>
      <c r="V382" s="102"/>
      <c r="W382" s="109"/>
      <c r="X382" s="109"/>
      <c r="Y382" s="110" t="s">
        <v>494</v>
      </c>
      <c r="Z382" s="111" t="str">
        <f>MID(E382,4,2)</f>
        <v>JO</v>
      </c>
    </row>
    <row r="383" spans="1:26" s="111" customFormat="1" x14ac:dyDescent="0.2">
      <c r="A383" s="101">
        <v>46240</v>
      </c>
      <c r="B383" s="91" t="s">
        <v>536</v>
      </c>
      <c r="C383" s="102" t="s">
        <v>537</v>
      </c>
      <c r="D383" s="103" t="s">
        <v>490</v>
      </c>
      <c r="E383" s="91" t="s">
        <v>538</v>
      </c>
      <c r="F383" s="91" t="s">
        <v>541</v>
      </c>
      <c r="G383" s="91" t="s">
        <v>44</v>
      </c>
      <c r="H383" s="104" t="str">
        <f t="shared" si="24"/>
        <v>F5141J30</v>
      </c>
      <c r="I383" s="104"/>
      <c r="J383" s="105">
        <v>38.119999999999997</v>
      </c>
      <c r="K383" s="106">
        <v>20</v>
      </c>
      <c r="L383" s="106">
        <f t="shared" si="27"/>
        <v>20</v>
      </c>
      <c r="M383" s="106">
        <f t="shared" si="23"/>
        <v>0</v>
      </c>
      <c r="N383" s="106">
        <v>20</v>
      </c>
      <c r="O383" s="107">
        <v>762.4</v>
      </c>
      <c r="P383" s="107">
        <v>26110</v>
      </c>
      <c r="Q383" s="107">
        <v>19906264</v>
      </c>
      <c r="R383" s="102" t="s">
        <v>30</v>
      </c>
      <c r="S383" s="108"/>
      <c r="T383" s="109"/>
      <c r="U383" s="109"/>
      <c r="V383" s="102"/>
      <c r="W383" s="109"/>
      <c r="X383" s="109"/>
      <c r="Y383" s="110" t="s">
        <v>494</v>
      </c>
      <c r="Z383" s="111" t="str">
        <f>MID(E383,4,2)</f>
        <v>JO</v>
      </c>
    </row>
    <row r="384" spans="1:26" s="111" customFormat="1" x14ac:dyDescent="0.2">
      <c r="A384" s="101">
        <v>46240</v>
      </c>
      <c r="B384" s="91" t="s">
        <v>536</v>
      </c>
      <c r="C384" s="102" t="s">
        <v>537</v>
      </c>
      <c r="D384" s="103" t="s">
        <v>490</v>
      </c>
      <c r="E384" s="91" t="s">
        <v>538</v>
      </c>
      <c r="F384" s="91" t="s">
        <v>451</v>
      </c>
      <c r="G384" s="91" t="s">
        <v>452</v>
      </c>
      <c r="H384" s="104" t="str">
        <f t="shared" si="24"/>
        <v>F5143J20</v>
      </c>
      <c r="I384" s="104"/>
      <c r="J384" s="105">
        <v>54.45</v>
      </c>
      <c r="K384" s="106">
        <v>20</v>
      </c>
      <c r="L384" s="106">
        <f t="shared" si="27"/>
        <v>20</v>
      </c>
      <c r="M384" s="106">
        <f t="shared" si="23"/>
        <v>0</v>
      </c>
      <c r="N384" s="106">
        <v>20</v>
      </c>
      <c r="O384" s="107">
        <v>217.8</v>
      </c>
      <c r="P384" s="107">
        <v>26110</v>
      </c>
      <c r="Q384" s="107">
        <v>5686758</v>
      </c>
      <c r="R384" s="102" t="s">
        <v>30</v>
      </c>
      <c r="S384" s="108"/>
      <c r="T384" s="109"/>
      <c r="U384" s="109"/>
      <c r="V384" s="102"/>
      <c r="W384" s="109"/>
      <c r="X384" s="109"/>
      <c r="Y384" s="110" t="s">
        <v>494</v>
      </c>
      <c r="Z384" s="111" t="str">
        <f>MID(E384,4,2)</f>
        <v>JO</v>
      </c>
    </row>
    <row r="385" spans="1:26" s="111" customFormat="1" x14ac:dyDescent="0.2">
      <c r="A385" s="101">
        <v>46240</v>
      </c>
      <c r="B385" s="91" t="s">
        <v>536</v>
      </c>
      <c r="C385" s="102" t="s">
        <v>537</v>
      </c>
      <c r="D385" s="103" t="s">
        <v>490</v>
      </c>
      <c r="E385" s="91" t="s">
        <v>538</v>
      </c>
      <c r="F385" s="91" t="s">
        <v>38</v>
      </c>
      <c r="G385" s="91" t="s">
        <v>39</v>
      </c>
      <c r="H385" s="104" t="str">
        <f t="shared" si="24"/>
        <v>F5143J30</v>
      </c>
      <c r="I385" s="104"/>
      <c r="J385" s="105">
        <v>38.119999999999997</v>
      </c>
      <c r="K385" s="106">
        <v>20</v>
      </c>
      <c r="L385" s="106">
        <f t="shared" si="27"/>
        <v>20</v>
      </c>
      <c r="M385" s="106">
        <f t="shared" si="23"/>
        <v>0</v>
      </c>
      <c r="N385" s="106">
        <v>20</v>
      </c>
      <c r="O385" s="107">
        <v>326.8</v>
      </c>
      <c r="P385" s="107">
        <v>26110</v>
      </c>
      <c r="Q385" s="107">
        <v>8532748</v>
      </c>
      <c r="R385" s="102" t="s">
        <v>30</v>
      </c>
      <c r="S385" s="108"/>
      <c r="T385" s="109"/>
      <c r="U385" s="109"/>
      <c r="V385" s="102"/>
      <c r="W385" s="109"/>
      <c r="X385" s="109"/>
      <c r="Y385" s="110" t="s">
        <v>494</v>
      </c>
      <c r="Z385" s="111" t="str">
        <f>MID(E385,4,2)</f>
        <v>JO</v>
      </c>
    </row>
    <row r="386" spans="1:26" s="111" customFormat="1" x14ac:dyDescent="0.2">
      <c r="A386" s="101">
        <v>46240</v>
      </c>
      <c r="B386" s="91" t="s">
        <v>536</v>
      </c>
      <c r="C386" s="102" t="s">
        <v>537</v>
      </c>
      <c r="D386" s="103" t="s">
        <v>490</v>
      </c>
      <c r="E386" s="91" t="s">
        <v>538</v>
      </c>
      <c r="F386" s="91" t="s">
        <v>453</v>
      </c>
      <c r="G386" s="91" t="s">
        <v>454</v>
      </c>
      <c r="H386" s="104" t="str">
        <f t="shared" si="24"/>
        <v>F5151J20</v>
      </c>
      <c r="I386" s="104"/>
      <c r="J386" s="105">
        <v>54.45</v>
      </c>
      <c r="K386" s="106">
        <v>20</v>
      </c>
      <c r="L386" s="106">
        <f t="shared" si="27"/>
        <v>20.67</v>
      </c>
      <c r="M386" s="106">
        <f t="shared" si="23"/>
        <v>0.67000000000000171</v>
      </c>
      <c r="N386" s="106">
        <v>20.67</v>
      </c>
      <c r="O386" s="107">
        <v>787.81</v>
      </c>
      <c r="P386" s="107">
        <v>26110</v>
      </c>
      <c r="Q386" s="107">
        <v>20569719</v>
      </c>
      <c r="R386" s="102" t="s">
        <v>30</v>
      </c>
      <c r="S386" s="108"/>
      <c r="T386" s="109"/>
      <c r="U386" s="109"/>
      <c r="V386" s="102"/>
      <c r="W386" s="109"/>
      <c r="X386" s="109"/>
      <c r="Y386" s="110" t="s">
        <v>494</v>
      </c>
      <c r="Z386" s="111" t="str">
        <f>MID(E386,4,2)</f>
        <v>JO</v>
      </c>
    </row>
    <row r="387" spans="1:26" s="111" customFormat="1" x14ac:dyDescent="0.2">
      <c r="A387" s="101">
        <v>46240</v>
      </c>
      <c r="B387" s="91" t="s">
        <v>536</v>
      </c>
      <c r="C387" s="102" t="s">
        <v>537</v>
      </c>
      <c r="D387" s="103" t="s">
        <v>490</v>
      </c>
      <c r="E387" s="91" t="s">
        <v>538</v>
      </c>
      <c r="F387" s="91" t="s">
        <v>208</v>
      </c>
      <c r="G387" s="91" t="s">
        <v>209</v>
      </c>
      <c r="H387" s="104" t="str">
        <f t="shared" si="24"/>
        <v>F5151J30</v>
      </c>
      <c r="I387" s="104"/>
      <c r="J387" s="105">
        <v>38.119999999999997</v>
      </c>
      <c r="K387" s="106">
        <v>20</v>
      </c>
      <c r="L387" s="106">
        <f t="shared" si="27"/>
        <v>20.67</v>
      </c>
      <c r="M387" s="106">
        <f t="shared" si="23"/>
        <v>0.67000000000000171</v>
      </c>
      <c r="N387" s="106">
        <v>20.67</v>
      </c>
      <c r="O387" s="107">
        <v>3938.46</v>
      </c>
      <c r="P387" s="107">
        <v>26110</v>
      </c>
      <c r="Q387" s="107">
        <v>102833191</v>
      </c>
      <c r="R387" s="102" t="s">
        <v>30</v>
      </c>
      <c r="S387" s="108"/>
      <c r="T387" s="109"/>
      <c r="U387" s="109"/>
      <c r="V387" s="102"/>
      <c r="W387" s="109"/>
      <c r="X387" s="109"/>
      <c r="Y387" s="110" t="s">
        <v>494</v>
      </c>
      <c r="Z387" s="111" t="str">
        <f>MID(E387,4,2)</f>
        <v>JO</v>
      </c>
    </row>
    <row r="388" spans="1:26" s="111" customFormat="1" x14ac:dyDescent="0.2">
      <c r="A388" s="101">
        <v>46240</v>
      </c>
      <c r="B388" s="91" t="s">
        <v>542</v>
      </c>
      <c r="C388" s="102" t="s">
        <v>543</v>
      </c>
      <c r="D388" s="103" t="s">
        <v>427</v>
      </c>
      <c r="E388" s="91" t="s">
        <v>544</v>
      </c>
      <c r="F388" s="91" t="s">
        <v>429</v>
      </c>
      <c r="G388" s="91" t="s">
        <v>430</v>
      </c>
      <c r="H388" s="104" t="str">
        <f t="shared" si="24"/>
        <v>C5331J20</v>
      </c>
      <c r="I388" s="104"/>
      <c r="J388" s="105">
        <v>1.94</v>
      </c>
      <c r="K388" s="106"/>
      <c r="L388" s="106">
        <v>0</v>
      </c>
      <c r="M388" s="106">
        <f t="shared" si="23"/>
        <v>0</v>
      </c>
      <c r="N388" s="106">
        <v>72</v>
      </c>
      <c r="O388" s="107">
        <v>139.68</v>
      </c>
      <c r="P388" s="107">
        <v>26110</v>
      </c>
      <c r="Q388" s="107">
        <v>3647045</v>
      </c>
      <c r="R388" s="102"/>
      <c r="S388" s="108"/>
      <c r="T388" s="109"/>
      <c r="U388" s="109" t="s">
        <v>30</v>
      </c>
      <c r="V388" s="102"/>
      <c r="W388" s="109"/>
      <c r="X388" s="109"/>
      <c r="Y388" s="110" t="s">
        <v>31</v>
      </c>
      <c r="Z388" s="111" t="str">
        <f>MID(E388,4,2)</f>
        <v>JD</v>
      </c>
    </row>
    <row r="389" spans="1:26" s="111" customFormat="1" x14ac:dyDescent="0.2">
      <c r="A389" s="101">
        <v>46240</v>
      </c>
      <c r="B389" s="91" t="s">
        <v>542</v>
      </c>
      <c r="C389" s="102" t="s">
        <v>543</v>
      </c>
      <c r="D389" s="103" t="s">
        <v>427</v>
      </c>
      <c r="E389" s="91" t="s">
        <v>544</v>
      </c>
      <c r="F389" s="91" t="s">
        <v>228</v>
      </c>
      <c r="G389" s="91" t="s">
        <v>227</v>
      </c>
      <c r="H389" s="104" t="str">
        <f t="shared" si="24"/>
        <v>C5331J30</v>
      </c>
      <c r="I389" s="104"/>
      <c r="J389" s="105">
        <v>294.02999999999997</v>
      </c>
      <c r="K389" s="106">
        <f>IF(D389="CAESARSTONE LTD",VLOOKUP(H389,'[2]GIA CA'!G:H,2,0),IF(OR(D389="STONE FACINGS LIMITED",D389="NORDIA SA",D389="INVICTUS STONE COUNTERTOPS INC",D389="QUARTZTOP LLC"),VLOOKUP(H389,'[2] Giá ngoài Mỹ - SI-GR'!$B$5:$AZ$84,51,0),IF(OR(D389="HYUNDAI L&amp;C CANADA INC",D389="Hyundai L&amp; C USA LLC"),VLOOKUP(H389,'[2]GIA HS'!A:D,4,0),IF(Y389="Mỹ",VLOOKUP(H389,'[2]giá mỹ từ 6.8.2025'!B:I,2,0),VLOOKUP(H389,'[2]giá ngoài mỹ 6.8.2025 (final)'!B:BP,51,0)))))</f>
        <v>83</v>
      </c>
      <c r="L389" s="106">
        <v>89</v>
      </c>
      <c r="M389" s="106">
        <f t="shared" si="23"/>
        <v>6</v>
      </c>
      <c r="N389" s="106">
        <v>88.77</v>
      </c>
      <c r="O389" s="107">
        <v>26102.5</v>
      </c>
      <c r="P389" s="107">
        <v>26110</v>
      </c>
      <c r="Q389" s="107">
        <v>681536275</v>
      </c>
      <c r="R389" s="102" t="s">
        <v>30</v>
      </c>
      <c r="S389" s="108"/>
      <c r="T389" s="109"/>
      <c r="U389" s="109"/>
      <c r="V389" s="102"/>
      <c r="W389" s="109"/>
      <c r="X389" s="109"/>
      <c r="Y389" s="110" t="s">
        <v>31</v>
      </c>
      <c r="Z389" s="111" t="str">
        <f>MID(E389,4,2)</f>
        <v>JD</v>
      </c>
    </row>
    <row r="390" spans="1:26" s="111" customFormat="1" x14ac:dyDescent="0.2">
      <c r="A390" s="101">
        <v>46240</v>
      </c>
      <c r="B390" s="91" t="s">
        <v>545</v>
      </c>
      <c r="C390" s="102" t="s">
        <v>546</v>
      </c>
      <c r="D390" s="103" t="s">
        <v>427</v>
      </c>
      <c r="E390" s="91" t="s">
        <v>547</v>
      </c>
      <c r="F390" s="91" t="s">
        <v>548</v>
      </c>
      <c r="G390" s="91" t="s">
        <v>549</v>
      </c>
      <c r="H390" s="104" t="str">
        <f t="shared" si="24"/>
        <v>C3105J20</v>
      </c>
      <c r="I390" s="104"/>
      <c r="J390" s="105">
        <v>2.9</v>
      </c>
      <c r="K390" s="106"/>
      <c r="L390" s="106">
        <v>0</v>
      </c>
      <c r="M390" s="106">
        <f t="shared" si="23"/>
        <v>0</v>
      </c>
      <c r="N390" s="106">
        <v>60</v>
      </c>
      <c r="O390" s="107">
        <v>174</v>
      </c>
      <c r="P390" s="107">
        <v>26110</v>
      </c>
      <c r="Q390" s="107">
        <v>4543140</v>
      </c>
      <c r="R390" s="102"/>
      <c r="S390" s="108"/>
      <c r="T390" s="109"/>
      <c r="U390" s="109" t="s">
        <v>30</v>
      </c>
      <c r="V390" s="102"/>
      <c r="W390" s="109"/>
      <c r="X390" s="109"/>
      <c r="Y390" s="110" t="s">
        <v>31</v>
      </c>
      <c r="Z390" s="111" t="str">
        <f>MID(E390,4,2)</f>
        <v>JD</v>
      </c>
    </row>
    <row r="391" spans="1:26" s="111" customFormat="1" x14ac:dyDescent="0.2">
      <c r="A391" s="101">
        <v>46240</v>
      </c>
      <c r="B391" s="91" t="s">
        <v>545</v>
      </c>
      <c r="C391" s="102" t="s">
        <v>546</v>
      </c>
      <c r="D391" s="103" t="s">
        <v>427</v>
      </c>
      <c r="E391" s="91" t="s">
        <v>547</v>
      </c>
      <c r="F391" s="91" t="s">
        <v>550</v>
      </c>
      <c r="G391" s="91" t="s">
        <v>551</v>
      </c>
      <c r="H391" s="104" t="str">
        <f t="shared" si="24"/>
        <v>C3105J30</v>
      </c>
      <c r="I391" s="104"/>
      <c r="J391" s="105">
        <v>54.45</v>
      </c>
      <c r="K391" s="106">
        <f>IF(D391="CAESARSTONE LTD",VLOOKUP(H391,'[2]GIA CA'!G:H,2,0),IF(OR(D391="STONE FACINGS LIMITED",D391="NORDIA SA",D391="INVICTUS STONE COUNTERTOPS INC",D391="QUARTZTOP LLC"),VLOOKUP(H391,'[2] Giá ngoài Mỹ - SI-GR'!$B$5:$AZ$84,51,0),IF(OR(D391="HYUNDAI L&amp;C CANADA INC",D391="Hyundai L&amp; C USA LLC"),VLOOKUP(H391,'[2]GIA HS'!A:D,4,0),IF(Y391="Mỹ",VLOOKUP(H391,'[2]giá mỹ từ 6.8.2025'!B:I,2,0),VLOOKUP(H391,'[2]giá ngoài mỹ 6.8.2025 (final)'!B:BP,51,0)))))</f>
        <v>72</v>
      </c>
      <c r="L391" s="106">
        <v>76.650000000000006</v>
      </c>
      <c r="M391" s="106">
        <f t="shared" si="23"/>
        <v>4.6500000000000057</v>
      </c>
      <c r="N391" s="106">
        <v>71.680000000000007</v>
      </c>
      <c r="O391" s="107">
        <v>3902.94</v>
      </c>
      <c r="P391" s="107">
        <v>26110</v>
      </c>
      <c r="Q391" s="107">
        <v>101905763</v>
      </c>
      <c r="R391" s="102" t="s">
        <v>30</v>
      </c>
      <c r="S391" s="108"/>
      <c r="T391" s="109"/>
      <c r="U391" s="109"/>
      <c r="V391" s="102"/>
      <c r="W391" s="109"/>
      <c r="X391" s="109"/>
      <c r="Y391" s="110" t="s">
        <v>31</v>
      </c>
      <c r="Z391" s="111" t="str">
        <f>MID(E391,4,2)</f>
        <v>JD</v>
      </c>
    </row>
    <row r="392" spans="1:26" s="111" customFormat="1" x14ac:dyDescent="0.2">
      <c r="A392" s="101">
        <v>46240</v>
      </c>
      <c r="B392" s="91" t="s">
        <v>545</v>
      </c>
      <c r="C392" s="102" t="s">
        <v>546</v>
      </c>
      <c r="D392" s="103" t="s">
        <v>427</v>
      </c>
      <c r="E392" s="91" t="s">
        <v>547</v>
      </c>
      <c r="F392" s="91" t="s">
        <v>552</v>
      </c>
      <c r="G392" s="91" t="s">
        <v>553</v>
      </c>
      <c r="H392" s="104" t="str">
        <f t="shared" si="24"/>
        <v>C3146J30</v>
      </c>
      <c r="I392" s="104"/>
      <c r="J392" s="105">
        <v>147.02000000000001</v>
      </c>
      <c r="K392" s="106">
        <f>IF(D392="CAESARSTONE LTD",VLOOKUP(H392,'[2]GIA CA'!G:H,2,0),IF(OR(D392="STONE FACINGS LIMITED",D392="NORDIA SA",D392="INVICTUS STONE COUNTERTOPS INC",D392="QUARTZTOP LLC"),VLOOKUP(H392,'[2] Giá ngoài Mỹ - SI-GR'!$B$5:$AZ$84,51,0),IF(OR(D392="HYUNDAI L&amp;C CANADA INC",D392="Hyundai L&amp; C USA LLC"),VLOOKUP(H392,'[2]GIA HS'!A:D,4,0),IF(Y392="Mỹ",VLOOKUP(H392,'[2]giá mỹ từ 6.8.2025'!B:I,2,0),VLOOKUP(H392,'[2]giá ngoài mỹ 6.8.2025 (final)'!B:BP,51,0)))))</f>
        <v>69</v>
      </c>
      <c r="L392" s="106">
        <v>73.5</v>
      </c>
      <c r="M392" s="106">
        <f t="shared" si="23"/>
        <v>4.5</v>
      </c>
      <c r="N392" s="106">
        <v>74</v>
      </c>
      <c r="O392" s="107">
        <v>10879.48</v>
      </c>
      <c r="P392" s="107">
        <v>26110</v>
      </c>
      <c r="Q392" s="107">
        <v>284063223</v>
      </c>
      <c r="R392" s="102" t="s">
        <v>30</v>
      </c>
      <c r="S392" s="108"/>
      <c r="T392" s="109"/>
      <c r="U392" s="109"/>
      <c r="V392" s="102"/>
      <c r="W392" s="109"/>
      <c r="X392" s="109"/>
      <c r="Y392" s="110" t="s">
        <v>31</v>
      </c>
      <c r="Z392" s="111" t="str">
        <f>MID(E392,4,2)</f>
        <v>JD</v>
      </c>
    </row>
    <row r="393" spans="1:26" s="111" customFormat="1" x14ac:dyDescent="0.2">
      <c r="A393" s="101">
        <v>46240</v>
      </c>
      <c r="B393" s="91" t="s">
        <v>545</v>
      </c>
      <c r="C393" s="102" t="s">
        <v>546</v>
      </c>
      <c r="D393" s="103" t="s">
        <v>427</v>
      </c>
      <c r="E393" s="91" t="s">
        <v>547</v>
      </c>
      <c r="F393" s="91" t="s">
        <v>554</v>
      </c>
      <c r="G393" s="91" t="s">
        <v>555</v>
      </c>
      <c r="H393" s="104" t="str">
        <f t="shared" si="24"/>
        <v>C4145J30</v>
      </c>
      <c r="I393" s="104"/>
      <c r="J393" s="105">
        <v>43.56</v>
      </c>
      <c r="K393" s="106">
        <f>IF(D393="CAESARSTONE LTD",VLOOKUP(H393,'[2]GIA CA'!G:H,2,0),IF(OR(D393="STONE FACINGS LIMITED",D393="NORDIA SA",D393="INVICTUS STONE COUNTERTOPS INC",D393="QUARTZTOP LLC"),VLOOKUP(H393,'[2] Giá ngoài Mỹ - SI-GR'!$B$5:$AZ$84,51,0),IF(OR(D393="HYUNDAI L&amp;C CANADA INC",D393="Hyundai L&amp; C USA LLC"),VLOOKUP(H393,'[2]GIA HS'!A:D,4,0),IF(Y393="Mỹ",VLOOKUP(H393,'[2]giá mỹ từ 6.8.2025'!B:I,2,0),VLOOKUP(H393,'[2]giá ngoài mỹ 6.8.2025 (final)'!B:BP,51,0)))))</f>
        <v>74</v>
      </c>
      <c r="L393" s="106">
        <v>78.75</v>
      </c>
      <c r="M393" s="106">
        <f t="shared" si="23"/>
        <v>4.75</v>
      </c>
      <c r="N393" s="106">
        <v>79</v>
      </c>
      <c r="O393" s="107">
        <v>3441.24</v>
      </c>
      <c r="P393" s="107">
        <v>26110</v>
      </c>
      <c r="Q393" s="107">
        <v>89850776</v>
      </c>
      <c r="R393" s="102" t="s">
        <v>30</v>
      </c>
      <c r="S393" s="108"/>
      <c r="T393" s="109"/>
      <c r="U393" s="109"/>
      <c r="V393" s="102"/>
      <c r="W393" s="109"/>
      <c r="X393" s="109"/>
      <c r="Y393" s="110" t="s">
        <v>31</v>
      </c>
      <c r="Z393" s="111" t="str">
        <f>MID(E393,4,2)</f>
        <v>JD</v>
      </c>
    </row>
    <row r="394" spans="1:26" s="111" customFormat="1" x14ac:dyDescent="0.2">
      <c r="A394" s="101">
        <v>46240</v>
      </c>
      <c r="B394" s="91" t="s">
        <v>545</v>
      </c>
      <c r="C394" s="102" t="s">
        <v>546</v>
      </c>
      <c r="D394" s="103" t="s">
        <v>427</v>
      </c>
      <c r="E394" s="91" t="s">
        <v>547</v>
      </c>
      <c r="F394" s="91" t="s">
        <v>556</v>
      </c>
      <c r="G394" s="91" t="s">
        <v>555</v>
      </c>
      <c r="H394" s="104" t="str">
        <f t="shared" si="24"/>
        <v>C4145J30</v>
      </c>
      <c r="I394" s="104"/>
      <c r="J394" s="105">
        <v>49.01</v>
      </c>
      <c r="K394" s="106">
        <f>IF(D394="CAESARSTONE LTD",VLOOKUP(H394,'[2]GIA CA'!G:H,2,0),IF(OR(D394="STONE FACINGS LIMITED",D394="NORDIA SA",D394="INVICTUS STONE COUNTERTOPS INC",D394="QUARTZTOP LLC"),VLOOKUP(H394,'[2] Giá ngoài Mỹ - SI-GR'!$B$5:$AZ$84,51,0),IF(OR(D394="HYUNDAI L&amp;C CANADA INC",D394="Hyundai L&amp; C USA LLC"),VLOOKUP(H394,'[2]GIA HS'!A:D,4,0),IF(Y394="Mỹ",VLOOKUP(H394,'[2]giá mỹ từ 6.8.2025'!B:I,2,0),VLOOKUP(H394,'[2]giá ngoài mỹ 6.8.2025 (final)'!B:BP,51,0)))))</f>
        <v>74</v>
      </c>
      <c r="L394" s="106">
        <v>78.75</v>
      </c>
      <c r="M394" s="106">
        <f t="shared" si="23"/>
        <v>4.75</v>
      </c>
      <c r="N394" s="106">
        <v>79</v>
      </c>
      <c r="O394" s="107">
        <v>3871.79</v>
      </c>
      <c r="P394" s="107">
        <v>26110</v>
      </c>
      <c r="Q394" s="107">
        <v>101092437</v>
      </c>
      <c r="R394" s="102" t="s">
        <v>30</v>
      </c>
      <c r="S394" s="108"/>
      <c r="T394" s="109"/>
      <c r="U394" s="109"/>
      <c r="V394" s="102"/>
      <c r="W394" s="109"/>
      <c r="X394" s="109"/>
      <c r="Y394" s="110" t="s">
        <v>31</v>
      </c>
      <c r="Z394" s="111" t="str">
        <f>MID(E394,4,2)</f>
        <v>JD</v>
      </c>
    </row>
    <row r="395" spans="1:26" s="111" customFormat="1" x14ac:dyDescent="0.2">
      <c r="A395" s="101">
        <v>46240</v>
      </c>
      <c r="B395" s="91" t="s">
        <v>557</v>
      </c>
      <c r="C395" s="102" t="s">
        <v>558</v>
      </c>
      <c r="D395" s="103" t="s">
        <v>26</v>
      </c>
      <c r="E395" s="91" t="s">
        <v>559</v>
      </c>
      <c r="F395" s="91" t="s">
        <v>560</v>
      </c>
      <c r="G395" s="91" t="s">
        <v>561</v>
      </c>
      <c r="H395" s="104" t="str">
        <f t="shared" si="24"/>
        <v>F5151J20</v>
      </c>
      <c r="I395" s="104"/>
      <c r="J395" s="105">
        <v>0.74</v>
      </c>
      <c r="K395" s="106">
        <f>IF(D395="CAESARSTONE LTD",VLOOKUP(H395,'[2]GIA CA'!G:H,2,0),IF(OR(D395="STONE FACINGS LIMITED",D395="NORDIA SA",D395="INVICTUS STONE COUNTERTOPS INC",D395="QUARTZTOP LLC"),VLOOKUP(H395,'[2] Giá ngoài Mỹ - SI-GR'!$B$5:$AZ$84,51,0),IF(OR(D395="HYUNDAI L&amp;C CANADA INC",D395="Hyundai L&amp; C USA LLC"),VLOOKUP(H395,'[2]GIA HS'!A:D,4,0),IF(Y395="Mỹ",VLOOKUP(H395,'[2]giá mỹ từ 6.8.2025'!B:I,2,0),VLOOKUP(H395,'[2]giá ngoài mỹ 6.8.2025 (final)'!B:BP,51,0)))))</f>
        <v>68</v>
      </c>
      <c r="L395" s="106">
        <v>130.07</v>
      </c>
      <c r="M395" s="106">
        <f t="shared" si="23"/>
        <v>62.069999999999993</v>
      </c>
      <c r="N395" s="106">
        <v>130.07</v>
      </c>
      <c r="O395" s="107">
        <v>96.25</v>
      </c>
      <c r="P395" s="107">
        <v>26110</v>
      </c>
      <c r="Q395" s="107">
        <v>2513088</v>
      </c>
      <c r="R395" s="102"/>
      <c r="S395" s="108"/>
      <c r="T395" s="109" t="s">
        <v>30</v>
      </c>
      <c r="U395" s="109"/>
      <c r="V395" s="102"/>
      <c r="W395" s="109"/>
      <c r="X395" s="109"/>
      <c r="Y395" s="110" t="s">
        <v>290</v>
      </c>
      <c r="Z395" s="111" t="str">
        <f>MID(E395,4,2)</f>
        <v>CA</v>
      </c>
    </row>
    <row r="396" spans="1:26" s="111" customFormat="1" x14ac:dyDescent="0.2">
      <c r="A396" s="101">
        <v>46240</v>
      </c>
      <c r="B396" s="91" t="s">
        <v>557</v>
      </c>
      <c r="C396" s="102" t="s">
        <v>558</v>
      </c>
      <c r="D396" s="103" t="s">
        <v>26</v>
      </c>
      <c r="E396" s="91" t="s">
        <v>559</v>
      </c>
      <c r="F396" s="91" t="s">
        <v>562</v>
      </c>
      <c r="G396" s="91" t="s">
        <v>563</v>
      </c>
      <c r="H396" s="104" t="str">
        <f t="shared" si="24"/>
        <v>F5441J20</v>
      </c>
      <c r="I396" s="104"/>
      <c r="J396" s="105">
        <v>457.38</v>
      </c>
      <c r="K396" s="106">
        <f>IF(D396="CAESARSTONE LTD",VLOOKUP(H396,'[2]GIA CA'!G:H,2,0),IF(OR(D396="STONE FACINGS LIMITED",D396="NORDIA SA",D396="INVICTUS STONE COUNTERTOPS INC",D396="QUARTZTOP LLC"),VLOOKUP(H396,'[2] Giá ngoài Mỹ - SI-GR'!$B$5:$AZ$84,51,0),IF(OR(D396="HYUNDAI L&amp;C CANADA INC",D396="Hyundai L&amp; C USA LLC"),VLOOKUP(H396,'[2]GIA HS'!A:D,4,0),IF(Y396="Mỹ",VLOOKUP(H396,'[2]giá mỹ từ 6.8.2025'!B:I,2,0),VLOOKUP(H396,'[2]giá ngoài mỹ 6.8.2025 (final)'!B:BP,51,0)))))</f>
        <v>74</v>
      </c>
      <c r="L396" s="106">
        <v>77.7</v>
      </c>
      <c r="M396" s="106">
        <f t="shared" si="23"/>
        <v>3.7000000000000028</v>
      </c>
      <c r="N396" s="106">
        <v>77.7</v>
      </c>
      <c r="O396" s="107">
        <v>35538.720000000001</v>
      </c>
      <c r="P396" s="107">
        <v>26110</v>
      </c>
      <c r="Q396" s="107">
        <v>927915979</v>
      </c>
      <c r="R396" s="102" t="s">
        <v>30</v>
      </c>
      <c r="S396" s="108"/>
      <c r="T396" s="109"/>
      <c r="U396" s="109"/>
      <c r="V396" s="102"/>
      <c r="W396" s="109"/>
      <c r="X396" s="109"/>
      <c r="Y396" s="110" t="s">
        <v>290</v>
      </c>
      <c r="Z396" s="111" t="str">
        <f>MID(E396,4,2)</f>
        <v>CA</v>
      </c>
    </row>
    <row r="397" spans="1:26" s="111" customFormat="1" x14ac:dyDescent="0.2">
      <c r="A397" s="101">
        <v>46240</v>
      </c>
      <c r="B397" s="91" t="s">
        <v>557</v>
      </c>
      <c r="C397" s="102" t="s">
        <v>558</v>
      </c>
      <c r="D397" s="103" t="s">
        <v>26</v>
      </c>
      <c r="E397" s="91" t="s">
        <v>559</v>
      </c>
      <c r="F397" s="91" t="s">
        <v>564</v>
      </c>
      <c r="G397" s="91" t="s">
        <v>565</v>
      </c>
      <c r="H397" s="104" t="str">
        <f t="shared" si="24"/>
        <v>F5441J20</v>
      </c>
      <c r="I397" s="104"/>
      <c r="J397" s="105">
        <v>5.45</v>
      </c>
      <c r="K397" s="106">
        <v>20</v>
      </c>
      <c r="L397" s="106">
        <v>38.85</v>
      </c>
      <c r="M397" s="106">
        <f t="shared" ref="M397:M460" si="28">L397-K397</f>
        <v>18.850000000000001</v>
      </c>
      <c r="N397" s="106">
        <v>38.85</v>
      </c>
      <c r="O397" s="107">
        <v>211.73</v>
      </c>
      <c r="P397" s="107">
        <v>26110</v>
      </c>
      <c r="Q397" s="107">
        <v>5528270</v>
      </c>
      <c r="R397" s="102" t="s">
        <v>30</v>
      </c>
      <c r="S397" s="108"/>
      <c r="T397" s="109"/>
      <c r="U397" s="109"/>
      <c r="V397" s="102"/>
      <c r="W397" s="109"/>
      <c r="X397" s="109"/>
      <c r="Y397" s="110" t="s">
        <v>290</v>
      </c>
      <c r="Z397" s="111" t="str">
        <f>MID(E397,4,2)</f>
        <v>CA</v>
      </c>
    </row>
    <row r="398" spans="1:26" s="111" customFormat="1" x14ac:dyDescent="0.2">
      <c r="A398" s="101">
        <v>46240</v>
      </c>
      <c r="B398" s="91" t="s">
        <v>557</v>
      </c>
      <c r="C398" s="102" t="s">
        <v>558</v>
      </c>
      <c r="D398" s="103" t="s">
        <v>26</v>
      </c>
      <c r="E398" s="91" t="s">
        <v>559</v>
      </c>
      <c r="F398" s="91" t="s">
        <v>564</v>
      </c>
      <c r="G398" s="91" t="s">
        <v>565</v>
      </c>
      <c r="H398" s="104" t="str">
        <f t="shared" ref="H398:H461" si="29">IF(LEN(G398)=13,LEFT(G398,5)&amp;MID(G398,SEARCH("-J",G398)+1,3),LEFT(G398,5)&amp;"J20")</f>
        <v>F5441J20</v>
      </c>
      <c r="I398" s="104"/>
      <c r="J398" s="105">
        <v>16.329999999999998</v>
      </c>
      <c r="K398" s="106">
        <v>20</v>
      </c>
      <c r="L398" s="106">
        <v>38.85</v>
      </c>
      <c r="M398" s="106">
        <f t="shared" si="28"/>
        <v>18.850000000000001</v>
      </c>
      <c r="N398" s="106">
        <v>38.85</v>
      </c>
      <c r="O398" s="107">
        <v>634.42999999999995</v>
      </c>
      <c r="P398" s="107">
        <v>26110</v>
      </c>
      <c r="Q398" s="107">
        <v>16564967</v>
      </c>
      <c r="R398" s="102" t="s">
        <v>30</v>
      </c>
      <c r="S398" s="108"/>
      <c r="T398" s="109"/>
      <c r="U398" s="109"/>
      <c r="V398" s="102"/>
      <c r="W398" s="109"/>
      <c r="X398" s="109"/>
      <c r="Y398" s="110" t="s">
        <v>290</v>
      </c>
      <c r="Z398" s="111" t="str">
        <f>MID(E398,4,2)</f>
        <v>CA</v>
      </c>
    </row>
    <row r="399" spans="1:26" s="111" customFormat="1" x14ac:dyDescent="0.2">
      <c r="A399" s="101">
        <v>46240</v>
      </c>
      <c r="B399" s="91" t="s">
        <v>566</v>
      </c>
      <c r="C399" s="102" t="s">
        <v>567</v>
      </c>
      <c r="D399" s="103" t="s">
        <v>26</v>
      </c>
      <c r="E399" s="91" t="s">
        <v>568</v>
      </c>
      <c r="F399" s="91" t="s">
        <v>288</v>
      </c>
      <c r="G399" s="91" t="s">
        <v>289</v>
      </c>
      <c r="H399" s="104" t="str">
        <f t="shared" si="29"/>
        <v>F4044J20</v>
      </c>
      <c r="I399" s="104"/>
      <c r="J399" s="105">
        <v>1.47</v>
      </c>
      <c r="K399" s="106">
        <f t="shared" ref="K399:K400" si="30">+L399</f>
        <v>95.24</v>
      </c>
      <c r="L399" s="106">
        <v>95.24</v>
      </c>
      <c r="M399" s="106">
        <f t="shared" si="28"/>
        <v>0</v>
      </c>
      <c r="N399" s="106">
        <v>95.24</v>
      </c>
      <c r="O399" s="107">
        <v>140</v>
      </c>
      <c r="P399" s="107">
        <v>26110</v>
      </c>
      <c r="Q399" s="107">
        <v>3655400</v>
      </c>
      <c r="R399" s="102"/>
      <c r="S399" s="108"/>
      <c r="T399" s="109" t="s">
        <v>30</v>
      </c>
      <c r="U399" s="109"/>
      <c r="V399" s="102"/>
      <c r="W399" s="109"/>
      <c r="X399" s="109"/>
      <c r="Y399" s="110" t="s">
        <v>290</v>
      </c>
      <c r="Z399" s="111" t="str">
        <f>MID(E399,4,2)</f>
        <v>CA</v>
      </c>
    </row>
    <row r="400" spans="1:26" s="111" customFormat="1" x14ac:dyDescent="0.2">
      <c r="A400" s="101">
        <v>46240</v>
      </c>
      <c r="B400" s="91" t="s">
        <v>566</v>
      </c>
      <c r="C400" s="102" t="s">
        <v>567</v>
      </c>
      <c r="D400" s="103" t="s">
        <v>26</v>
      </c>
      <c r="E400" s="91" t="s">
        <v>568</v>
      </c>
      <c r="F400" s="91" t="s">
        <v>288</v>
      </c>
      <c r="G400" s="91" t="s">
        <v>289</v>
      </c>
      <c r="H400" s="104" t="str">
        <f t="shared" si="29"/>
        <v>F4044J20</v>
      </c>
      <c r="I400" s="104"/>
      <c r="J400" s="105">
        <v>1.47</v>
      </c>
      <c r="K400" s="106">
        <f t="shared" si="30"/>
        <v>95.24</v>
      </c>
      <c r="L400" s="106">
        <v>95.24</v>
      </c>
      <c r="M400" s="106">
        <f t="shared" si="28"/>
        <v>0</v>
      </c>
      <c r="N400" s="106">
        <v>95.24</v>
      </c>
      <c r="O400" s="107">
        <v>140</v>
      </c>
      <c r="P400" s="107">
        <v>26110</v>
      </c>
      <c r="Q400" s="107">
        <v>3655400</v>
      </c>
      <c r="R400" s="102"/>
      <c r="S400" s="108"/>
      <c r="T400" s="109" t="s">
        <v>30</v>
      </c>
      <c r="U400" s="109"/>
      <c r="V400" s="102"/>
      <c r="W400" s="109"/>
      <c r="X400" s="109"/>
      <c r="Y400" s="110" t="s">
        <v>290</v>
      </c>
      <c r="Z400" s="111" t="str">
        <f>MID(E400,4,2)</f>
        <v>CA</v>
      </c>
    </row>
    <row r="401" spans="1:26" s="111" customFormat="1" x14ac:dyDescent="0.2">
      <c r="A401" s="101">
        <v>46240</v>
      </c>
      <c r="B401" s="91" t="s">
        <v>566</v>
      </c>
      <c r="C401" s="102" t="s">
        <v>567</v>
      </c>
      <c r="D401" s="103" t="s">
        <v>26</v>
      </c>
      <c r="E401" s="91" t="s">
        <v>568</v>
      </c>
      <c r="F401" s="91" t="s">
        <v>560</v>
      </c>
      <c r="G401" s="91" t="s">
        <v>561</v>
      </c>
      <c r="H401" s="104" t="str">
        <f t="shared" si="29"/>
        <v>F5151J20</v>
      </c>
      <c r="I401" s="104"/>
      <c r="J401" s="105">
        <v>1.47</v>
      </c>
      <c r="K401" s="106">
        <f>IF(D401="CAESARSTONE LTD",VLOOKUP(H401,'[2]GIA CA'!G:H,2,0),IF(OR(D401="STONE FACINGS LIMITED",D401="NORDIA SA",D401="INVICTUS STONE COUNTERTOPS INC",D401="QUARTZTOP LLC"),VLOOKUP(H401,'[2] Giá ngoài Mỹ - SI-GR'!$B$5:$AZ$84,51,0),IF(OR(D401="HYUNDAI L&amp;C CANADA INC",D401="Hyundai L&amp; C USA LLC"),VLOOKUP(H401,'[2]GIA HS'!A:D,4,0),IF(Y401="Mỹ",VLOOKUP(H401,'[2]giá mỹ từ 6.8.2025'!B:I,2,0),VLOOKUP(H401,'[2]giá ngoài mỹ 6.8.2025 (final)'!B:BP,51,0)))))</f>
        <v>68</v>
      </c>
      <c r="L401" s="106">
        <v>130.94999999999999</v>
      </c>
      <c r="M401" s="106">
        <f t="shared" si="28"/>
        <v>62.949999999999989</v>
      </c>
      <c r="N401" s="106">
        <v>130.94999999999999</v>
      </c>
      <c r="O401" s="107">
        <v>192.5</v>
      </c>
      <c r="P401" s="107">
        <v>26110</v>
      </c>
      <c r="Q401" s="107">
        <v>5026175</v>
      </c>
      <c r="R401" s="102"/>
      <c r="S401" s="108"/>
      <c r="T401" s="109" t="s">
        <v>30</v>
      </c>
      <c r="U401" s="109"/>
      <c r="V401" s="102"/>
      <c r="W401" s="109"/>
      <c r="X401" s="109"/>
      <c r="Y401" s="110" t="s">
        <v>290</v>
      </c>
      <c r="Z401" s="111" t="str">
        <f>MID(E401,4,2)</f>
        <v>CA</v>
      </c>
    </row>
    <row r="402" spans="1:26" s="111" customFormat="1" x14ac:dyDescent="0.2">
      <c r="A402" s="101">
        <v>46240</v>
      </c>
      <c r="B402" s="91" t="s">
        <v>566</v>
      </c>
      <c r="C402" s="102" t="s">
        <v>567</v>
      </c>
      <c r="D402" s="103" t="s">
        <v>26</v>
      </c>
      <c r="E402" s="91" t="s">
        <v>568</v>
      </c>
      <c r="F402" s="91" t="s">
        <v>296</v>
      </c>
      <c r="G402" s="91" t="s">
        <v>297</v>
      </c>
      <c r="H402" s="104" t="str">
        <f t="shared" si="29"/>
        <v>F5130J20</v>
      </c>
      <c r="I402" s="104"/>
      <c r="J402" s="105">
        <v>217.8</v>
      </c>
      <c r="K402" s="106">
        <f>IF(D402="CAESARSTONE LTD",VLOOKUP(H402,'[2]GIA CA'!G:H,2,0),IF(OR(D402="STONE FACINGS LIMITED",D402="NORDIA SA",D402="INVICTUS STONE COUNTERTOPS INC",D402="QUARTZTOP LLC"),VLOOKUP(H402,'[2] Giá ngoài Mỹ - SI-GR'!$B$5:$AZ$84,51,0),IF(OR(D402="HYUNDAI L&amp;C CANADA INC",D402="Hyundai L&amp; C USA LLC"),VLOOKUP(H402,'[2]GIA HS'!A:D,4,0),IF(Y402="Mỹ",VLOOKUP(H402,'[2]giá mỹ từ 6.8.2025'!B:I,2,0),VLOOKUP(H402,'[2]giá ngoài mỹ 6.8.2025 (final)'!B:BP,51,0)))))</f>
        <v>62</v>
      </c>
      <c r="L402" s="106">
        <v>65.099999999999994</v>
      </c>
      <c r="M402" s="106">
        <f t="shared" si="28"/>
        <v>3.0999999999999943</v>
      </c>
      <c r="N402" s="106">
        <v>65.099999999999994</v>
      </c>
      <c r="O402" s="107">
        <v>14178.8</v>
      </c>
      <c r="P402" s="107">
        <v>26110</v>
      </c>
      <c r="Q402" s="107">
        <v>370208468</v>
      </c>
      <c r="R402" s="102" t="s">
        <v>30</v>
      </c>
      <c r="S402" s="108"/>
      <c r="T402" s="109"/>
      <c r="U402" s="109"/>
      <c r="V402" s="102"/>
      <c r="W402" s="109"/>
      <c r="X402" s="109"/>
      <c r="Y402" s="110" t="s">
        <v>290</v>
      </c>
      <c r="Z402" s="111" t="str">
        <f>MID(E402,4,2)</f>
        <v>CA</v>
      </c>
    </row>
    <row r="403" spans="1:26" s="111" customFormat="1" x14ac:dyDescent="0.2">
      <c r="A403" s="101">
        <v>46240</v>
      </c>
      <c r="B403" s="91" t="s">
        <v>566</v>
      </c>
      <c r="C403" s="102" t="s">
        <v>567</v>
      </c>
      <c r="D403" s="103" t="s">
        <v>26</v>
      </c>
      <c r="E403" s="91" t="s">
        <v>568</v>
      </c>
      <c r="F403" s="91" t="s">
        <v>569</v>
      </c>
      <c r="G403" s="91" t="s">
        <v>570</v>
      </c>
      <c r="H403" s="104" t="str">
        <f t="shared" si="29"/>
        <v>F5130J20</v>
      </c>
      <c r="I403" s="104"/>
      <c r="J403" s="105">
        <v>10.89</v>
      </c>
      <c r="K403" s="106">
        <v>20</v>
      </c>
      <c r="L403" s="106">
        <v>31</v>
      </c>
      <c r="M403" s="106">
        <f t="shared" si="28"/>
        <v>11</v>
      </c>
      <c r="N403" s="106">
        <v>31</v>
      </c>
      <c r="O403" s="107">
        <v>337.59</v>
      </c>
      <c r="P403" s="107">
        <v>26110</v>
      </c>
      <c r="Q403" s="107">
        <v>8814475</v>
      </c>
      <c r="R403" s="102" t="s">
        <v>30</v>
      </c>
      <c r="S403" s="108"/>
      <c r="T403" s="109"/>
      <c r="U403" s="109"/>
      <c r="V403" s="102"/>
      <c r="W403" s="109"/>
      <c r="X403" s="109"/>
      <c r="Y403" s="110" t="s">
        <v>290</v>
      </c>
      <c r="Z403" s="111" t="str">
        <f>MID(E403,4,2)</f>
        <v>CA</v>
      </c>
    </row>
    <row r="404" spans="1:26" s="111" customFormat="1" x14ac:dyDescent="0.2">
      <c r="A404" s="101">
        <v>46240</v>
      </c>
      <c r="B404" s="91" t="s">
        <v>566</v>
      </c>
      <c r="C404" s="102" t="s">
        <v>567</v>
      </c>
      <c r="D404" s="103" t="s">
        <v>26</v>
      </c>
      <c r="E404" s="91" t="s">
        <v>568</v>
      </c>
      <c r="F404" s="91" t="s">
        <v>571</v>
      </c>
      <c r="G404" s="91" t="s">
        <v>570</v>
      </c>
      <c r="H404" s="104" t="str">
        <f t="shared" si="29"/>
        <v>F5130J20</v>
      </c>
      <c r="I404" s="104"/>
      <c r="J404" s="105">
        <v>10.89</v>
      </c>
      <c r="K404" s="106">
        <v>20</v>
      </c>
      <c r="L404" s="106">
        <v>31</v>
      </c>
      <c r="M404" s="106">
        <f t="shared" si="28"/>
        <v>11</v>
      </c>
      <c r="N404" s="106">
        <v>31</v>
      </c>
      <c r="O404" s="107">
        <v>337.59</v>
      </c>
      <c r="P404" s="107">
        <v>26110</v>
      </c>
      <c r="Q404" s="107">
        <v>8814475</v>
      </c>
      <c r="R404" s="102" t="s">
        <v>30</v>
      </c>
      <c r="S404" s="108"/>
      <c r="T404" s="109"/>
      <c r="U404" s="109"/>
      <c r="V404" s="102"/>
      <c r="W404" s="109"/>
      <c r="X404" s="109"/>
      <c r="Y404" s="110" t="s">
        <v>290</v>
      </c>
      <c r="Z404" s="111" t="str">
        <f>MID(E404,4,2)</f>
        <v>CA</v>
      </c>
    </row>
    <row r="405" spans="1:26" s="111" customFormat="1" x14ac:dyDescent="0.2">
      <c r="A405" s="101">
        <v>46240</v>
      </c>
      <c r="B405" s="91" t="s">
        <v>566</v>
      </c>
      <c r="C405" s="102" t="s">
        <v>567</v>
      </c>
      <c r="D405" s="103" t="s">
        <v>26</v>
      </c>
      <c r="E405" s="91" t="s">
        <v>568</v>
      </c>
      <c r="F405" s="91" t="s">
        <v>203</v>
      </c>
      <c r="G405" s="91" t="s">
        <v>204</v>
      </c>
      <c r="H405" s="104" t="str">
        <f t="shared" si="29"/>
        <v>F5132J20</v>
      </c>
      <c r="I405" s="104"/>
      <c r="J405" s="105">
        <v>196.02</v>
      </c>
      <c r="K405" s="106">
        <f>IF(D405="CAESARSTONE LTD",VLOOKUP(H405,'[2]GIA CA'!G:H,2,0),IF(OR(D405="STONE FACINGS LIMITED",D405="NORDIA SA",D405="INVICTUS STONE COUNTERTOPS INC",D405="QUARTZTOP LLC"),VLOOKUP(H405,'[2] Giá ngoài Mỹ - SI-GR'!$B$5:$AZ$84,51,0),IF(OR(D405="HYUNDAI L&amp;C CANADA INC",D405="Hyundai L&amp; C USA LLC"),VLOOKUP(H405,'[2]GIA HS'!A:D,4,0),IF(Y405="Mỹ",VLOOKUP(H405,'[2]giá mỹ từ 6.8.2025'!B:I,2,0),VLOOKUP(H405,'[2]giá ngoài mỹ 6.8.2025 (final)'!B:BP,51,0)))))</f>
        <v>62</v>
      </c>
      <c r="L405" s="106">
        <v>65.099999999999994</v>
      </c>
      <c r="M405" s="106">
        <f t="shared" si="28"/>
        <v>3.0999999999999943</v>
      </c>
      <c r="N405" s="106">
        <v>65.099999999999994</v>
      </c>
      <c r="O405" s="107">
        <v>12760.92</v>
      </c>
      <c r="P405" s="107">
        <v>26110</v>
      </c>
      <c r="Q405" s="107">
        <v>333187621</v>
      </c>
      <c r="R405" s="102" t="s">
        <v>30</v>
      </c>
      <c r="S405" s="108"/>
      <c r="T405" s="109"/>
      <c r="U405" s="109"/>
      <c r="V405" s="102"/>
      <c r="W405" s="109"/>
      <c r="X405" s="109"/>
      <c r="Y405" s="110" t="s">
        <v>290</v>
      </c>
      <c r="Z405" s="111" t="str">
        <f>MID(E405,4,2)</f>
        <v>CA</v>
      </c>
    </row>
    <row r="406" spans="1:26" s="111" customFormat="1" x14ac:dyDescent="0.2">
      <c r="A406" s="101">
        <v>46240</v>
      </c>
      <c r="B406" s="91" t="s">
        <v>572</v>
      </c>
      <c r="C406" s="102" t="s">
        <v>573</v>
      </c>
      <c r="D406" s="103" t="s">
        <v>574</v>
      </c>
      <c r="E406" s="91" t="s">
        <v>575</v>
      </c>
      <c r="F406" s="91" t="s">
        <v>576</v>
      </c>
      <c r="G406" s="91" t="s">
        <v>577</v>
      </c>
      <c r="H406" s="104" t="str">
        <f t="shared" si="29"/>
        <v>C2104J20</v>
      </c>
      <c r="I406" s="104"/>
      <c r="J406" s="105">
        <v>0.32</v>
      </c>
      <c r="K406" s="106"/>
      <c r="L406" s="106"/>
      <c r="M406" s="106">
        <f t="shared" si="28"/>
        <v>0</v>
      </c>
      <c r="N406" s="106">
        <v>50</v>
      </c>
      <c r="O406" s="107">
        <v>16</v>
      </c>
      <c r="P406" s="107">
        <v>26110</v>
      </c>
      <c r="Q406" s="107">
        <v>417760</v>
      </c>
      <c r="R406" s="102"/>
      <c r="S406" s="108"/>
      <c r="T406" s="109" t="s">
        <v>30</v>
      </c>
      <c r="U406" s="109"/>
      <c r="V406" s="102"/>
      <c r="W406" s="109"/>
      <c r="X406" s="109"/>
      <c r="Y406" s="110" t="s">
        <v>578</v>
      </c>
      <c r="Z406" s="111" t="str">
        <f>MID(E406,4,2)</f>
        <v>AE</v>
      </c>
    </row>
    <row r="407" spans="1:26" s="111" customFormat="1" x14ac:dyDescent="0.2">
      <c r="A407" s="101">
        <v>46240</v>
      </c>
      <c r="B407" s="91" t="s">
        <v>572</v>
      </c>
      <c r="C407" s="102" t="s">
        <v>573</v>
      </c>
      <c r="D407" s="103" t="s">
        <v>574</v>
      </c>
      <c r="E407" s="91" t="s">
        <v>575</v>
      </c>
      <c r="F407" s="91" t="s">
        <v>579</v>
      </c>
      <c r="G407" s="91" t="s">
        <v>580</v>
      </c>
      <c r="H407" s="104" t="str">
        <f t="shared" si="29"/>
        <v>C3311J20</v>
      </c>
      <c r="I407" s="104"/>
      <c r="J407" s="105">
        <v>0.31</v>
      </c>
      <c r="K407" s="106"/>
      <c r="L407" s="106"/>
      <c r="M407" s="106">
        <f t="shared" si="28"/>
        <v>0</v>
      </c>
      <c r="N407" s="106">
        <v>50</v>
      </c>
      <c r="O407" s="107">
        <v>15.5</v>
      </c>
      <c r="P407" s="107">
        <v>26110</v>
      </c>
      <c r="Q407" s="107">
        <v>404705</v>
      </c>
      <c r="R407" s="102"/>
      <c r="S407" s="108"/>
      <c r="T407" s="109" t="s">
        <v>30</v>
      </c>
      <c r="U407" s="109"/>
      <c r="V407" s="102"/>
      <c r="W407" s="109"/>
      <c r="X407" s="109"/>
      <c r="Y407" s="110" t="s">
        <v>578</v>
      </c>
      <c r="Z407" s="111" t="str">
        <f>MID(E407,4,2)</f>
        <v>AE</v>
      </c>
    </row>
    <row r="408" spans="1:26" s="111" customFormat="1" x14ac:dyDescent="0.2">
      <c r="A408" s="101">
        <v>46240</v>
      </c>
      <c r="B408" s="91" t="s">
        <v>572</v>
      </c>
      <c r="C408" s="102" t="s">
        <v>573</v>
      </c>
      <c r="D408" s="103" t="s">
        <v>574</v>
      </c>
      <c r="E408" s="91" t="s">
        <v>575</v>
      </c>
      <c r="F408" s="91" t="s">
        <v>581</v>
      </c>
      <c r="G408" s="91" t="s">
        <v>582</v>
      </c>
      <c r="H408" s="104" t="str">
        <f t="shared" si="29"/>
        <v>C4149J20</v>
      </c>
      <c r="I408" s="104"/>
      <c r="J408" s="105">
        <v>0.32</v>
      </c>
      <c r="K408" s="106"/>
      <c r="L408" s="106"/>
      <c r="M408" s="106">
        <f t="shared" si="28"/>
        <v>0</v>
      </c>
      <c r="N408" s="106">
        <v>50</v>
      </c>
      <c r="O408" s="107">
        <v>16</v>
      </c>
      <c r="P408" s="107">
        <v>26110</v>
      </c>
      <c r="Q408" s="107">
        <v>417760</v>
      </c>
      <c r="R408" s="102"/>
      <c r="S408" s="108"/>
      <c r="T408" s="109" t="s">
        <v>30</v>
      </c>
      <c r="U408" s="109"/>
      <c r="V408" s="102"/>
      <c r="W408" s="109"/>
      <c r="X408" s="109"/>
      <c r="Y408" s="110" t="s">
        <v>578</v>
      </c>
      <c r="Z408" s="111" t="str">
        <f>MID(E408,4,2)</f>
        <v>AE</v>
      </c>
    </row>
    <row r="409" spans="1:26" s="111" customFormat="1" x14ac:dyDescent="0.2">
      <c r="A409" s="101">
        <v>46240</v>
      </c>
      <c r="B409" s="91" t="s">
        <v>572</v>
      </c>
      <c r="C409" s="102" t="s">
        <v>573</v>
      </c>
      <c r="D409" s="103" t="s">
        <v>574</v>
      </c>
      <c r="E409" s="91" t="s">
        <v>575</v>
      </c>
      <c r="F409" s="91" t="s">
        <v>583</v>
      </c>
      <c r="G409" s="91" t="s">
        <v>584</v>
      </c>
      <c r="H409" s="104" t="str">
        <f t="shared" si="29"/>
        <v>C4342J20</v>
      </c>
      <c r="I409" s="104"/>
      <c r="J409" s="105">
        <v>0.2</v>
      </c>
      <c r="K409" s="106"/>
      <c r="L409" s="106"/>
      <c r="M409" s="106">
        <f t="shared" si="28"/>
        <v>0</v>
      </c>
      <c r="N409" s="106">
        <v>50</v>
      </c>
      <c r="O409" s="107">
        <v>10</v>
      </c>
      <c r="P409" s="107">
        <v>26110</v>
      </c>
      <c r="Q409" s="107">
        <v>261100</v>
      </c>
      <c r="R409" s="102"/>
      <c r="S409" s="108"/>
      <c r="T409" s="109" t="s">
        <v>30</v>
      </c>
      <c r="U409" s="109"/>
      <c r="V409" s="102"/>
      <c r="W409" s="109"/>
      <c r="X409" s="109"/>
      <c r="Y409" s="110" t="s">
        <v>578</v>
      </c>
      <c r="Z409" s="111" t="str">
        <f>MID(E409,4,2)</f>
        <v>AE</v>
      </c>
    </row>
    <row r="410" spans="1:26" s="111" customFormat="1" x14ac:dyDescent="0.2">
      <c r="A410" s="101">
        <v>46240</v>
      </c>
      <c r="B410" s="91" t="s">
        <v>572</v>
      </c>
      <c r="C410" s="102" t="s">
        <v>573</v>
      </c>
      <c r="D410" s="103" t="s">
        <v>574</v>
      </c>
      <c r="E410" s="91" t="s">
        <v>575</v>
      </c>
      <c r="F410" s="91" t="s">
        <v>585</v>
      </c>
      <c r="G410" s="91" t="s">
        <v>586</v>
      </c>
      <c r="H410" s="104" t="str">
        <f t="shared" si="29"/>
        <v>C2262J20</v>
      </c>
      <c r="I410" s="104"/>
      <c r="J410" s="105">
        <v>0.31</v>
      </c>
      <c r="K410" s="106"/>
      <c r="L410" s="106"/>
      <c r="M410" s="106">
        <f t="shared" si="28"/>
        <v>0</v>
      </c>
      <c r="N410" s="106">
        <v>50</v>
      </c>
      <c r="O410" s="107">
        <v>15.5</v>
      </c>
      <c r="P410" s="107">
        <v>26110</v>
      </c>
      <c r="Q410" s="107">
        <v>404705</v>
      </c>
      <c r="R410" s="102"/>
      <c r="S410" s="108"/>
      <c r="T410" s="109" t="s">
        <v>30</v>
      </c>
      <c r="U410" s="109"/>
      <c r="V410" s="102"/>
      <c r="W410" s="109"/>
      <c r="X410" s="109"/>
      <c r="Y410" s="110" t="s">
        <v>578</v>
      </c>
      <c r="Z410" s="111" t="str">
        <f>MID(E410,4,2)</f>
        <v>AE</v>
      </c>
    </row>
    <row r="411" spans="1:26" s="111" customFormat="1" x14ac:dyDescent="0.2">
      <c r="A411" s="101">
        <v>46240</v>
      </c>
      <c r="B411" s="91" t="s">
        <v>572</v>
      </c>
      <c r="C411" s="102" t="s">
        <v>573</v>
      </c>
      <c r="D411" s="103" t="s">
        <v>574</v>
      </c>
      <c r="E411" s="91" t="s">
        <v>575</v>
      </c>
      <c r="F411" s="91" t="s">
        <v>587</v>
      </c>
      <c r="G411" s="91" t="s">
        <v>588</v>
      </c>
      <c r="H411" s="104" t="str">
        <f t="shared" si="29"/>
        <v>C3269J20</v>
      </c>
      <c r="I411" s="104"/>
      <c r="J411" s="105">
        <v>0.2</v>
      </c>
      <c r="K411" s="106">
        <f>IF(D411="CAESARSTONE LTD",VLOOKUP(H411,'[2]GIA CA'!G:H,2,0),IF(OR(D411="STONE FACINGS LIMITED",D411="NORDIA SA",D411="INVICTUS STONE COUNTERTOPS INC",D411="QUARTZTOP LLC"),VLOOKUP(H411,'[2] Giá ngoài Mỹ - SI-GR'!$B$5:$AZ$84,51,0),IF(OR(D411="HYUNDAI L&amp;C CANADA INC",D411="Hyundai L&amp; C USA LLC"),VLOOKUP(H411,'[2]GIA HS'!A:D,4,0),IF(Y411="Mỹ",VLOOKUP(H411,'[2]giá mỹ từ 6.8.2025'!B:I,2,0),VLOOKUP(H411,'[2]giá ngoài mỹ 6.8.2025 (final)'!B:BP,51,0)))))</f>
        <v>43</v>
      </c>
      <c r="L411" s="106">
        <v>50</v>
      </c>
      <c r="M411" s="106">
        <f t="shared" si="28"/>
        <v>7</v>
      </c>
      <c r="N411" s="106">
        <v>50</v>
      </c>
      <c r="O411" s="107">
        <v>10</v>
      </c>
      <c r="P411" s="107">
        <v>26110</v>
      </c>
      <c r="Q411" s="107">
        <v>261100</v>
      </c>
      <c r="R411" s="102"/>
      <c r="S411" s="108"/>
      <c r="T411" s="109" t="s">
        <v>30</v>
      </c>
      <c r="U411" s="109"/>
      <c r="V411" s="102"/>
      <c r="W411" s="109"/>
      <c r="X411" s="109"/>
      <c r="Y411" s="110" t="s">
        <v>578</v>
      </c>
      <c r="Z411" s="111" t="str">
        <f>MID(E411,4,2)</f>
        <v>AE</v>
      </c>
    </row>
    <row r="412" spans="1:26" s="111" customFormat="1" x14ac:dyDescent="0.2">
      <c r="A412" s="101">
        <v>46240</v>
      </c>
      <c r="B412" s="91" t="s">
        <v>572</v>
      </c>
      <c r="C412" s="102" t="s">
        <v>573</v>
      </c>
      <c r="D412" s="103" t="s">
        <v>574</v>
      </c>
      <c r="E412" s="91" t="s">
        <v>575</v>
      </c>
      <c r="F412" s="91" t="s">
        <v>589</v>
      </c>
      <c r="G412" s="91" t="s">
        <v>590</v>
      </c>
      <c r="H412" s="104" t="str">
        <f t="shared" si="29"/>
        <v>C4147J20</v>
      </c>
      <c r="I412" s="104"/>
      <c r="J412" s="105">
        <v>0.18</v>
      </c>
      <c r="K412" s="106"/>
      <c r="L412" s="106"/>
      <c r="M412" s="106">
        <f t="shared" si="28"/>
        <v>0</v>
      </c>
      <c r="N412" s="106">
        <v>50</v>
      </c>
      <c r="O412" s="106">
        <v>9</v>
      </c>
      <c r="P412" s="107">
        <v>26110</v>
      </c>
      <c r="Q412" s="107">
        <v>234990</v>
      </c>
      <c r="R412" s="102"/>
      <c r="S412" s="108"/>
      <c r="T412" s="109" t="s">
        <v>30</v>
      </c>
      <c r="U412" s="109"/>
      <c r="V412" s="102"/>
      <c r="W412" s="109"/>
      <c r="X412" s="109"/>
      <c r="Y412" s="110" t="s">
        <v>578</v>
      </c>
      <c r="Z412" s="111" t="str">
        <f>MID(E412,4,2)</f>
        <v>AE</v>
      </c>
    </row>
    <row r="413" spans="1:26" s="111" customFormat="1" x14ac:dyDescent="0.2">
      <c r="A413" s="101">
        <v>46240</v>
      </c>
      <c r="B413" s="91" t="s">
        <v>572</v>
      </c>
      <c r="C413" s="102" t="s">
        <v>573</v>
      </c>
      <c r="D413" s="103" t="s">
        <v>574</v>
      </c>
      <c r="E413" s="91" t="s">
        <v>575</v>
      </c>
      <c r="F413" s="91" t="s">
        <v>591</v>
      </c>
      <c r="G413" s="91" t="s">
        <v>592</v>
      </c>
      <c r="H413" s="104" t="str">
        <f t="shared" si="29"/>
        <v>C3346J20</v>
      </c>
      <c r="I413" s="104"/>
      <c r="J413" s="105">
        <v>0.2</v>
      </c>
      <c r="K413" s="106"/>
      <c r="L413" s="106"/>
      <c r="M413" s="106">
        <f t="shared" si="28"/>
        <v>0</v>
      </c>
      <c r="N413" s="106">
        <v>50</v>
      </c>
      <c r="O413" s="106">
        <v>10</v>
      </c>
      <c r="P413" s="107">
        <v>26110</v>
      </c>
      <c r="Q413" s="107">
        <v>261100</v>
      </c>
      <c r="R413" s="102"/>
      <c r="S413" s="108"/>
      <c r="T413" s="109" t="s">
        <v>30</v>
      </c>
      <c r="U413" s="109"/>
      <c r="V413" s="102"/>
      <c r="W413" s="109"/>
      <c r="X413" s="109"/>
      <c r="Y413" s="110" t="s">
        <v>578</v>
      </c>
      <c r="Z413" s="111" t="str">
        <f>MID(E413,4,2)</f>
        <v>AE</v>
      </c>
    </row>
    <row r="414" spans="1:26" s="111" customFormat="1" x14ac:dyDescent="0.2">
      <c r="A414" s="101">
        <v>46240</v>
      </c>
      <c r="B414" s="91" t="s">
        <v>572</v>
      </c>
      <c r="C414" s="102" t="s">
        <v>573</v>
      </c>
      <c r="D414" s="103" t="s">
        <v>574</v>
      </c>
      <c r="E414" s="91" t="s">
        <v>575</v>
      </c>
      <c r="F414" s="91" t="s">
        <v>593</v>
      </c>
      <c r="G414" s="91" t="s">
        <v>594</v>
      </c>
      <c r="H414" s="104" t="str">
        <f t="shared" si="29"/>
        <v>C2104J20</v>
      </c>
      <c r="I414" s="104"/>
      <c r="J414" s="105">
        <v>5.45</v>
      </c>
      <c r="K414" s="106">
        <v>20</v>
      </c>
      <c r="L414" s="106">
        <v>20</v>
      </c>
      <c r="M414" s="106">
        <f t="shared" si="28"/>
        <v>0</v>
      </c>
      <c r="N414" s="106">
        <v>16.86</v>
      </c>
      <c r="O414" s="106">
        <v>91.87</v>
      </c>
      <c r="P414" s="107">
        <v>26110</v>
      </c>
      <c r="Q414" s="107">
        <v>2398726</v>
      </c>
      <c r="R414" s="102" t="s">
        <v>30</v>
      </c>
      <c r="S414" s="108"/>
      <c r="T414" s="109"/>
      <c r="U414" s="109"/>
      <c r="V414" s="102"/>
      <c r="W414" s="109"/>
      <c r="X414" s="109"/>
      <c r="Y414" s="110" t="s">
        <v>578</v>
      </c>
      <c r="Z414" s="111" t="str">
        <f>MID(E414,4,2)</f>
        <v>AE</v>
      </c>
    </row>
    <row r="415" spans="1:26" s="111" customFormat="1" x14ac:dyDescent="0.2">
      <c r="A415" s="101">
        <v>46240</v>
      </c>
      <c r="B415" s="91" t="s">
        <v>572</v>
      </c>
      <c r="C415" s="102" t="s">
        <v>573</v>
      </c>
      <c r="D415" s="103" t="s">
        <v>574</v>
      </c>
      <c r="E415" s="91" t="s">
        <v>575</v>
      </c>
      <c r="F415" s="91" t="s">
        <v>595</v>
      </c>
      <c r="G415" s="91" t="s">
        <v>594</v>
      </c>
      <c r="H415" s="104" t="str">
        <f t="shared" si="29"/>
        <v>C2104J20</v>
      </c>
      <c r="I415" s="104"/>
      <c r="J415" s="105">
        <v>10.89</v>
      </c>
      <c r="K415" s="106">
        <v>20</v>
      </c>
      <c r="L415" s="106">
        <v>20</v>
      </c>
      <c r="M415" s="106">
        <f t="shared" si="28"/>
        <v>0</v>
      </c>
      <c r="N415" s="106">
        <v>16.86</v>
      </c>
      <c r="O415" s="106">
        <v>183.56</v>
      </c>
      <c r="P415" s="107">
        <v>26110</v>
      </c>
      <c r="Q415" s="107">
        <v>4792752</v>
      </c>
      <c r="R415" s="102" t="s">
        <v>30</v>
      </c>
      <c r="S415" s="108"/>
      <c r="T415" s="109"/>
      <c r="U415" s="109"/>
      <c r="V415" s="102"/>
      <c r="W415" s="109"/>
      <c r="X415" s="109"/>
      <c r="Y415" s="110" t="s">
        <v>578</v>
      </c>
      <c r="Z415" s="111" t="str">
        <f>MID(E415,4,2)</f>
        <v>AE</v>
      </c>
    </row>
    <row r="416" spans="1:26" s="111" customFormat="1" x14ac:dyDescent="0.2">
      <c r="A416" s="101">
        <v>46240</v>
      </c>
      <c r="B416" s="91" t="s">
        <v>572</v>
      </c>
      <c r="C416" s="102" t="s">
        <v>573</v>
      </c>
      <c r="D416" s="103" t="s">
        <v>574</v>
      </c>
      <c r="E416" s="91" t="s">
        <v>575</v>
      </c>
      <c r="F416" s="91" t="s">
        <v>596</v>
      </c>
      <c r="G416" s="91" t="s">
        <v>594</v>
      </c>
      <c r="H416" s="104" t="str">
        <f t="shared" si="29"/>
        <v>C2104J20</v>
      </c>
      <c r="I416" s="104"/>
      <c r="J416" s="105">
        <v>10.88</v>
      </c>
      <c r="K416" s="106">
        <v>20</v>
      </c>
      <c r="L416" s="106">
        <v>20</v>
      </c>
      <c r="M416" s="106">
        <f t="shared" si="28"/>
        <v>0</v>
      </c>
      <c r="N416" s="106">
        <v>16.86</v>
      </c>
      <c r="O416" s="106">
        <v>183.4</v>
      </c>
      <c r="P416" s="107">
        <v>26110</v>
      </c>
      <c r="Q416" s="107">
        <v>4788574</v>
      </c>
      <c r="R416" s="102" t="s">
        <v>30</v>
      </c>
      <c r="S416" s="108"/>
      <c r="T416" s="109"/>
      <c r="U416" s="109"/>
      <c r="V416" s="102"/>
      <c r="W416" s="109"/>
      <c r="X416" s="109"/>
      <c r="Y416" s="110" t="s">
        <v>578</v>
      </c>
      <c r="Z416" s="111" t="str">
        <f>MID(E416,4,2)</f>
        <v>AE</v>
      </c>
    </row>
    <row r="417" spans="1:26" s="111" customFormat="1" x14ac:dyDescent="0.2">
      <c r="A417" s="101">
        <v>46240</v>
      </c>
      <c r="B417" s="91" t="s">
        <v>572</v>
      </c>
      <c r="C417" s="102" t="s">
        <v>573</v>
      </c>
      <c r="D417" s="103" t="s">
        <v>574</v>
      </c>
      <c r="E417" s="91" t="s">
        <v>575</v>
      </c>
      <c r="F417" s="91" t="s">
        <v>597</v>
      </c>
      <c r="G417" s="91" t="s">
        <v>594</v>
      </c>
      <c r="H417" s="104" t="str">
        <f t="shared" si="29"/>
        <v>C2104J20</v>
      </c>
      <c r="I417" s="104"/>
      <c r="J417" s="105">
        <v>5.45</v>
      </c>
      <c r="K417" s="106">
        <v>20</v>
      </c>
      <c r="L417" s="106">
        <v>20</v>
      </c>
      <c r="M417" s="106">
        <f t="shared" si="28"/>
        <v>0</v>
      </c>
      <c r="N417" s="106">
        <v>16.86</v>
      </c>
      <c r="O417" s="106">
        <v>91.87</v>
      </c>
      <c r="P417" s="107">
        <v>26110</v>
      </c>
      <c r="Q417" s="107">
        <v>2398726</v>
      </c>
      <c r="R417" s="102" t="s">
        <v>30</v>
      </c>
      <c r="S417" s="108"/>
      <c r="T417" s="109"/>
      <c r="U417" s="109"/>
      <c r="V417" s="102"/>
      <c r="W417" s="109"/>
      <c r="X417" s="109"/>
      <c r="Y417" s="110" t="s">
        <v>578</v>
      </c>
      <c r="Z417" s="111" t="str">
        <f>MID(E417,4,2)</f>
        <v>AE</v>
      </c>
    </row>
    <row r="418" spans="1:26" s="111" customFormat="1" x14ac:dyDescent="0.2">
      <c r="A418" s="101">
        <v>46240</v>
      </c>
      <c r="B418" s="91" t="s">
        <v>572</v>
      </c>
      <c r="C418" s="102" t="s">
        <v>573</v>
      </c>
      <c r="D418" s="103" t="s">
        <v>574</v>
      </c>
      <c r="E418" s="91" t="s">
        <v>575</v>
      </c>
      <c r="F418" s="91" t="s">
        <v>598</v>
      </c>
      <c r="G418" s="91" t="s">
        <v>599</v>
      </c>
      <c r="H418" s="104" t="str">
        <f t="shared" si="29"/>
        <v>C2262J20</v>
      </c>
      <c r="I418" s="104"/>
      <c r="J418" s="105">
        <v>5.45</v>
      </c>
      <c r="K418" s="106">
        <v>20</v>
      </c>
      <c r="L418" s="106">
        <v>30</v>
      </c>
      <c r="M418" s="106">
        <f t="shared" si="28"/>
        <v>10</v>
      </c>
      <c r="N418" s="106">
        <v>30</v>
      </c>
      <c r="O418" s="106">
        <v>163.5</v>
      </c>
      <c r="P418" s="107">
        <v>26110</v>
      </c>
      <c r="Q418" s="107">
        <v>4268985</v>
      </c>
      <c r="R418" s="102" t="s">
        <v>30</v>
      </c>
      <c r="S418" s="108"/>
      <c r="T418" s="109"/>
      <c r="U418" s="109"/>
      <c r="V418" s="102"/>
      <c r="W418" s="109"/>
      <c r="X418" s="109"/>
      <c r="Y418" s="110" t="s">
        <v>578</v>
      </c>
      <c r="Z418" s="111" t="str">
        <f>MID(E418,4,2)</f>
        <v>AE</v>
      </c>
    </row>
    <row r="419" spans="1:26" s="111" customFormat="1" x14ac:dyDescent="0.2">
      <c r="A419" s="101">
        <v>46240</v>
      </c>
      <c r="B419" s="91" t="s">
        <v>572</v>
      </c>
      <c r="C419" s="102" t="s">
        <v>573</v>
      </c>
      <c r="D419" s="103" t="s">
        <v>574</v>
      </c>
      <c r="E419" s="91" t="s">
        <v>575</v>
      </c>
      <c r="F419" s="91" t="s">
        <v>598</v>
      </c>
      <c r="G419" s="91" t="s">
        <v>599</v>
      </c>
      <c r="H419" s="104" t="str">
        <f t="shared" si="29"/>
        <v>C2262J20</v>
      </c>
      <c r="I419" s="104"/>
      <c r="J419" s="105">
        <v>27.22</v>
      </c>
      <c r="K419" s="106">
        <v>20</v>
      </c>
      <c r="L419" s="106">
        <v>30</v>
      </c>
      <c r="M419" s="106">
        <f t="shared" si="28"/>
        <v>10</v>
      </c>
      <c r="N419" s="106">
        <v>30</v>
      </c>
      <c r="O419" s="106">
        <v>816.6</v>
      </c>
      <c r="P419" s="107">
        <v>26110</v>
      </c>
      <c r="Q419" s="107">
        <v>21321426</v>
      </c>
      <c r="R419" s="102" t="s">
        <v>30</v>
      </c>
      <c r="S419" s="108"/>
      <c r="T419" s="109"/>
      <c r="U419" s="109"/>
      <c r="V419" s="102"/>
      <c r="W419" s="109"/>
      <c r="X419" s="109"/>
      <c r="Y419" s="110" t="s">
        <v>578</v>
      </c>
      <c r="Z419" s="111" t="str">
        <f>MID(E419,4,2)</f>
        <v>AE</v>
      </c>
    </row>
    <row r="420" spans="1:26" s="111" customFormat="1" x14ac:dyDescent="0.2">
      <c r="A420" s="101">
        <v>46240</v>
      </c>
      <c r="B420" s="91" t="s">
        <v>572</v>
      </c>
      <c r="C420" s="102" t="s">
        <v>573</v>
      </c>
      <c r="D420" s="103" t="s">
        <v>574</v>
      </c>
      <c r="E420" s="91" t="s">
        <v>575</v>
      </c>
      <c r="F420" s="91" t="s">
        <v>598</v>
      </c>
      <c r="G420" s="91" t="s">
        <v>599</v>
      </c>
      <c r="H420" s="104" t="str">
        <f t="shared" si="29"/>
        <v>C2262J20</v>
      </c>
      <c r="I420" s="104"/>
      <c r="J420" s="105">
        <v>10.89</v>
      </c>
      <c r="K420" s="106">
        <v>20</v>
      </c>
      <c r="L420" s="106">
        <v>30</v>
      </c>
      <c r="M420" s="106">
        <f t="shared" si="28"/>
        <v>10</v>
      </c>
      <c r="N420" s="106">
        <v>30</v>
      </c>
      <c r="O420" s="106">
        <v>326.7</v>
      </c>
      <c r="P420" s="107">
        <v>26110</v>
      </c>
      <c r="Q420" s="107">
        <v>8530137</v>
      </c>
      <c r="R420" s="102" t="s">
        <v>30</v>
      </c>
      <c r="S420" s="108"/>
      <c r="T420" s="109"/>
      <c r="U420" s="109"/>
      <c r="V420" s="102"/>
      <c r="W420" s="109"/>
      <c r="X420" s="109"/>
      <c r="Y420" s="110" t="s">
        <v>578</v>
      </c>
      <c r="Z420" s="111" t="str">
        <f>MID(E420,4,2)</f>
        <v>AE</v>
      </c>
    </row>
    <row r="421" spans="1:26" s="111" customFormat="1" x14ac:dyDescent="0.2">
      <c r="A421" s="101">
        <v>46240</v>
      </c>
      <c r="B421" s="91" t="s">
        <v>572</v>
      </c>
      <c r="C421" s="102" t="s">
        <v>573</v>
      </c>
      <c r="D421" s="103" t="s">
        <v>574</v>
      </c>
      <c r="E421" s="91" t="s">
        <v>575</v>
      </c>
      <c r="F421" s="91" t="s">
        <v>598</v>
      </c>
      <c r="G421" s="91" t="s">
        <v>599</v>
      </c>
      <c r="H421" s="104" t="str">
        <f t="shared" si="29"/>
        <v>C2262J20</v>
      </c>
      <c r="I421" s="104"/>
      <c r="J421" s="105">
        <v>5.45</v>
      </c>
      <c r="K421" s="106">
        <v>20</v>
      </c>
      <c r="L421" s="106">
        <v>30</v>
      </c>
      <c r="M421" s="106">
        <f t="shared" si="28"/>
        <v>10</v>
      </c>
      <c r="N421" s="106">
        <v>30</v>
      </c>
      <c r="O421" s="106">
        <v>163.5</v>
      </c>
      <c r="P421" s="107">
        <v>26110</v>
      </c>
      <c r="Q421" s="107">
        <v>4268985</v>
      </c>
      <c r="R421" s="102" t="s">
        <v>30</v>
      </c>
      <c r="S421" s="108"/>
      <c r="T421" s="109"/>
      <c r="U421" s="109"/>
      <c r="V421" s="102"/>
      <c r="W421" s="109"/>
      <c r="X421" s="109"/>
      <c r="Y421" s="110" t="s">
        <v>578</v>
      </c>
      <c r="Z421" s="111" t="str">
        <f>MID(E421,4,2)</f>
        <v>AE</v>
      </c>
    </row>
    <row r="422" spans="1:26" s="111" customFormat="1" x14ac:dyDescent="0.2">
      <c r="A422" s="101">
        <v>46240</v>
      </c>
      <c r="B422" s="91" t="s">
        <v>572</v>
      </c>
      <c r="C422" s="102" t="s">
        <v>573</v>
      </c>
      <c r="D422" s="103" t="s">
        <v>574</v>
      </c>
      <c r="E422" s="91" t="s">
        <v>575</v>
      </c>
      <c r="F422" s="91" t="s">
        <v>600</v>
      </c>
      <c r="G422" s="91" t="s">
        <v>599</v>
      </c>
      <c r="H422" s="104" t="str">
        <f t="shared" si="29"/>
        <v>C2262J20</v>
      </c>
      <c r="I422" s="104"/>
      <c r="J422" s="105">
        <v>10.89</v>
      </c>
      <c r="K422" s="106">
        <v>20</v>
      </c>
      <c r="L422" s="106">
        <v>30</v>
      </c>
      <c r="M422" s="106">
        <f t="shared" si="28"/>
        <v>10</v>
      </c>
      <c r="N422" s="106">
        <v>30</v>
      </c>
      <c r="O422" s="106">
        <v>326.7</v>
      </c>
      <c r="P422" s="107">
        <v>26110</v>
      </c>
      <c r="Q422" s="107">
        <v>8530137</v>
      </c>
      <c r="R422" s="102" t="s">
        <v>30</v>
      </c>
      <c r="S422" s="108"/>
      <c r="T422" s="109"/>
      <c r="U422" s="109"/>
      <c r="V422" s="102"/>
      <c r="W422" s="109"/>
      <c r="X422" s="109"/>
      <c r="Y422" s="110" t="s">
        <v>578</v>
      </c>
      <c r="Z422" s="111" t="str">
        <f>MID(E422,4,2)</f>
        <v>AE</v>
      </c>
    </row>
    <row r="423" spans="1:26" s="111" customFormat="1" x14ac:dyDescent="0.2">
      <c r="A423" s="101">
        <v>46240</v>
      </c>
      <c r="B423" s="91" t="s">
        <v>572</v>
      </c>
      <c r="C423" s="102" t="s">
        <v>573</v>
      </c>
      <c r="D423" s="103" t="s">
        <v>574</v>
      </c>
      <c r="E423" s="91" t="s">
        <v>575</v>
      </c>
      <c r="F423" s="91" t="s">
        <v>601</v>
      </c>
      <c r="G423" s="91" t="s">
        <v>602</v>
      </c>
      <c r="H423" s="104" t="str">
        <f t="shared" si="29"/>
        <v>C3269J20</v>
      </c>
      <c r="I423" s="104"/>
      <c r="J423" s="105">
        <v>206.92</v>
      </c>
      <c r="K423" s="106">
        <f>IF(D423="CAESARSTONE LTD",VLOOKUP(H423,'[2]GIA CA'!G:H,2,0),IF(OR(D423="STONE FACINGS LIMITED",D423="NORDIA SA",D423="INVICTUS STONE COUNTERTOPS INC",D423="QUARTZTOP LLC"),VLOOKUP(H423,'[2] Giá ngoài Mỹ - SI-GR'!$B$5:$AZ$84,51,0),IF(OR(D423="HYUNDAI L&amp;C CANADA INC",D423="Hyundai L&amp; C USA LLC"),VLOOKUP(H423,'[2]GIA HS'!A:D,4,0),IF(Y423="Mỹ",VLOOKUP(H423,'[2]giá mỹ từ 6.8.2025'!B:I,2,0),VLOOKUP(H423,'[2]giá ngoài mỹ 6.8.2025 (final)'!B:BP,51,0)))))</f>
        <v>43</v>
      </c>
      <c r="L423" s="106">
        <v>43</v>
      </c>
      <c r="M423" s="106">
        <f t="shared" si="28"/>
        <v>0</v>
      </c>
      <c r="N423" s="106">
        <v>43</v>
      </c>
      <c r="O423" s="106">
        <v>8897.56</v>
      </c>
      <c r="P423" s="107">
        <v>26110</v>
      </c>
      <c r="Q423" s="107">
        <v>232315292</v>
      </c>
      <c r="R423" s="102" t="s">
        <v>30</v>
      </c>
      <c r="S423" s="108"/>
      <c r="T423" s="109"/>
      <c r="U423" s="109"/>
      <c r="V423" s="102"/>
      <c r="W423" s="109"/>
      <c r="X423" s="109"/>
      <c r="Y423" s="110" t="s">
        <v>578</v>
      </c>
      <c r="Z423" s="111" t="str">
        <f>MID(E423,4,2)</f>
        <v>AE</v>
      </c>
    </row>
    <row r="424" spans="1:26" s="111" customFormat="1" x14ac:dyDescent="0.2">
      <c r="A424" s="101">
        <v>46240</v>
      </c>
      <c r="B424" s="91" t="s">
        <v>572</v>
      </c>
      <c r="C424" s="102" t="s">
        <v>573</v>
      </c>
      <c r="D424" s="103" t="s">
        <v>574</v>
      </c>
      <c r="E424" s="91" t="s">
        <v>575</v>
      </c>
      <c r="F424" s="91" t="s">
        <v>603</v>
      </c>
      <c r="G424" s="91" t="s">
        <v>602</v>
      </c>
      <c r="H424" s="104" t="str">
        <f t="shared" si="29"/>
        <v>C3269J20</v>
      </c>
      <c r="I424" s="104"/>
      <c r="J424" s="105">
        <v>10.88</v>
      </c>
      <c r="K424" s="106">
        <f>IF(D424="CAESARSTONE LTD",VLOOKUP(H424,'[2]GIA CA'!G:H,2,0),IF(OR(D424="STONE FACINGS LIMITED",D424="NORDIA SA",D424="INVICTUS STONE COUNTERTOPS INC",D424="QUARTZTOP LLC"),VLOOKUP(H424,'[2] Giá ngoài Mỹ - SI-GR'!$B$5:$AZ$84,51,0),IF(OR(D424="HYUNDAI L&amp;C CANADA INC",D424="Hyundai L&amp; C USA LLC"),VLOOKUP(H424,'[2]GIA HS'!A:D,4,0),IF(Y424="Mỹ",VLOOKUP(H424,'[2]giá mỹ từ 6.8.2025'!B:I,2,0),VLOOKUP(H424,'[2]giá ngoài mỹ 6.8.2025 (final)'!B:BP,51,0)))))</f>
        <v>43</v>
      </c>
      <c r="L424" s="106">
        <v>43</v>
      </c>
      <c r="M424" s="106">
        <f t="shared" si="28"/>
        <v>0</v>
      </c>
      <c r="N424" s="106">
        <v>43</v>
      </c>
      <c r="O424" s="106">
        <v>467.84</v>
      </c>
      <c r="P424" s="107">
        <v>26110</v>
      </c>
      <c r="Q424" s="107">
        <v>12215302</v>
      </c>
      <c r="R424" s="102" t="s">
        <v>30</v>
      </c>
      <c r="S424" s="108"/>
      <c r="T424" s="109"/>
      <c r="U424" s="109"/>
      <c r="V424" s="102"/>
      <c r="W424" s="109"/>
      <c r="X424" s="109"/>
      <c r="Y424" s="110" t="s">
        <v>578</v>
      </c>
      <c r="Z424" s="111" t="str">
        <f>MID(E424,4,2)</f>
        <v>AE</v>
      </c>
    </row>
    <row r="425" spans="1:26" s="111" customFormat="1" x14ac:dyDescent="0.2">
      <c r="A425" s="101">
        <v>46240</v>
      </c>
      <c r="B425" s="91" t="s">
        <v>572</v>
      </c>
      <c r="C425" s="102" t="s">
        <v>573</v>
      </c>
      <c r="D425" s="103" t="s">
        <v>574</v>
      </c>
      <c r="E425" s="91" t="s">
        <v>575</v>
      </c>
      <c r="F425" s="91" t="s">
        <v>604</v>
      </c>
      <c r="G425" s="91" t="s">
        <v>605</v>
      </c>
      <c r="H425" s="104" t="str">
        <f t="shared" si="29"/>
        <v>C3269J20</v>
      </c>
      <c r="I425" s="104"/>
      <c r="J425" s="105">
        <v>5.44</v>
      </c>
      <c r="K425" s="106">
        <v>20</v>
      </c>
      <c r="L425" s="106">
        <v>20</v>
      </c>
      <c r="M425" s="106">
        <f t="shared" si="28"/>
        <v>0</v>
      </c>
      <c r="N425" s="106">
        <v>20</v>
      </c>
      <c r="O425" s="106">
        <v>108.8</v>
      </c>
      <c r="P425" s="107">
        <v>26110</v>
      </c>
      <c r="Q425" s="107">
        <v>2840768</v>
      </c>
      <c r="R425" s="102" t="s">
        <v>30</v>
      </c>
      <c r="S425" s="108"/>
      <c r="T425" s="109"/>
      <c r="U425" s="109"/>
      <c r="V425" s="102"/>
      <c r="W425" s="109"/>
      <c r="X425" s="109"/>
      <c r="Y425" s="110" t="s">
        <v>578</v>
      </c>
      <c r="Z425" s="111" t="str">
        <f>MID(E425,4,2)</f>
        <v>AE</v>
      </c>
    </row>
    <row r="426" spans="1:26" s="111" customFormat="1" x14ac:dyDescent="0.2">
      <c r="A426" s="101">
        <v>46240</v>
      </c>
      <c r="B426" s="91" t="s">
        <v>572</v>
      </c>
      <c r="C426" s="102" t="s">
        <v>573</v>
      </c>
      <c r="D426" s="103" t="s">
        <v>574</v>
      </c>
      <c r="E426" s="91" t="s">
        <v>575</v>
      </c>
      <c r="F426" s="91" t="s">
        <v>606</v>
      </c>
      <c r="G426" s="91" t="s">
        <v>605</v>
      </c>
      <c r="H426" s="104" t="str">
        <f t="shared" si="29"/>
        <v>C3269J20</v>
      </c>
      <c r="I426" s="104"/>
      <c r="J426" s="105">
        <v>16.34</v>
      </c>
      <c r="K426" s="106">
        <v>20</v>
      </c>
      <c r="L426" s="106">
        <v>20</v>
      </c>
      <c r="M426" s="106">
        <f t="shared" si="28"/>
        <v>0</v>
      </c>
      <c r="N426" s="106">
        <v>20</v>
      </c>
      <c r="O426" s="107">
        <v>326.8</v>
      </c>
      <c r="P426" s="107">
        <v>26110</v>
      </c>
      <c r="Q426" s="107">
        <v>8532748</v>
      </c>
      <c r="R426" s="102" t="s">
        <v>30</v>
      </c>
      <c r="S426" s="108"/>
      <c r="T426" s="109"/>
      <c r="U426" s="109"/>
      <c r="V426" s="102"/>
      <c r="W426" s="109"/>
      <c r="X426" s="109"/>
      <c r="Y426" s="110" t="s">
        <v>578</v>
      </c>
      <c r="Z426" s="111" t="str">
        <f>MID(E426,4,2)</f>
        <v>AE</v>
      </c>
    </row>
    <row r="427" spans="1:26" s="111" customFormat="1" x14ac:dyDescent="0.2">
      <c r="A427" s="101">
        <v>46240</v>
      </c>
      <c r="B427" s="91" t="s">
        <v>572</v>
      </c>
      <c r="C427" s="102" t="s">
        <v>573</v>
      </c>
      <c r="D427" s="103" t="s">
        <v>574</v>
      </c>
      <c r="E427" s="91" t="s">
        <v>575</v>
      </c>
      <c r="F427" s="91" t="s">
        <v>607</v>
      </c>
      <c r="G427" s="91" t="s">
        <v>608</v>
      </c>
      <c r="H427" s="104" t="str">
        <f t="shared" si="29"/>
        <v>C3311J20</v>
      </c>
      <c r="I427" s="104"/>
      <c r="J427" s="105">
        <v>5.45</v>
      </c>
      <c r="K427" s="106">
        <v>20</v>
      </c>
      <c r="L427" s="106">
        <v>20</v>
      </c>
      <c r="M427" s="106">
        <f t="shared" si="28"/>
        <v>0</v>
      </c>
      <c r="N427" s="106">
        <v>20</v>
      </c>
      <c r="O427" s="107">
        <v>109</v>
      </c>
      <c r="P427" s="107">
        <v>26110</v>
      </c>
      <c r="Q427" s="107">
        <v>2845990</v>
      </c>
      <c r="R427" s="102" t="s">
        <v>30</v>
      </c>
      <c r="S427" s="108"/>
      <c r="T427" s="109"/>
      <c r="U427" s="109"/>
      <c r="V427" s="102"/>
      <c r="W427" s="109"/>
      <c r="X427" s="109"/>
      <c r="Y427" s="110" t="s">
        <v>578</v>
      </c>
      <c r="Z427" s="111" t="str">
        <f>MID(E427,4,2)</f>
        <v>AE</v>
      </c>
    </row>
    <row r="428" spans="1:26" s="111" customFormat="1" x14ac:dyDescent="0.2">
      <c r="A428" s="101">
        <v>46240</v>
      </c>
      <c r="B428" s="91" t="s">
        <v>572</v>
      </c>
      <c r="C428" s="102" t="s">
        <v>573</v>
      </c>
      <c r="D428" s="103" t="s">
        <v>574</v>
      </c>
      <c r="E428" s="91" t="s">
        <v>575</v>
      </c>
      <c r="F428" s="91" t="s">
        <v>609</v>
      </c>
      <c r="G428" s="91" t="s">
        <v>608</v>
      </c>
      <c r="H428" s="104" t="str">
        <f t="shared" si="29"/>
        <v>C3311J20</v>
      </c>
      <c r="I428" s="104"/>
      <c r="J428" s="105">
        <v>16.329999999999998</v>
      </c>
      <c r="K428" s="106">
        <v>20</v>
      </c>
      <c r="L428" s="106">
        <v>20</v>
      </c>
      <c r="M428" s="106">
        <f t="shared" si="28"/>
        <v>0</v>
      </c>
      <c r="N428" s="106">
        <v>20</v>
      </c>
      <c r="O428" s="107">
        <v>326.60000000000002</v>
      </c>
      <c r="P428" s="107">
        <v>26110</v>
      </c>
      <c r="Q428" s="107">
        <v>8527526</v>
      </c>
      <c r="R428" s="102" t="s">
        <v>30</v>
      </c>
      <c r="S428" s="108"/>
      <c r="T428" s="109"/>
      <c r="U428" s="109"/>
      <c r="V428" s="102"/>
      <c r="W428" s="109"/>
      <c r="X428" s="109"/>
      <c r="Y428" s="110" t="s">
        <v>578</v>
      </c>
      <c r="Z428" s="111" t="str">
        <f>MID(E428,4,2)</f>
        <v>AE</v>
      </c>
    </row>
    <row r="429" spans="1:26" s="111" customFormat="1" x14ac:dyDescent="0.2">
      <c r="A429" s="101">
        <v>46240</v>
      </c>
      <c r="B429" s="91" t="s">
        <v>572</v>
      </c>
      <c r="C429" s="102" t="s">
        <v>573</v>
      </c>
      <c r="D429" s="103" t="s">
        <v>574</v>
      </c>
      <c r="E429" s="91" t="s">
        <v>575</v>
      </c>
      <c r="F429" s="91" t="s">
        <v>610</v>
      </c>
      <c r="G429" s="91" t="s">
        <v>611</v>
      </c>
      <c r="H429" s="104" t="str">
        <f t="shared" si="29"/>
        <v>C3346J20</v>
      </c>
      <c r="I429" s="104"/>
      <c r="J429" s="105">
        <v>10.89</v>
      </c>
      <c r="K429" s="106">
        <v>20</v>
      </c>
      <c r="L429" s="106">
        <v>20</v>
      </c>
      <c r="M429" s="106">
        <f t="shared" si="28"/>
        <v>0</v>
      </c>
      <c r="N429" s="106">
        <v>20</v>
      </c>
      <c r="O429" s="107">
        <v>217.8</v>
      </c>
      <c r="P429" s="107">
        <v>26110</v>
      </c>
      <c r="Q429" s="107">
        <v>5686758</v>
      </c>
      <c r="R429" s="102" t="s">
        <v>30</v>
      </c>
      <c r="S429" s="108"/>
      <c r="T429" s="109"/>
      <c r="U429" s="109"/>
      <c r="V429" s="102"/>
      <c r="W429" s="109"/>
      <c r="X429" s="109"/>
      <c r="Y429" s="110" t="s">
        <v>578</v>
      </c>
      <c r="Z429" s="111" t="str">
        <f>MID(E429,4,2)</f>
        <v>AE</v>
      </c>
    </row>
    <row r="430" spans="1:26" s="111" customFormat="1" x14ac:dyDescent="0.2">
      <c r="A430" s="101">
        <v>46240</v>
      </c>
      <c r="B430" s="91" t="s">
        <v>572</v>
      </c>
      <c r="C430" s="102" t="s">
        <v>573</v>
      </c>
      <c r="D430" s="103" t="s">
        <v>574</v>
      </c>
      <c r="E430" s="91" t="s">
        <v>575</v>
      </c>
      <c r="F430" s="91" t="s">
        <v>612</v>
      </c>
      <c r="G430" s="91" t="s">
        <v>613</v>
      </c>
      <c r="H430" s="104" t="str">
        <f t="shared" si="29"/>
        <v>C4147J20</v>
      </c>
      <c r="I430" s="104"/>
      <c r="J430" s="105">
        <v>5.45</v>
      </c>
      <c r="K430" s="106">
        <v>20</v>
      </c>
      <c r="L430" s="106">
        <v>20</v>
      </c>
      <c r="M430" s="106">
        <f t="shared" si="28"/>
        <v>0</v>
      </c>
      <c r="N430" s="106">
        <v>20</v>
      </c>
      <c r="O430" s="107">
        <v>109</v>
      </c>
      <c r="P430" s="107">
        <v>26110</v>
      </c>
      <c r="Q430" s="107">
        <v>2845990</v>
      </c>
      <c r="R430" s="102" t="s">
        <v>30</v>
      </c>
      <c r="S430" s="108"/>
      <c r="T430" s="109"/>
      <c r="U430" s="109"/>
      <c r="V430" s="102"/>
      <c r="W430" s="109"/>
      <c r="X430" s="109"/>
      <c r="Y430" s="110" t="s">
        <v>578</v>
      </c>
      <c r="Z430" s="111" t="str">
        <f>MID(E430,4,2)</f>
        <v>AE</v>
      </c>
    </row>
    <row r="431" spans="1:26" s="111" customFormat="1" x14ac:dyDescent="0.2">
      <c r="A431" s="101">
        <v>46240</v>
      </c>
      <c r="B431" s="91" t="s">
        <v>572</v>
      </c>
      <c r="C431" s="102" t="s">
        <v>573</v>
      </c>
      <c r="D431" s="103" t="s">
        <v>574</v>
      </c>
      <c r="E431" s="91" t="s">
        <v>575</v>
      </c>
      <c r="F431" s="91" t="s">
        <v>614</v>
      </c>
      <c r="G431" s="91" t="s">
        <v>613</v>
      </c>
      <c r="H431" s="104" t="str">
        <f t="shared" si="29"/>
        <v>C4147J20</v>
      </c>
      <c r="I431" s="104"/>
      <c r="J431" s="105">
        <v>27.22</v>
      </c>
      <c r="K431" s="106">
        <v>20</v>
      </c>
      <c r="L431" s="106">
        <v>20</v>
      </c>
      <c r="M431" s="106">
        <f t="shared" si="28"/>
        <v>0</v>
      </c>
      <c r="N431" s="106">
        <v>20</v>
      </c>
      <c r="O431" s="107">
        <v>544.4</v>
      </c>
      <c r="P431" s="107">
        <v>26110</v>
      </c>
      <c r="Q431" s="107">
        <v>14214284</v>
      </c>
      <c r="R431" s="102" t="s">
        <v>30</v>
      </c>
      <c r="S431" s="108"/>
      <c r="T431" s="109"/>
      <c r="U431" s="109"/>
      <c r="V431" s="102"/>
      <c r="W431" s="109"/>
      <c r="X431" s="109"/>
      <c r="Y431" s="110" t="s">
        <v>578</v>
      </c>
      <c r="Z431" s="111" t="str">
        <f>MID(E431,4,2)</f>
        <v>AE</v>
      </c>
    </row>
    <row r="432" spans="1:26" s="111" customFormat="1" x14ac:dyDescent="0.2">
      <c r="A432" s="101">
        <v>46240</v>
      </c>
      <c r="B432" s="91" t="s">
        <v>572</v>
      </c>
      <c r="C432" s="102" t="s">
        <v>573</v>
      </c>
      <c r="D432" s="103" t="s">
        <v>574</v>
      </c>
      <c r="E432" s="91" t="s">
        <v>575</v>
      </c>
      <c r="F432" s="91" t="s">
        <v>615</v>
      </c>
      <c r="G432" s="91" t="s">
        <v>613</v>
      </c>
      <c r="H432" s="104" t="str">
        <f t="shared" si="29"/>
        <v>C4147J20</v>
      </c>
      <c r="I432" s="104"/>
      <c r="J432" s="105">
        <v>5.45</v>
      </c>
      <c r="K432" s="106">
        <v>20</v>
      </c>
      <c r="L432" s="106">
        <v>20</v>
      </c>
      <c r="M432" s="106">
        <f t="shared" si="28"/>
        <v>0</v>
      </c>
      <c r="N432" s="106">
        <v>20</v>
      </c>
      <c r="O432" s="107">
        <v>109</v>
      </c>
      <c r="P432" s="107">
        <v>26110</v>
      </c>
      <c r="Q432" s="107">
        <v>2845990</v>
      </c>
      <c r="R432" s="102" t="s">
        <v>30</v>
      </c>
      <c r="S432" s="108"/>
      <c r="T432" s="109"/>
      <c r="U432" s="109"/>
      <c r="V432" s="102"/>
      <c r="W432" s="109"/>
      <c r="X432" s="109"/>
      <c r="Y432" s="110" t="s">
        <v>578</v>
      </c>
      <c r="Z432" s="111" t="str">
        <f>MID(E432,4,2)</f>
        <v>AE</v>
      </c>
    </row>
    <row r="433" spans="1:26" s="111" customFormat="1" x14ac:dyDescent="0.2">
      <c r="A433" s="101">
        <v>46240</v>
      </c>
      <c r="B433" s="91" t="s">
        <v>572</v>
      </c>
      <c r="C433" s="102" t="s">
        <v>573</v>
      </c>
      <c r="D433" s="103" t="s">
        <v>574</v>
      </c>
      <c r="E433" s="91" t="s">
        <v>575</v>
      </c>
      <c r="F433" s="91" t="s">
        <v>616</v>
      </c>
      <c r="G433" s="91" t="s">
        <v>617</v>
      </c>
      <c r="H433" s="104" t="str">
        <f t="shared" si="29"/>
        <v>C4149J20</v>
      </c>
      <c r="I433" s="104"/>
      <c r="J433" s="105">
        <v>27.22</v>
      </c>
      <c r="K433" s="106">
        <f>IF(D433="CAESARSTONE LTD",VLOOKUP(H433,'[2]GIA CA'!G:H,2,0),IF(OR(D433="STONE FACINGS LIMITED",D433="NORDIA SA",D433="INVICTUS STONE COUNTERTOPS INC",D433="QUARTZTOP LLC"),VLOOKUP(H433,'[2] Giá ngoài Mỹ - SI-GR'!$B$5:$AZ$84,51,0),IF(OR(D433="HYUNDAI L&amp;C CANADA INC",D433="Hyundai L&amp; C USA LLC"),VLOOKUP(H433,'[2]GIA HS'!A:D,4,0),IF(Y433="Mỹ",VLOOKUP(H433,'[2]giá mỹ từ 6.8.2025'!B:I,2,0),VLOOKUP(H433,'[2]giá ngoài mỹ 6.8.2025 (final)'!B:BP,51,0)))))</f>
        <v>77</v>
      </c>
      <c r="L433" s="106">
        <v>77</v>
      </c>
      <c r="M433" s="106">
        <f t="shared" si="28"/>
        <v>0</v>
      </c>
      <c r="N433" s="106">
        <v>77</v>
      </c>
      <c r="O433" s="107">
        <v>2095.94</v>
      </c>
      <c r="P433" s="107">
        <v>26110</v>
      </c>
      <c r="Q433" s="107">
        <v>54724993</v>
      </c>
      <c r="R433" s="102" t="s">
        <v>30</v>
      </c>
      <c r="S433" s="108"/>
      <c r="T433" s="109"/>
      <c r="U433" s="109"/>
      <c r="V433" s="102"/>
      <c r="W433" s="109"/>
      <c r="X433" s="109"/>
      <c r="Y433" s="110" t="s">
        <v>578</v>
      </c>
      <c r="Z433" s="111" t="str">
        <f>MID(E433,4,2)</f>
        <v>AE</v>
      </c>
    </row>
    <row r="434" spans="1:26" s="111" customFormat="1" x14ac:dyDescent="0.2">
      <c r="A434" s="101">
        <v>46240</v>
      </c>
      <c r="B434" s="91" t="s">
        <v>572</v>
      </c>
      <c r="C434" s="102" t="s">
        <v>573</v>
      </c>
      <c r="D434" s="103" t="s">
        <v>574</v>
      </c>
      <c r="E434" s="91" t="s">
        <v>575</v>
      </c>
      <c r="F434" s="91" t="s">
        <v>618</v>
      </c>
      <c r="G434" s="91" t="s">
        <v>617</v>
      </c>
      <c r="H434" s="104" t="str">
        <f t="shared" si="29"/>
        <v>C4149J20</v>
      </c>
      <c r="I434" s="104"/>
      <c r="J434" s="105">
        <v>5.45</v>
      </c>
      <c r="K434" s="106">
        <f>IF(D434="CAESARSTONE LTD",VLOOKUP(H434,'[2]GIA CA'!G:H,2,0),IF(OR(D434="STONE FACINGS LIMITED",D434="NORDIA SA",D434="INVICTUS STONE COUNTERTOPS INC",D434="QUARTZTOP LLC"),VLOOKUP(H434,'[2] Giá ngoài Mỹ - SI-GR'!$B$5:$AZ$84,51,0),IF(OR(D434="HYUNDAI L&amp;C CANADA INC",D434="Hyundai L&amp; C USA LLC"),VLOOKUP(H434,'[2]GIA HS'!A:D,4,0),IF(Y434="Mỹ",VLOOKUP(H434,'[2]giá mỹ từ 6.8.2025'!B:I,2,0),VLOOKUP(H434,'[2]giá ngoài mỹ 6.8.2025 (final)'!B:BP,51,0)))))</f>
        <v>77</v>
      </c>
      <c r="L434" s="106">
        <v>77</v>
      </c>
      <c r="M434" s="106">
        <f t="shared" si="28"/>
        <v>0</v>
      </c>
      <c r="N434" s="106">
        <v>77</v>
      </c>
      <c r="O434" s="107">
        <v>419.65</v>
      </c>
      <c r="P434" s="107">
        <v>26110</v>
      </c>
      <c r="Q434" s="107">
        <v>10957062</v>
      </c>
      <c r="R434" s="102" t="s">
        <v>30</v>
      </c>
      <c r="S434" s="108"/>
      <c r="T434" s="109"/>
      <c r="U434" s="109"/>
      <c r="V434" s="102"/>
      <c r="W434" s="109"/>
      <c r="X434" s="109"/>
      <c r="Y434" s="110" t="s">
        <v>578</v>
      </c>
      <c r="Z434" s="111" t="str">
        <f>MID(E434,4,2)</f>
        <v>AE</v>
      </c>
    </row>
    <row r="435" spans="1:26" s="111" customFormat="1" x14ac:dyDescent="0.2">
      <c r="A435" s="101">
        <v>46240</v>
      </c>
      <c r="B435" s="91" t="s">
        <v>572</v>
      </c>
      <c r="C435" s="102" t="s">
        <v>573</v>
      </c>
      <c r="D435" s="103" t="s">
        <v>574</v>
      </c>
      <c r="E435" s="91" t="s">
        <v>575</v>
      </c>
      <c r="F435" s="91" t="s">
        <v>619</v>
      </c>
      <c r="G435" s="91" t="s">
        <v>620</v>
      </c>
      <c r="H435" s="104" t="str">
        <f t="shared" si="29"/>
        <v>C4149J20</v>
      </c>
      <c r="I435" s="104"/>
      <c r="J435" s="105">
        <v>16.329999999999998</v>
      </c>
      <c r="K435" s="106">
        <v>20</v>
      </c>
      <c r="L435" s="106">
        <v>20</v>
      </c>
      <c r="M435" s="106">
        <f t="shared" si="28"/>
        <v>0</v>
      </c>
      <c r="N435" s="106">
        <v>20</v>
      </c>
      <c r="O435" s="107">
        <v>326.60000000000002</v>
      </c>
      <c r="P435" s="107">
        <v>26110</v>
      </c>
      <c r="Q435" s="107">
        <v>8527526</v>
      </c>
      <c r="R435" s="102" t="s">
        <v>30</v>
      </c>
      <c r="S435" s="108"/>
      <c r="T435" s="109"/>
      <c r="U435" s="109"/>
      <c r="V435" s="102"/>
      <c r="W435" s="109"/>
      <c r="X435" s="109"/>
      <c r="Y435" s="110" t="s">
        <v>578</v>
      </c>
      <c r="Z435" s="111" t="str">
        <f>MID(E435,4,2)</f>
        <v>AE</v>
      </c>
    </row>
    <row r="436" spans="1:26" s="111" customFormat="1" x14ac:dyDescent="0.2">
      <c r="A436" s="101">
        <v>46240</v>
      </c>
      <c r="B436" s="91" t="s">
        <v>572</v>
      </c>
      <c r="C436" s="102" t="s">
        <v>573</v>
      </c>
      <c r="D436" s="103" t="s">
        <v>574</v>
      </c>
      <c r="E436" s="91" t="s">
        <v>575</v>
      </c>
      <c r="F436" s="91" t="s">
        <v>621</v>
      </c>
      <c r="G436" s="91" t="s">
        <v>620</v>
      </c>
      <c r="H436" s="104" t="str">
        <f t="shared" si="29"/>
        <v>C4149J20</v>
      </c>
      <c r="I436" s="104"/>
      <c r="J436" s="105">
        <v>10.89</v>
      </c>
      <c r="K436" s="106">
        <v>20</v>
      </c>
      <c r="L436" s="106">
        <v>20</v>
      </c>
      <c r="M436" s="106">
        <f t="shared" si="28"/>
        <v>0</v>
      </c>
      <c r="N436" s="106">
        <v>20</v>
      </c>
      <c r="O436" s="107">
        <v>217.8</v>
      </c>
      <c r="P436" s="107">
        <v>26110</v>
      </c>
      <c r="Q436" s="107">
        <v>5686758</v>
      </c>
      <c r="R436" s="102" t="s">
        <v>30</v>
      </c>
      <c r="S436" s="108"/>
      <c r="T436" s="109"/>
      <c r="U436" s="109"/>
      <c r="V436" s="102"/>
      <c r="W436" s="109"/>
      <c r="X436" s="109"/>
      <c r="Y436" s="110" t="s">
        <v>578</v>
      </c>
      <c r="Z436" s="111" t="str">
        <f>MID(E436,4,2)</f>
        <v>AE</v>
      </c>
    </row>
    <row r="437" spans="1:26" s="111" customFormat="1" x14ac:dyDescent="0.2">
      <c r="A437" s="101">
        <v>46240</v>
      </c>
      <c r="B437" s="91" t="s">
        <v>572</v>
      </c>
      <c r="C437" s="102" t="s">
        <v>573</v>
      </c>
      <c r="D437" s="103" t="s">
        <v>574</v>
      </c>
      <c r="E437" s="91" t="s">
        <v>575</v>
      </c>
      <c r="F437" s="91" t="s">
        <v>622</v>
      </c>
      <c r="G437" s="91" t="s">
        <v>623</v>
      </c>
      <c r="H437" s="104" t="str">
        <f t="shared" si="29"/>
        <v>C4149J20</v>
      </c>
      <c r="I437" s="104"/>
      <c r="J437" s="105">
        <v>5.44</v>
      </c>
      <c r="K437" s="106">
        <v>30</v>
      </c>
      <c r="L437" s="106">
        <v>40</v>
      </c>
      <c r="M437" s="106">
        <f t="shared" si="28"/>
        <v>10</v>
      </c>
      <c r="N437" s="106">
        <v>40</v>
      </c>
      <c r="O437" s="107">
        <v>217.6</v>
      </c>
      <c r="P437" s="107">
        <v>26110</v>
      </c>
      <c r="Q437" s="107">
        <v>5681536</v>
      </c>
      <c r="R437" s="102" t="s">
        <v>30</v>
      </c>
      <c r="S437" s="108"/>
      <c r="T437" s="109"/>
      <c r="U437" s="109"/>
      <c r="V437" s="102"/>
      <c r="W437" s="109"/>
      <c r="X437" s="109"/>
      <c r="Y437" s="110" t="s">
        <v>578</v>
      </c>
      <c r="Z437" s="111" t="str">
        <f>MID(E437,4,2)</f>
        <v>AE</v>
      </c>
    </row>
    <row r="438" spans="1:26" s="111" customFormat="1" x14ac:dyDescent="0.2">
      <c r="A438" s="101">
        <v>46240</v>
      </c>
      <c r="B438" s="91" t="s">
        <v>572</v>
      </c>
      <c r="C438" s="102" t="s">
        <v>573</v>
      </c>
      <c r="D438" s="103" t="s">
        <v>574</v>
      </c>
      <c r="E438" s="91" t="s">
        <v>575</v>
      </c>
      <c r="F438" s="91" t="s">
        <v>624</v>
      </c>
      <c r="G438" s="91" t="s">
        <v>620</v>
      </c>
      <c r="H438" s="104" t="str">
        <f t="shared" si="29"/>
        <v>C4149J20</v>
      </c>
      <c r="I438" s="104"/>
      <c r="J438" s="105">
        <v>5.45</v>
      </c>
      <c r="K438" s="106">
        <v>20</v>
      </c>
      <c r="L438" s="106">
        <v>20</v>
      </c>
      <c r="M438" s="106">
        <f t="shared" si="28"/>
        <v>0</v>
      </c>
      <c r="N438" s="106">
        <v>20</v>
      </c>
      <c r="O438" s="107">
        <v>109</v>
      </c>
      <c r="P438" s="107">
        <v>26110</v>
      </c>
      <c r="Q438" s="107">
        <v>2845990</v>
      </c>
      <c r="R438" s="102" t="s">
        <v>30</v>
      </c>
      <c r="S438" s="108"/>
      <c r="T438" s="109"/>
      <c r="U438" s="109"/>
      <c r="V438" s="102"/>
      <c r="W438" s="109"/>
      <c r="X438" s="109"/>
      <c r="Y438" s="110" t="s">
        <v>578</v>
      </c>
      <c r="Z438" s="111" t="str">
        <f>MID(E438,4,2)</f>
        <v>AE</v>
      </c>
    </row>
    <row r="439" spans="1:26" s="111" customFormat="1" x14ac:dyDescent="0.2">
      <c r="A439" s="101">
        <v>46240</v>
      </c>
      <c r="B439" s="91" t="s">
        <v>572</v>
      </c>
      <c r="C439" s="102" t="s">
        <v>573</v>
      </c>
      <c r="D439" s="103" t="s">
        <v>574</v>
      </c>
      <c r="E439" s="91" t="s">
        <v>575</v>
      </c>
      <c r="F439" s="91" t="s">
        <v>625</v>
      </c>
      <c r="G439" s="91" t="s">
        <v>623</v>
      </c>
      <c r="H439" s="104" t="str">
        <f t="shared" si="29"/>
        <v>C4149J20</v>
      </c>
      <c r="I439" s="104"/>
      <c r="J439" s="105">
        <v>5.45</v>
      </c>
      <c r="K439" s="106">
        <v>30</v>
      </c>
      <c r="L439" s="106">
        <v>40</v>
      </c>
      <c r="M439" s="106">
        <f t="shared" si="28"/>
        <v>10</v>
      </c>
      <c r="N439" s="106">
        <v>40</v>
      </c>
      <c r="O439" s="107">
        <v>218</v>
      </c>
      <c r="P439" s="107">
        <v>26110</v>
      </c>
      <c r="Q439" s="107">
        <v>5691980</v>
      </c>
      <c r="R439" s="102" t="s">
        <v>30</v>
      </c>
      <c r="S439" s="108"/>
      <c r="T439" s="109"/>
      <c r="U439" s="109"/>
      <c r="V439" s="102"/>
      <c r="W439" s="109"/>
      <c r="X439" s="109"/>
      <c r="Y439" s="110" t="s">
        <v>578</v>
      </c>
      <c r="Z439" s="111" t="str">
        <f>MID(E439,4,2)</f>
        <v>AE</v>
      </c>
    </row>
    <row r="440" spans="1:26" s="111" customFormat="1" x14ac:dyDescent="0.2">
      <c r="A440" s="101">
        <v>46240</v>
      </c>
      <c r="B440" s="91" t="s">
        <v>572</v>
      </c>
      <c r="C440" s="102" t="s">
        <v>573</v>
      </c>
      <c r="D440" s="103" t="s">
        <v>574</v>
      </c>
      <c r="E440" s="91" t="s">
        <v>575</v>
      </c>
      <c r="F440" s="91" t="s">
        <v>626</v>
      </c>
      <c r="G440" s="91" t="s">
        <v>620</v>
      </c>
      <c r="H440" s="104" t="str">
        <f t="shared" si="29"/>
        <v>C4149J20</v>
      </c>
      <c r="I440" s="104"/>
      <c r="J440" s="105">
        <v>16.34</v>
      </c>
      <c r="K440" s="106">
        <v>20</v>
      </c>
      <c r="L440" s="106">
        <v>30</v>
      </c>
      <c r="M440" s="106">
        <f t="shared" si="28"/>
        <v>10</v>
      </c>
      <c r="N440" s="106">
        <v>30</v>
      </c>
      <c r="O440" s="107">
        <v>490.2</v>
      </c>
      <c r="P440" s="107">
        <v>26110</v>
      </c>
      <c r="Q440" s="107">
        <v>12799122</v>
      </c>
      <c r="R440" s="102" t="s">
        <v>30</v>
      </c>
      <c r="S440" s="108"/>
      <c r="T440" s="109"/>
      <c r="U440" s="109"/>
      <c r="V440" s="102"/>
      <c r="W440" s="109"/>
      <c r="X440" s="109"/>
      <c r="Y440" s="110" t="s">
        <v>578</v>
      </c>
      <c r="Z440" s="111" t="str">
        <f>MID(E440,4,2)</f>
        <v>AE</v>
      </c>
    </row>
    <row r="441" spans="1:26" s="111" customFormat="1" x14ac:dyDescent="0.2">
      <c r="A441" s="101">
        <v>46240</v>
      </c>
      <c r="B441" s="91" t="s">
        <v>572</v>
      </c>
      <c r="C441" s="102" t="s">
        <v>573</v>
      </c>
      <c r="D441" s="103" t="s">
        <v>574</v>
      </c>
      <c r="E441" s="91" t="s">
        <v>575</v>
      </c>
      <c r="F441" s="91" t="s">
        <v>627</v>
      </c>
      <c r="G441" s="91" t="s">
        <v>623</v>
      </c>
      <c r="H441" s="104" t="str">
        <f t="shared" si="29"/>
        <v>C4149J20</v>
      </c>
      <c r="I441" s="104"/>
      <c r="J441" s="105">
        <v>5.45</v>
      </c>
      <c r="K441" s="106">
        <v>30</v>
      </c>
      <c r="L441" s="106">
        <v>40</v>
      </c>
      <c r="M441" s="106">
        <f t="shared" si="28"/>
        <v>10</v>
      </c>
      <c r="N441" s="106">
        <v>40</v>
      </c>
      <c r="O441" s="107">
        <v>218</v>
      </c>
      <c r="P441" s="107">
        <v>26110</v>
      </c>
      <c r="Q441" s="107">
        <v>5691980</v>
      </c>
      <c r="R441" s="102" t="s">
        <v>30</v>
      </c>
      <c r="S441" s="108"/>
      <c r="T441" s="109"/>
      <c r="U441" s="109"/>
      <c r="V441" s="102"/>
      <c r="W441" s="109"/>
      <c r="X441" s="109"/>
      <c r="Y441" s="110" t="s">
        <v>578</v>
      </c>
      <c r="Z441" s="111" t="str">
        <f>MID(E441,4,2)</f>
        <v>AE</v>
      </c>
    </row>
    <row r="442" spans="1:26" s="111" customFormat="1" x14ac:dyDescent="0.2">
      <c r="A442" s="101">
        <v>46240</v>
      </c>
      <c r="B442" s="91" t="s">
        <v>572</v>
      </c>
      <c r="C442" s="102" t="s">
        <v>573</v>
      </c>
      <c r="D442" s="103" t="s">
        <v>574</v>
      </c>
      <c r="E442" s="91" t="s">
        <v>575</v>
      </c>
      <c r="F442" s="91" t="s">
        <v>628</v>
      </c>
      <c r="G442" s="91" t="s">
        <v>629</v>
      </c>
      <c r="H442" s="104" t="str">
        <f t="shared" si="29"/>
        <v>C4342J20</v>
      </c>
      <c r="I442" s="104"/>
      <c r="J442" s="105">
        <v>5.45</v>
      </c>
      <c r="K442" s="106">
        <v>30</v>
      </c>
      <c r="L442" s="106">
        <v>30</v>
      </c>
      <c r="M442" s="106">
        <f t="shared" si="28"/>
        <v>0</v>
      </c>
      <c r="N442" s="106">
        <v>30</v>
      </c>
      <c r="O442" s="107">
        <v>163.5</v>
      </c>
      <c r="P442" s="107">
        <v>26110</v>
      </c>
      <c r="Q442" s="107">
        <v>4268985</v>
      </c>
      <c r="R442" s="102" t="s">
        <v>30</v>
      </c>
      <c r="S442" s="108"/>
      <c r="T442" s="109"/>
      <c r="U442" s="109"/>
      <c r="V442" s="102"/>
      <c r="W442" s="109"/>
      <c r="X442" s="109"/>
      <c r="Y442" s="110" t="s">
        <v>578</v>
      </c>
      <c r="Z442" s="111" t="str">
        <f>MID(E442,4,2)</f>
        <v>AE</v>
      </c>
    </row>
    <row r="443" spans="1:26" s="111" customFormat="1" x14ac:dyDescent="0.2">
      <c r="A443" s="101">
        <v>46240</v>
      </c>
      <c r="B443" s="91" t="s">
        <v>572</v>
      </c>
      <c r="C443" s="102" t="s">
        <v>573</v>
      </c>
      <c r="D443" s="103" t="s">
        <v>574</v>
      </c>
      <c r="E443" s="91" t="s">
        <v>575</v>
      </c>
      <c r="F443" s="91" t="s">
        <v>630</v>
      </c>
      <c r="G443" s="91" t="s">
        <v>629</v>
      </c>
      <c r="H443" s="104" t="str">
        <f t="shared" si="29"/>
        <v>C4342J20</v>
      </c>
      <c r="I443" s="104"/>
      <c r="J443" s="105">
        <v>10.89</v>
      </c>
      <c r="K443" s="106">
        <v>30</v>
      </c>
      <c r="L443" s="106">
        <v>30</v>
      </c>
      <c r="M443" s="106">
        <f t="shared" si="28"/>
        <v>0</v>
      </c>
      <c r="N443" s="106">
        <v>30</v>
      </c>
      <c r="O443" s="107">
        <v>326.7</v>
      </c>
      <c r="P443" s="107">
        <v>26110</v>
      </c>
      <c r="Q443" s="107">
        <v>8530137</v>
      </c>
      <c r="R443" s="102" t="s">
        <v>30</v>
      </c>
      <c r="S443" s="108"/>
      <c r="T443" s="109"/>
      <c r="U443" s="109"/>
      <c r="V443" s="102"/>
      <c r="W443" s="109"/>
      <c r="X443" s="109"/>
      <c r="Y443" s="110" t="s">
        <v>578</v>
      </c>
      <c r="Z443" s="111" t="str">
        <f>MID(E443,4,2)</f>
        <v>AE</v>
      </c>
    </row>
    <row r="444" spans="1:26" s="111" customFormat="1" x14ac:dyDescent="0.2">
      <c r="A444" s="101">
        <v>46240</v>
      </c>
      <c r="B444" s="91" t="s">
        <v>572</v>
      </c>
      <c r="C444" s="102" t="s">
        <v>573</v>
      </c>
      <c r="D444" s="103" t="s">
        <v>574</v>
      </c>
      <c r="E444" s="91" t="s">
        <v>575</v>
      </c>
      <c r="F444" s="91" t="s">
        <v>631</v>
      </c>
      <c r="G444" s="91" t="s">
        <v>632</v>
      </c>
      <c r="H444" s="104" t="str">
        <f t="shared" si="29"/>
        <v>C4342J20</v>
      </c>
      <c r="I444" s="104"/>
      <c r="J444" s="105">
        <v>21.78</v>
      </c>
      <c r="K444" s="106">
        <v>20</v>
      </c>
      <c r="L444" s="106">
        <v>20</v>
      </c>
      <c r="M444" s="106">
        <f t="shared" si="28"/>
        <v>0</v>
      </c>
      <c r="N444" s="106">
        <v>20</v>
      </c>
      <c r="O444" s="107">
        <v>435.6</v>
      </c>
      <c r="P444" s="107">
        <v>26110</v>
      </c>
      <c r="Q444" s="107">
        <v>11373516</v>
      </c>
      <c r="R444" s="102" t="s">
        <v>30</v>
      </c>
      <c r="S444" s="108"/>
      <c r="T444" s="109"/>
      <c r="U444" s="109"/>
      <c r="V444" s="102"/>
      <c r="W444" s="109"/>
      <c r="X444" s="109"/>
      <c r="Y444" s="110" t="s">
        <v>578</v>
      </c>
      <c r="Z444" s="111" t="str">
        <f>MID(E444,4,2)</f>
        <v>AE</v>
      </c>
    </row>
    <row r="445" spans="1:26" s="111" customFormat="1" x14ac:dyDescent="0.2">
      <c r="A445" s="101">
        <v>46240</v>
      </c>
      <c r="B445" s="91" t="s">
        <v>572</v>
      </c>
      <c r="C445" s="102" t="s">
        <v>573</v>
      </c>
      <c r="D445" s="103" t="s">
        <v>574</v>
      </c>
      <c r="E445" s="91" t="s">
        <v>575</v>
      </c>
      <c r="F445" s="91" t="s">
        <v>633</v>
      </c>
      <c r="G445" s="91" t="s">
        <v>629</v>
      </c>
      <c r="H445" s="104" t="str">
        <f t="shared" si="29"/>
        <v>C4342J20</v>
      </c>
      <c r="I445" s="104"/>
      <c r="J445" s="105">
        <v>5.45</v>
      </c>
      <c r="K445" s="106">
        <v>30</v>
      </c>
      <c r="L445" s="106">
        <v>30</v>
      </c>
      <c r="M445" s="106">
        <f t="shared" si="28"/>
        <v>0</v>
      </c>
      <c r="N445" s="106">
        <v>30</v>
      </c>
      <c r="O445" s="107">
        <v>163.5</v>
      </c>
      <c r="P445" s="107">
        <v>26110</v>
      </c>
      <c r="Q445" s="107">
        <v>4268985</v>
      </c>
      <c r="R445" s="102" t="s">
        <v>30</v>
      </c>
      <c r="S445" s="108"/>
      <c r="T445" s="109"/>
      <c r="U445" s="109"/>
      <c r="V445" s="102"/>
      <c r="W445" s="109"/>
      <c r="X445" s="109"/>
      <c r="Y445" s="110" t="s">
        <v>578</v>
      </c>
      <c r="Z445" s="111" t="str">
        <f>MID(E445,4,2)</f>
        <v>AE</v>
      </c>
    </row>
    <row r="446" spans="1:26" s="111" customFormat="1" x14ac:dyDescent="0.2">
      <c r="A446" s="101">
        <v>46240</v>
      </c>
      <c r="B446" s="91" t="s">
        <v>572</v>
      </c>
      <c r="C446" s="102" t="s">
        <v>573</v>
      </c>
      <c r="D446" s="103" t="s">
        <v>574</v>
      </c>
      <c r="E446" s="91" t="s">
        <v>575</v>
      </c>
      <c r="F446" s="91" t="s">
        <v>634</v>
      </c>
      <c r="G446" s="91" t="s">
        <v>632</v>
      </c>
      <c r="H446" s="104" t="str">
        <f t="shared" si="29"/>
        <v>C4342J20</v>
      </c>
      <c r="I446" s="104"/>
      <c r="J446" s="105">
        <v>16.34</v>
      </c>
      <c r="K446" s="106">
        <v>20</v>
      </c>
      <c r="L446" s="106">
        <v>20</v>
      </c>
      <c r="M446" s="106">
        <f t="shared" si="28"/>
        <v>0</v>
      </c>
      <c r="N446" s="106">
        <v>20</v>
      </c>
      <c r="O446" s="107">
        <v>326.8</v>
      </c>
      <c r="P446" s="107">
        <v>26110</v>
      </c>
      <c r="Q446" s="107">
        <v>8532748</v>
      </c>
      <c r="R446" s="102" t="s">
        <v>30</v>
      </c>
      <c r="S446" s="108"/>
      <c r="T446" s="109"/>
      <c r="U446" s="109"/>
      <c r="V446" s="102"/>
      <c r="W446" s="109"/>
      <c r="X446" s="109"/>
      <c r="Y446" s="110" t="s">
        <v>578</v>
      </c>
      <c r="Z446" s="111" t="str">
        <f>MID(E446,4,2)</f>
        <v>AE</v>
      </c>
    </row>
    <row r="447" spans="1:26" s="111" customFormat="1" x14ac:dyDescent="0.2">
      <c r="A447" s="101">
        <v>46240</v>
      </c>
      <c r="B447" s="91" t="s">
        <v>572</v>
      </c>
      <c r="C447" s="102" t="s">
        <v>573</v>
      </c>
      <c r="D447" s="103" t="s">
        <v>574</v>
      </c>
      <c r="E447" s="91" t="s">
        <v>575</v>
      </c>
      <c r="F447" s="91" t="s">
        <v>635</v>
      </c>
      <c r="G447" s="91" t="s">
        <v>629</v>
      </c>
      <c r="H447" s="104" t="str">
        <f t="shared" si="29"/>
        <v>C4342J20</v>
      </c>
      <c r="I447" s="104"/>
      <c r="J447" s="105">
        <v>10.88</v>
      </c>
      <c r="K447" s="106">
        <v>30</v>
      </c>
      <c r="L447" s="106">
        <v>30</v>
      </c>
      <c r="M447" s="106">
        <f t="shared" si="28"/>
        <v>0</v>
      </c>
      <c r="N447" s="106">
        <v>30</v>
      </c>
      <c r="O447" s="106">
        <v>326.39999999999998</v>
      </c>
      <c r="P447" s="107">
        <v>26110</v>
      </c>
      <c r="Q447" s="107">
        <v>8522304</v>
      </c>
      <c r="R447" s="102" t="s">
        <v>30</v>
      </c>
      <c r="S447" s="108"/>
      <c r="T447" s="109"/>
      <c r="U447" s="109"/>
      <c r="V447" s="102"/>
      <c r="W447" s="109"/>
      <c r="X447" s="109"/>
      <c r="Y447" s="110" t="s">
        <v>578</v>
      </c>
      <c r="Z447" s="111" t="str">
        <f>MID(E447,4,2)</f>
        <v>AE</v>
      </c>
    </row>
    <row r="448" spans="1:26" s="111" customFormat="1" x14ac:dyDescent="0.2">
      <c r="A448" s="101">
        <v>46240</v>
      </c>
      <c r="B448" s="91" t="s">
        <v>636</v>
      </c>
      <c r="C448" s="102" t="s">
        <v>637</v>
      </c>
      <c r="D448" s="103" t="s">
        <v>427</v>
      </c>
      <c r="E448" s="91" t="s">
        <v>638</v>
      </c>
      <c r="F448" s="91" t="s">
        <v>639</v>
      </c>
      <c r="G448" s="91" t="s">
        <v>640</v>
      </c>
      <c r="H448" s="104" t="str">
        <f t="shared" si="29"/>
        <v>F5233J20</v>
      </c>
      <c r="I448" s="104"/>
      <c r="J448" s="105">
        <v>1.94</v>
      </c>
      <c r="K448" s="106"/>
      <c r="L448" s="106">
        <v>0</v>
      </c>
      <c r="M448" s="106">
        <f t="shared" si="28"/>
        <v>0</v>
      </c>
      <c r="N448" s="106">
        <v>86</v>
      </c>
      <c r="O448" s="106">
        <v>166.84</v>
      </c>
      <c r="P448" s="107">
        <v>26110</v>
      </c>
      <c r="Q448" s="107">
        <v>4356192</v>
      </c>
      <c r="R448" s="102"/>
      <c r="S448" s="108"/>
      <c r="T448" s="109"/>
      <c r="U448" s="109" t="s">
        <v>30</v>
      </c>
      <c r="V448" s="102"/>
      <c r="W448" s="109"/>
      <c r="X448" s="109"/>
      <c r="Y448" s="110" t="s">
        <v>31</v>
      </c>
      <c r="Z448" s="111" t="str">
        <f>MID(E448,4,2)</f>
        <v>JD</v>
      </c>
    </row>
    <row r="449" spans="1:26" s="111" customFormat="1" x14ac:dyDescent="0.2">
      <c r="A449" s="101">
        <v>46240</v>
      </c>
      <c r="B449" s="91" t="s">
        <v>636</v>
      </c>
      <c r="C449" s="102" t="s">
        <v>637</v>
      </c>
      <c r="D449" s="103" t="s">
        <v>427</v>
      </c>
      <c r="E449" s="91" t="s">
        <v>638</v>
      </c>
      <c r="F449" s="91" t="s">
        <v>641</v>
      </c>
      <c r="G449" s="91" t="s">
        <v>642</v>
      </c>
      <c r="H449" s="104" t="str">
        <f t="shared" si="29"/>
        <v>C2104J30</v>
      </c>
      <c r="I449" s="104"/>
      <c r="J449" s="105">
        <v>21.78</v>
      </c>
      <c r="K449" s="106">
        <f>IF(D449="CAESARSTONE LTD",VLOOKUP(H449,'[2]GIA CA'!G:H,2,0),IF(OR(D449="STONE FACINGS LIMITED",D449="NORDIA SA",D449="INVICTUS STONE COUNTERTOPS INC",D449="QUARTZTOP LLC"),VLOOKUP(H449,'[2] Giá ngoài Mỹ - SI-GR'!$B$5:$AZ$84,51,0),IF(OR(D449="HYUNDAI L&amp;C CANADA INC",D449="Hyundai L&amp; C USA LLC"),VLOOKUP(H449,'[2]GIA HS'!A:D,4,0),IF(Y449="Mỹ",VLOOKUP(H449,'[2]giá mỹ từ 6.8.2025'!B:I,2,0),VLOOKUP(H449,'[2]giá ngoài mỹ 6.8.2025 (final)'!B:BP,51,0)))))</f>
        <v>72</v>
      </c>
      <c r="L449" s="106">
        <v>75</v>
      </c>
      <c r="M449" s="106">
        <f t="shared" si="28"/>
        <v>3</v>
      </c>
      <c r="N449" s="106">
        <v>74.53</v>
      </c>
      <c r="O449" s="106">
        <v>1623.36</v>
      </c>
      <c r="P449" s="107">
        <v>26110</v>
      </c>
      <c r="Q449" s="107">
        <v>42385930</v>
      </c>
      <c r="R449" s="102" t="s">
        <v>30</v>
      </c>
      <c r="S449" s="108"/>
      <c r="T449" s="109"/>
      <c r="U449" s="109"/>
      <c r="V449" s="102"/>
      <c r="W449" s="109"/>
      <c r="X449" s="109"/>
      <c r="Y449" s="110" t="s">
        <v>31</v>
      </c>
      <c r="Z449" s="111" t="str">
        <f>MID(E449,4,2)</f>
        <v>JD</v>
      </c>
    </row>
    <row r="450" spans="1:26" s="111" customFormat="1" x14ac:dyDescent="0.2">
      <c r="A450" s="101">
        <v>46240</v>
      </c>
      <c r="B450" s="91" t="s">
        <v>636</v>
      </c>
      <c r="C450" s="102" t="s">
        <v>637</v>
      </c>
      <c r="D450" s="103" t="s">
        <v>427</v>
      </c>
      <c r="E450" s="91" t="s">
        <v>638</v>
      </c>
      <c r="F450" s="91" t="s">
        <v>643</v>
      </c>
      <c r="G450" s="91" t="s">
        <v>642</v>
      </c>
      <c r="H450" s="104" t="str">
        <f t="shared" si="29"/>
        <v>C2104J30</v>
      </c>
      <c r="I450" s="104"/>
      <c r="J450" s="105">
        <v>87.12</v>
      </c>
      <c r="K450" s="106">
        <f>IF(D450="CAESARSTONE LTD",VLOOKUP(H450,'[2]GIA CA'!G:H,2,0),IF(OR(D450="STONE FACINGS LIMITED",D450="NORDIA SA",D450="INVICTUS STONE COUNTERTOPS INC",D450="QUARTZTOP LLC"),VLOOKUP(H450,'[2] Giá ngoài Mỹ - SI-GR'!$B$5:$AZ$84,51,0),IF(OR(D450="HYUNDAI L&amp;C CANADA INC",D450="Hyundai L&amp; C USA LLC"),VLOOKUP(H450,'[2]GIA HS'!A:D,4,0),IF(Y450="Mỹ",VLOOKUP(H450,'[2]giá mỹ từ 6.8.2025'!B:I,2,0),VLOOKUP(H450,'[2]giá ngoài mỹ 6.8.2025 (final)'!B:BP,51,0)))))</f>
        <v>72</v>
      </c>
      <c r="L450" s="106">
        <v>75</v>
      </c>
      <c r="M450" s="106">
        <f t="shared" si="28"/>
        <v>3</v>
      </c>
      <c r="N450" s="106">
        <v>74.53</v>
      </c>
      <c r="O450" s="107">
        <v>6493.44</v>
      </c>
      <c r="P450" s="107">
        <v>26110</v>
      </c>
      <c r="Q450" s="107">
        <v>169543718</v>
      </c>
      <c r="R450" s="102" t="s">
        <v>30</v>
      </c>
      <c r="S450" s="108"/>
      <c r="T450" s="109"/>
      <c r="U450" s="109"/>
      <c r="V450" s="102"/>
      <c r="W450" s="109"/>
      <c r="X450" s="109"/>
      <c r="Y450" s="110" t="s">
        <v>31</v>
      </c>
      <c r="Z450" s="111" t="str">
        <f>MID(E450,4,2)</f>
        <v>JD</v>
      </c>
    </row>
    <row r="451" spans="1:26" s="111" customFormat="1" x14ac:dyDescent="0.2">
      <c r="A451" s="101">
        <v>46240</v>
      </c>
      <c r="B451" s="91" t="s">
        <v>636</v>
      </c>
      <c r="C451" s="102" t="s">
        <v>637</v>
      </c>
      <c r="D451" s="103" t="s">
        <v>427</v>
      </c>
      <c r="E451" s="91" t="s">
        <v>638</v>
      </c>
      <c r="F451" s="91" t="s">
        <v>643</v>
      </c>
      <c r="G451" s="91" t="s">
        <v>642</v>
      </c>
      <c r="H451" s="104" t="str">
        <f t="shared" si="29"/>
        <v>C2104J30</v>
      </c>
      <c r="I451" s="104"/>
      <c r="J451" s="105">
        <v>185.13</v>
      </c>
      <c r="K451" s="106">
        <f>IF(D451="CAESARSTONE LTD",VLOOKUP(H451,'[2]GIA CA'!G:H,2,0),IF(OR(D451="STONE FACINGS LIMITED",D451="NORDIA SA",D451="INVICTUS STONE COUNTERTOPS INC",D451="QUARTZTOP LLC"),VLOOKUP(H451,'[2] Giá ngoài Mỹ - SI-GR'!$B$5:$AZ$84,51,0),IF(OR(D451="HYUNDAI L&amp;C CANADA INC",D451="Hyundai L&amp; C USA LLC"),VLOOKUP(H451,'[2]GIA HS'!A:D,4,0),IF(Y451="Mỹ",VLOOKUP(H451,'[2]giá mỹ từ 6.8.2025'!B:I,2,0),VLOOKUP(H451,'[2]giá ngoài mỹ 6.8.2025 (final)'!B:BP,51,0)))))</f>
        <v>72</v>
      </c>
      <c r="L451" s="106">
        <v>75</v>
      </c>
      <c r="M451" s="106">
        <f t="shared" si="28"/>
        <v>3</v>
      </c>
      <c r="N451" s="106">
        <v>74.53</v>
      </c>
      <c r="O451" s="106">
        <v>13798.56</v>
      </c>
      <c r="P451" s="107">
        <v>26110</v>
      </c>
      <c r="Q451" s="107">
        <v>360280402</v>
      </c>
      <c r="R451" s="102" t="s">
        <v>30</v>
      </c>
      <c r="S451" s="108"/>
      <c r="T451" s="109"/>
      <c r="U451" s="109"/>
      <c r="V451" s="102"/>
      <c r="W451" s="109"/>
      <c r="X451" s="109"/>
      <c r="Y451" s="110" t="s">
        <v>31</v>
      </c>
      <c r="Z451" s="111" t="str">
        <f>MID(E451,4,2)</f>
        <v>JD</v>
      </c>
    </row>
    <row r="452" spans="1:26" s="111" customFormat="1" x14ac:dyDescent="0.2">
      <c r="A452" s="101">
        <v>46240</v>
      </c>
      <c r="B452" s="91" t="s">
        <v>644</v>
      </c>
      <c r="C452" s="102" t="s">
        <v>645</v>
      </c>
      <c r="D452" s="103" t="s">
        <v>26</v>
      </c>
      <c r="E452" s="91" t="s">
        <v>646</v>
      </c>
      <c r="F452" s="91" t="s">
        <v>647</v>
      </c>
      <c r="G452" s="91" t="s">
        <v>648</v>
      </c>
      <c r="H452" s="104" t="str">
        <f t="shared" si="29"/>
        <v>F5110J20</v>
      </c>
      <c r="I452" s="104"/>
      <c r="J452" s="105">
        <v>2.94</v>
      </c>
      <c r="K452" s="106">
        <f>IF(D452="CAESARSTONE LTD",VLOOKUP(H452,'[2]GIA CA'!G:H,2,0),IF(OR(D452="STONE FACINGS LIMITED",D452="NORDIA SA",D452="INVICTUS STONE COUNTERTOPS INC",D452="QUARTZTOP LLC"),VLOOKUP(H452,'[2] Giá ngoài Mỹ - SI-GR'!$B$5:$AZ$84,51,0),IF(OR(D452="HYUNDAI L&amp;C CANADA INC",D452="Hyundai L&amp; C USA LLC"),VLOOKUP(H452,'[2]GIA HS'!A:D,4,0),IF(Y452="Mỹ",VLOOKUP(H452,'[2]giá mỹ từ 6.8.2025'!B:I,2,0),VLOOKUP(H452,'[2]giá ngoài mỹ 6.8.2025 (final)'!B:BP,51,0)))))</f>
        <v>60</v>
      </c>
      <c r="L452" s="106">
        <v>95.24</v>
      </c>
      <c r="M452" s="106">
        <f t="shared" si="28"/>
        <v>35.239999999999995</v>
      </c>
      <c r="N452" s="106">
        <v>95.24</v>
      </c>
      <c r="O452" s="106">
        <v>280</v>
      </c>
      <c r="P452" s="107">
        <v>26110</v>
      </c>
      <c r="Q452" s="107">
        <v>7310800</v>
      </c>
      <c r="R452" s="102"/>
      <c r="S452" s="108"/>
      <c r="T452" s="109" t="s">
        <v>30</v>
      </c>
      <c r="U452" s="109"/>
      <c r="V452" s="102"/>
      <c r="W452" s="109"/>
      <c r="X452" s="109"/>
      <c r="Y452" s="110" t="s">
        <v>290</v>
      </c>
      <c r="Z452" s="111" t="str">
        <f>MID(E452,4,2)</f>
        <v>CA</v>
      </c>
    </row>
    <row r="453" spans="1:26" s="111" customFormat="1" x14ac:dyDescent="0.2">
      <c r="A453" s="101">
        <v>46240</v>
      </c>
      <c r="B453" s="91" t="s">
        <v>644</v>
      </c>
      <c r="C453" s="102" t="s">
        <v>645</v>
      </c>
      <c r="D453" s="103" t="s">
        <v>26</v>
      </c>
      <c r="E453" s="91" t="s">
        <v>646</v>
      </c>
      <c r="F453" s="91" t="s">
        <v>647</v>
      </c>
      <c r="G453" s="91" t="s">
        <v>648</v>
      </c>
      <c r="H453" s="104" t="str">
        <f t="shared" si="29"/>
        <v>F5110J20</v>
      </c>
      <c r="I453" s="104"/>
      <c r="J453" s="105">
        <v>2.94</v>
      </c>
      <c r="K453" s="106">
        <f>IF(D453="CAESARSTONE LTD",VLOOKUP(H453,'[2]GIA CA'!G:H,2,0),IF(OR(D453="STONE FACINGS LIMITED",D453="NORDIA SA",D453="INVICTUS STONE COUNTERTOPS INC",D453="QUARTZTOP LLC"),VLOOKUP(H453,'[2] Giá ngoài Mỹ - SI-GR'!$B$5:$AZ$84,51,0),IF(OR(D453="HYUNDAI L&amp;C CANADA INC",D453="Hyundai L&amp; C USA LLC"),VLOOKUP(H453,'[2]GIA HS'!A:D,4,0),IF(Y453="Mỹ",VLOOKUP(H453,'[2]giá mỹ từ 6.8.2025'!B:I,2,0),VLOOKUP(H453,'[2]giá ngoài mỹ 6.8.2025 (final)'!B:BP,51,0)))))</f>
        <v>60</v>
      </c>
      <c r="L453" s="106">
        <v>95.24</v>
      </c>
      <c r="M453" s="106">
        <f t="shared" si="28"/>
        <v>35.239999999999995</v>
      </c>
      <c r="N453" s="106">
        <v>95.24</v>
      </c>
      <c r="O453" s="106">
        <v>280</v>
      </c>
      <c r="P453" s="107">
        <v>26110</v>
      </c>
      <c r="Q453" s="107">
        <v>7310800</v>
      </c>
      <c r="R453" s="102"/>
      <c r="S453" s="108"/>
      <c r="T453" s="109" t="s">
        <v>30</v>
      </c>
      <c r="U453" s="109"/>
      <c r="V453" s="102"/>
      <c r="W453" s="109"/>
      <c r="X453" s="109"/>
      <c r="Y453" s="110" t="s">
        <v>290</v>
      </c>
      <c r="Z453" s="111" t="str">
        <f>MID(E453,4,2)</f>
        <v>CA</v>
      </c>
    </row>
    <row r="454" spans="1:26" s="111" customFormat="1" x14ac:dyDescent="0.2">
      <c r="A454" s="101">
        <v>46240</v>
      </c>
      <c r="B454" s="91" t="s">
        <v>644</v>
      </c>
      <c r="C454" s="102" t="s">
        <v>645</v>
      </c>
      <c r="D454" s="103" t="s">
        <v>26</v>
      </c>
      <c r="E454" s="91" t="s">
        <v>646</v>
      </c>
      <c r="F454" s="91" t="s">
        <v>649</v>
      </c>
      <c r="G454" s="91" t="s">
        <v>650</v>
      </c>
      <c r="H454" s="104" t="str">
        <f t="shared" si="29"/>
        <v>F5113J20</v>
      </c>
      <c r="I454" s="104"/>
      <c r="J454" s="105">
        <v>1.47</v>
      </c>
      <c r="K454" s="106">
        <f>IF(D454="CAESARSTONE LTD",VLOOKUP(H454,'[2]GIA CA'!G:H,2,0),IF(OR(D454="STONE FACINGS LIMITED",D454="NORDIA SA",D454="INVICTUS STONE COUNTERTOPS INC",D454="QUARTZTOP LLC"),VLOOKUP(H454,'[2] Giá ngoài Mỹ - SI-GR'!$B$5:$AZ$84,51,0),IF(OR(D454="HYUNDAI L&amp;C CANADA INC",D454="Hyundai L&amp; C USA LLC"),VLOOKUP(H454,'[2]GIA HS'!A:D,4,0),IF(Y454="Mỹ",VLOOKUP(H454,'[2]giá mỹ từ 6.8.2025'!B:I,2,0),VLOOKUP(H454,'[2]giá ngoài mỹ 6.8.2025 (final)'!B:BP,51,0)))))</f>
        <v>62</v>
      </c>
      <c r="L454" s="106">
        <v>130.94999999999999</v>
      </c>
      <c r="M454" s="106">
        <f t="shared" si="28"/>
        <v>68.949999999999989</v>
      </c>
      <c r="N454" s="106">
        <v>130.94999999999999</v>
      </c>
      <c r="O454" s="106">
        <v>192.5</v>
      </c>
      <c r="P454" s="107">
        <v>26110</v>
      </c>
      <c r="Q454" s="107">
        <v>5026175</v>
      </c>
      <c r="R454" s="102"/>
      <c r="S454" s="108"/>
      <c r="T454" s="109" t="s">
        <v>30</v>
      </c>
      <c r="U454" s="109"/>
      <c r="V454" s="102"/>
      <c r="W454" s="109"/>
      <c r="X454" s="109"/>
      <c r="Y454" s="110" t="s">
        <v>290</v>
      </c>
      <c r="Z454" s="111" t="str">
        <f>MID(E454,4,2)</f>
        <v>CA</v>
      </c>
    </row>
    <row r="455" spans="1:26" s="111" customFormat="1" x14ac:dyDescent="0.2">
      <c r="A455" s="101">
        <v>46240</v>
      </c>
      <c r="B455" s="91" t="s">
        <v>644</v>
      </c>
      <c r="C455" s="102" t="s">
        <v>645</v>
      </c>
      <c r="D455" s="103" t="s">
        <v>26</v>
      </c>
      <c r="E455" s="91" t="s">
        <v>646</v>
      </c>
      <c r="F455" s="91" t="s">
        <v>649</v>
      </c>
      <c r="G455" s="91" t="s">
        <v>650</v>
      </c>
      <c r="H455" s="104" t="str">
        <f t="shared" si="29"/>
        <v>F5113J20</v>
      </c>
      <c r="I455" s="104"/>
      <c r="J455" s="105">
        <v>1.47</v>
      </c>
      <c r="K455" s="106">
        <f>IF(D455="CAESARSTONE LTD",VLOOKUP(H455,'[2]GIA CA'!G:H,2,0),IF(OR(D455="STONE FACINGS LIMITED",D455="NORDIA SA",D455="INVICTUS STONE COUNTERTOPS INC",D455="QUARTZTOP LLC"),VLOOKUP(H455,'[2] Giá ngoài Mỹ - SI-GR'!$B$5:$AZ$84,51,0),IF(OR(D455="HYUNDAI L&amp;C CANADA INC",D455="Hyundai L&amp; C USA LLC"),VLOOKUP(H455,'[2]GIA HS'!A:D,4,0),IF(Y455="Mỹ",VLOOKUP(H455,'[2]giá mỹ từ 6.8.2025'!B:I,2,0),VLOOKUP(H455,'[2]giá ngoài mỹ 6.8.2025 (final)'!B:BP,51,0)))))</f>
        <v>62</v>
      </c>
      <c r="L455" s="106">
        <v>130.94999999999999</v>
      </c>
      <c r="M455" s="106">
        <f t="shared" si="28"/>
        <v>68.949999999999989</v>
      </c>
      <c r="N455" s="106">
        <v>130.94999999999999</v>
      </c>
      <c r="O455" s="106">
        <v>192.5</v>
      </c>
      <c r="P455" s="107">
        <v>26110</v>
      </c>
      <c r="Q455" s="107">
        <v>5026175</v>
      </c>
      <c r="R455" s="102"/>
      <c r="S455" s="108"/>
      <c r="T455" s="109" t="s">
        <v>30</v>
      </c>
      <c r="U455" s="109"/>
      <c r="V455" s="102"/>
      <c r="W455" s="109"/>
      <c r="X455" s="109"/>
      <c r="Y455" s="110" t="s">
        <v>290</v>
      </c>
      <c r="Z455" s="111" t="str">
        <f>MID(E455,4,2)</f>
        <v>CA</v>
      </c>
    </row>
    <row r="456" spans="1:26" s="111" customFormat="1" x14ac:dyDescent="0.2">
      <c r="A456" s="101">
        <v>46240</v>
      </c>
      <c r="B456" s="91" t="s">
        <v>644</v>
      </c>
      <c r="C456" s="102" t="s">
        <v>645</v>
      </c>
      <c r="D456" s="103" t="s">
        <v>26</v>
      </c>
      <c r="E456" s="91" t="s">
        <v>646</v>
      </c>
      <c r="F456" s="91" t="s">
        <v>651</v>
      </c>
      <c r="G456" s="91" t="s">
        <v>652</v>
      </c>
      <c r="H456" s="104" t="str">
        <f t="shared" si="29"/>
        <v>F5144J20</v>
      </c>
      <c r="I456" s="104"/>
      <c r="J456" s="105">
        <v>2.94</v>
      </c>
      <c r="K456" s="106">
        <f>IF(D456="CAESARSTONE LTD",VLOOKUP(H456,'[2]GIA CA'!G:H,2,0),IF(OR(D456="STONE FACINGS LIMITED",D456="NORDIA SA",D456="INVICTUS STONE COUNTERTOPS INC",D456="QUARTZTOP LLC"),VLOOKUP(H456,'[2] Giá ngoài Mỹ - SI-GR'!$B$5:$AZ$84,51,0),IF(OR(D456="HYUNDAI L&amp;C CANADA INC",D456="Hyundai L&amp; C USA LLC"),VLOOKUP(H456,'[2]GIA HS'!A:D,4,0),IF(Y456="Mỹ",VLOOKUP(H456,'[2]giá mỹ từ 6.8.2025'!B:I,2,0),VLOOKUP(H456,'[2]giá ngoài mỹ 6.8.2025 (final)'!B:BP,51,0)))))</f>
        <v>62</v>
      </c>
      <c r="L456" s="106">
        <v>95.24</v>
      </c>
      <c r="M456" s="106">
        <f t="shared" si="28"/>
        <v>33.239999999999995</v>
      </c>
      <c r="N456" s="106">
        <v>95.24</v>
      </c>
      <c r="O456" s="106">
        <v>280</v>
      </c>
      <c r="P456" s="107">
        <v>26110</v>
      </c>
      <c r="Q456" s="107">
        <v>7310800</v>
      </c>
      <c r="R456" s="102"/>
      <c r="S456" s="108"/>
      <c r="T456" s="109" t="s">
        <v>30</v>
      </c>
      <c r="U456" s="109"/>
      <c r="V456" s="102"/>
      <c r="W456" s="109"/>
      <c r="X456" s="109"/>
      <c r="Y456" s="110" t="s">
        <v>290</v>
      </c>
      <c r="Z456" s="111" t="str">
        <f>MID(E456,4,2)</f>
        <v>CA</v>
      </c>
    </row>
    <row r="457" spans="1:26" s="111" customFormat="1" x14ac:dyDescent="0.2">
      <c r="A457" s="101">
        <v>46240</v>
      </c>
      <c r="B457" s="91" t="s">
        <v>644</v>
      </c>
      <c r="C457" s="102" t="s">
        <v>645</v>
      </c>
      <c r="D457" s="103" t="s">
        <v>26</v>
      </c>
      <c r="E457" s="91" t="s">
        <v>646</v>
      </c>
      <c r="F457" s="91" t="s">
        <v>560</v>
      </c>
      <c r="G457" s="91" t="s">
        <v>561</v>
      </c>
      <c r="H457" s="104" t="str">
        <f t="shared" si="29"/>
        <v>F5151J20</v>
      </c>
      <c r="I457" s="104"/>
      <c r="J457" s="105">
        <v>0.74</v>
      </c>
      <c r="K457" s="106">
        <f>IF(D457="CAESARSTONE LTD",VLOOKUP(H457,'[2]GIA CA'!G:H,2,0),IF(OR(D457="STONE FACINGS LIMITED",D457="NORDIA SA",D457="INVICTUS STONE COUNTERTOPS INC",D457="QUARTZTOP LLC"),VLOOKUP(H457,'[2] Giá ngoài Mỹ - SI-GR'!$B$5:$AZ$84,51,0),IF(OR(D457="HYUNDAI L&amp;C CANADA INC",D457="Hyundai L&amp; C USA LLC"),VLOOKUP(H457,'[2]GIA HS'!A:D,4,0),IF(Y457="Mỹ",VLOOKUP(H457,'[2]giá mỹ từ 6.8.2025'!B:I,2,0),VLOOKUP(H457,'[2]giá ngoài mỹ 6.8.2025 (final)'!B:BP,51,0)))))</f>
        <v>68</v>
      </c>
      <c r="L457" s="106">
        <v>130</v>
      </c>
      <c r="M457" s="106">
        <f t="shared" si="28"/>
        <v>62</v>
      </c>
      <c r="N457" s="106">
        <v>130</v>
      </c>
      <c r="O457" s="106">
        <v>96.2</v>
      </c>
      <c r="P457" s="107">
        <v>26110</v>
      </c>
      <c r="Q457" s="107">
        <v>2511782</v>
      </c>
      <c r="R457" s="102"/>
      <c r="S457" s="108"/>
      <c r="T457" s="109" t="s">
        <v>30</v>
      </c>
      <c r="U457" s="109"/>
      <c r="V457" s="102"/>
      <c r="W457" s="109"/>
      <c r="X457" s="109"/>
      <c r="Y457" s="110" t="s">
        <v>290</v>
      </c>
      <c r="Z457" s="111" t="str">
        <f>MID(E457,4,2)</f>
        <v>CA</v>
      </c>
    </row>
    <row r="458" spans="1:26" s="111" customFormat="1" x14ac:dyDescent="0.2">
      <c r="A458" s="101">
        <v>46240</v>
      </c>
      <c r="B458" s="91" t="s">
        <v>644</v>
      </c>
      <c r="C458" s="102" t="s">
        <v>645</v>
      </c>
      <c r="D458" s="103" t="s">
        <v>26</v>
      </c>
      <c r="E458" s="91" t="s">
        <v>646</v>
      </c>
      <c r="F458" s="91" t="s">
        <v>560</v>
      </c>
      <c r="G458" s="91" t="s">
        <v>561</v>
      </c>
      <c r="H458" s="104" t="str">
        <f t="shared" si="29"/>
        <v>F5151J20</v>
      </c>
      <c r="I458" s="104"/>
      <c r="J458" s="105">
        <v>1.47</v>
      </c>
      <c r="K458" s="106">
        <f>IF(D458="CAESARSTONE LTD",VLOOKUP(H458,'[2]GIA CA'!G:H,2,0),IF(OR(D458="STONE FACINGS LIMITED",D458="NORDIA SA",D458="INVICTUS STONE COUNTERTOPS INC",D458="QUARTZTOP LLC"),VLOOKUP(H458,'[2] Giá ngoài Mỹ - SI-GR'!$B$5:$AZ$84,51,0),IF(OR(D458="HYUNDAI L&amp;C CANADA INC",D458="Hyundai L&amp; C USA LLC"),VLOOKUP(H458,'[2]GIA HS'!A:D,4,0),IF(Y458="Mỹ",VLOOKUP(H458,'[2]giá mỹ từ 6.8.2025'!B:I,2,0),VLOOKUP(H458,'[2]giá ngoài mỹ 6.8.2025 (final)'!B:BP,51,0)))))</f>
        <v>68</v>
      </c>
      <c r="L458" s="106">
        <v>130</v>
      </c>
      <c r="M458" s="106">
        <f t="shared" si="28"/>
        <v>62</v>
      </c>
      <c r="N458" s="106">
        <v>130</v>
      </c>
      <c r="O458" s="106">
        <v>191.1</v>
      </c>
      <c r="P458" s="107">
        <v>26110</v>
      </c>
      <c r="Q458" s="107">
        <v>4989621</v>
      </c>
      <c r="R458" s="102"/>
      <c r="S458" s="108"/>
      <c r="T458" s="109" t="s">
        <v>30</v>
      </c>
      <c r="U458" s="109"/>
      <c r="V458" s="102"/>
      <c r="W458" s="109"/>
      <c r="X458" s="109"/>
      <c r="Y458" s="110" t="s">
        <v>290</v>
      </c>
      <c r="Z458" s="111" t="str">
        <f>MID(E458,4,2)</f>
        <v>CA</v>
      </c>
    </row>
    <row r="459" spans="1:26" s="111" customFormat="1" x14ac:dyDescent="0.2">
      <c r="A459" s="101">
        <v>46240</v>
      </c>
      <c r="B459" s="91" t="s">
        <v>644</v>
      </c>
      <c r="C459" s="102" t="s">
        <v>645</v>
      </c>
      <c r="D459" s="103" t="s">
        <v>26</v>
      </c>
      <c r="E459" s="91" t="s">
        <v>646</v>
      </c>
      <c r="F459" s="91" t="s">
        <v>653</v>
      </c>
      <c r="G459" s="91" t="s">
        <v>654</v>
      </c>
      <c r="H459" s="104" t="str">
        <f t="shared" si="29"/>
        <v>F5171J20</v>
      </c>
      <c r="I459" s="104"/>
      <c r="J459" s="105">
        <v>1.91</v>
      </c>
      <c r="K459" s="106">
        <f>IF(D459="CAESARSTONE LTD",VLOOKUP(H459,'[2]GIA CA'!G:H,2,0),IF(OR(D459="STONE FACINGS LIMITED",D459="NORDIA SA",D459="INVICTUS STONE COUNTERTOPS INC",D459="QUARTZTOP LLC"),VLOOKUP(H459,'[2] Giá ngoài Mỹ - SI-GR'!$B$5:$AZ$84,51,0),IF(OR(D459="HYUNDAI L&amp;C CANADA INC",D459="Hyundai L&amp; C USA LLC"),VLOOKUP(H459,'[2]GIA HS'!A:D,4,0),IF(Y459="Mỹ",VLOOKUP(H459,'[2]giá mỹ từ 6.8.2025'!B:I,2,0),VLOOKUP(H459,'[2]giá ngoài mỹ 6.8.2025 (final)'!B:BP,51,0)))))</f>
        <v>62</v>
      </c>
      <c r="L459" s="106">
        <v>131.02000000000001</v>
      </c>
      <c r="M459" s="106">
        <f t="shared" si="28"/>
        <v>69.02000000000001</v>
      </c>
      <c r="N459" s="106">
        <v>131.02000000000001</v>
      </c>
      <c r="O459" s="106">
        <v>250.25</v>
      </c>
      <c r="P459" s="107">
        <v>26110</v>
      </c>
      <c r="Q459" s="107">
        <v>6534028</v>
      </c>
      <c r="R459" s="102"/>
      <c r="S459" s="108"/>
      <c r="T459" s="109" t="s">
        <v>30</v>
      </c>
      <c r="U459" s="109"/>
      <c r="V459" s="102"/>
      <c r="W459" s="109"/>
      <c r="X459" s="109"/>
      <c r="Y459" s="110" t="s">
        <v>290</v>
      </c>
      <c r="Z459" s="111" t="str">
        <f>MID(E459,4,2)</f>
        <v>CA</v>
      </c>
    </row>
    <row r="460" spans="1:26" s="111" customFormat="1" x14ac:dyDescent="0.2">
      <c r="A460" s="101">
        <v>46240</v>
      </c>
      <c r="B460" s="91" t="s">
        <v>644</v>
      </c>
      <c r="C460" s="102" t="s">
        <v>645</v>
      </c>
      <c r="D460" s="103" t="s">
        <v>26</v>
      </c>
      <c r="E460" s="91" t="s">
        <v>646</v>
      </c>
      <c r="F460" s="91" t="s">
        <v>655</v>
      </c>
      <c r="G460" s="91" t="s">
        <v>656</v>
      </c>
      <c r="H460" s="104" t="str">
        <f t="shared" si="29"/>
        <v>F6134J20</v>
      </c>
      <c r="I460" s="104"/>
      <c r="J460" s="105">
        <v>0.74</v>
      </c>
      <c r="K460" s="106">
        <f>IF(D460="CAESARSTONE LTD",VLOOKUP(H460,'[2]GIA CA'!G:H,2,0),IF(OR(D460="STONE FACINGS LIMITED",D460="NORDIA SA",D460="INVICTUS STONE COUNTERTOPS INC",D460="QUARTZTOP LLC"),VLOOKUP(H460,'[2] Giá ngoài Mỹ - SI-GR'!$B$5:$AZ$84,51,0),IF(OR(D460="HYUNDAI L&amp;C CANADA INC",D460="Hyundai L&amp; C USA LLC"),VLOOKUP(H460,'[2]GIA HS'!A:D,4,0),IF(Y460="Mỹ",VLOOKUP(H460,'[2]giá mỹ từ 6.8.2025'!B:I,2,0),VLOOKUP(H460,'[2]giá ngoài mỹ 6.8.2025 (final)'!B:BP,51,0)))))</f>
        <v>62</v>
      </c>
      <c r="L460" s="106">
        <v>95</v>
      </c>
      <c r="M460" s="106">
        <f t="shared" si="28"/>
        <v>33</v>
      </c>
      <c r="N460" s="106">
        <v>95</v>
      </c>
      <c r="O460" s="106">
        <v>70.3</v>
      </c>
      <c r="P460" s="107">
        <v>26110</v>
      </c>
      <c r="Q460" s="107">
        <v>1835533</v>
      </c>
      <c r="R460" s="102"/>
      <c r="S460" s="108"/>
      <c r="T460" s="109" t="s">
        <v>30</v>
      </c>
      <c r="U460" s="109"/>
      <c r="V460" s="102"/>
      <c r="W460" s="109"/>
      <c r="X460" s="109"/>
      <c r="Y460" s="110" t="s">
        <v>290</v>
      </c>
      <c r="Z460" s="111" t="str">
        <f>MID(E460,4,2)</f>
        <v>CA</v>
      </c>
    </row>
    <row r="461" spans="1:26" s="111" customFormat="1" x14ac:dyDescent="0.2">
      <c r="A461" s="101">
        <v>46240</v>
      </c>
      <c r="B461" s="91" t="s">
        <v>644</v>
      </c>
      <c r="C461" s="102" t="s">
        <v>645</v>
      </c>
      <c r="D461" s="103" t="s">
        <v>26</v>
      </c>
      <c r="E461" s="91" t="s">
        <v>646</v>
      </c>
      <c r="F461" s="91" t="s">
        <v>655</v>
      </c>
      <c r="G461" s="91" t="s">
        <v>656</v>
      </c>
      <c r="H461" s="104" t="str">
        <f t="shared" si="29"/>
        <v>F6134J20</v>
      </c>
      <c r="I461" s="104"/>
      <c r="J461" s="105">
        <v>1.47</v>
      </c>
      <c r="K461" s="106">
        <f>IF(D461="CAESARSTONE LTD",VLOOKUP(H461,'[2]GIA CA'!G:H,2,0),IF(OR(D461="STONE FACINGS LIMITED",D461="NORDIA SA",D461="INVICTUS STONE COUNTERTOPS INC",D461="QUARTZTOP LLC"),VLOOKUP(H461,'[2] Giá ngoài Mỹ - SI-GR'!$B$5:$AZ$84,51,0),IF(OR(D461="HYUNDAI L&amp;C CANADA INC",D461="Hyundai L&amp; C USA LLC"),VLOOKUP(H461,'[2]GIA HS'!A:D,4,0),IF(Y461="Mỹ",VLOOKUP(H461,'[2]giá mỹ từ 6.8.2025'!B:I,2,0),VLOOKUP(H461,'[2]giá ngoài mỹ 6.8.2025 (final)'!B:BP,51,0)))))</f>
        <v>62</v>
      </c>
      <c r="L461" s="106">
        <v>95</v>
      </c>
      <c r="M461" s="106">
        <f t="shared" ref="M461:M524" si="31">L461-K461</f>
        <v>33</v>
      </c>
      <c r="N461" s="106">
        <v>95</v>
      </c>
      <c r="O461" s="106">
        <v>139.65</v>
      </c>
      <c r="P461" s="107">
        <v>26110</v>
      </c>
      <c r="Q461" s="107">
        <v>3646262</v>
      </c>
      <c r="R461" s="102"/>
      <c r="S461" s="108"/>
      <c r="T461" s="109" t="s">
        <v>30</v>
      </c>
      <c r="U461" s="109"/>
      <c r="V461" s="102"/>
      <c r="W461" s="109"/>
      <c r="X461" s="109"/>
      <c r="Y461" s="110" t="s">
        <v>290</v>
      </c>
      <c r="Z461" s="111" t="str">
        <f>MID(E461,4,2)</f>
        <v>CA</v>
      </c>
    </row>
    <row r="462" spans="1:26" s="111" customFormat="1" x14ac:dyDescent="0.2">
      <c r="A462" s="101">
        <v>46240</v>
      </c>
      <c r="B462" s="91" t="s">
        <v>644</v>
      </c>
      <c r="C462" s="102" t="s">
        <v>645</v>
      </c>
      <c r="D462" s="103" t="s">
        <v>26</v>
      </c>
      <c r="E462" s="91" t="s">
        <v>646</v>
      </c>
      <c r="F462" s="91" t="s">
        <v>657</v>
      </c>
      <c r="G462" s="91" t="s">
        <v>658</v>
      </c>
      <c r="H462" s="104" t="str">
        <f t="shared" ref="H462:H525" si="32">IF(LEN(G462)=13,LEFT(G462,5)&amp;MID(G462,SEARCH("-J",G462)+1,3),LEFT(G462,5)&amp;"J20")</f>
        <v>F8252J20</v>
      </c>
      <c r="I462" s="104"/>
      <c r="J462" s="105">
        <v>1.47</v>
      </c>
      <c r="K462" s="106">
        <f>IF(D462="CAESARSTONE LTD",VLOOKUP(H462,'[2]GIA CA'!G:H,2,0),IF(OR(D462="STONE FACINGS LIMITED",D462="NORDIA SA",D462="INVICTUS STONE COUNTERTOPS INC",D462="QUARTZTOP LLC"),VLOOKUP(H462,'[2] Giá ngoài Mỹ - SI-GR'!$B$5:$AZ$84,51,0),IF(OR(D462="HYUNDAI L&amp;C CANADA INC",D462="Hyundai L&amp; C USA LLC"),VLOOKUP(H462,'[2]GIA HS'!A:D,4,0),IF(Y462="Mỹ",VLOOKUP(H462,'[2]giá mỹ từ 6.8.2025'!B:I,2,0),VLOOKUP(H462,'[2]giá ngoài mỹ 6.8.2025 (final)'!B:BP,51,0)))))</f>
        <v>68</v>
      </c>
      <c r="L462" s="106">
        <v>130.94999999999999</v>
      </c>
      <c r="M462" s="106">
        <f t="shared" si="31"/>
        <v>62.949999999999989</v>
      </c>
      <c r="N462" s="106">
        <v>130.94999999999999</v>
      </c>
      <c r="O462" s="106">
        <v>192.5</v>
      </c>
      <c r="P462" s="107">
        <v>26110</v>
      </c>
      <c r="Q462" s="107">
        <v>5026175</v>
      </c>
      <c r="R462" s="102"/>
      <c r="S462" s="108"/>
      <c r="T462" s="109" t="s">
        <v>30</v>
      </c>
      <c r="U462" s="109"/>
      <c r="V462" s="102"/>
      <c r="W462" s="109"/>
      <c r="X462" s="109"/>
      <c r="Y462" s="110" t="s">
        <v>290</v>
      </c>
      <c r="Z462" s="111" t="str">
        <f>MID(E462,4,2)</f>
        <v>CA</v>
      </c>
    </row>
    <row r="463" spans="1:26" s="111" customFormat="1" x14ac:dyDescent="0.2">
      <c r="A463" s="101">
        <v>46240</v>
      </c>
      <c r="B463" s="91" t="s">
        <v>644</v>
      </c>
      <c r="C463" s="102" t="s">
        <v>645</v>
      </c>
      <c r="D463" s="103" t="s">
        <v>26</v>
      </c>
      <c r="E463" s="91" t="s">
        <v>646</v>
      </c>
      <c r="F463" s="91" t="s">
        <v>296</v>
      </c>
      <c r="G463" s="91" t="s">
        <v>297</v>
      </c>
      <c r="H463" s="104" t="str">
        <f t="shared" si="32"/>
        <v>F5130J20</v>
      </c>
      <c r="I463" s="104"/>
      <c r="J463" s="105">
        <v>446.49</v>
      </c>
      <c r="K463" s="106">
        <f>IF(D463="CAESARSTONE LTD",VLOOKUP(H463,'[2]GIA CA'!G:H,2,0),IF(OR(D463="STONE FACINGS LIMITED",D463="NORDIA SA",D463="INVICTUS STONE COUNTERTOPS INC",D463="QUARTZTOP LLC"),VLOOKUP(H463,'[2] Giá ngoài Mỹ - SI-GR'!$B$5:$AZ$84,51,0),IF(OR(D463="HYUNDAI L&amp;C CANADA INC",D463="Hyundai L&amp; C USA LLC"),VLOOKUP(H463,'[2]GIA HS'!A:D,4,0),IF(Y463="Mỹ",VLOOKUP(H463,'[2]giá mỹ từ 6.8.2025'!B:I,2,0),VLOOKUP(H463,'[2]giá ngoài mỹ 6.8.2025 (final)'!B:BP,51,0)))))</f>
        <v>62</v>
      </c>
      <c r="L463" s="106">
        <v>65.099999999999994</v>
      </c>
      <c r="M463" s="106">
        <f t="shared" si="31"/>
        <v>3.0999999999999943</v>
      </c>
      <c r="N463" s="106">
        <v>65.099999999999994</v>
      </c>
      <c r="O463" s="106">
        <v>29068.04</v>
      </c>
      <c r="P463" s="107">
        <v>26110</v>
      </c>
      <c r="Q463" s="107">
        <v>758966524</v>
      </c>
      <c r="R463" s="102" t="s">
        <v>30</v>
      </c>
      <c r="S463" s="108"/>
      <c r="T463" s="109"/>
      <c r="U463" s="109"/>
      <c r="V463" s="102"/>
      <c r="W463" s="109"/>
      <c r="X463" s="109"/>
      <c r="Y463" s="110" t="s">
        <v>290</v>
      </c>
      <c r="Z463" s="111" t="str">
        <f>MID(E463,4,2)</f>
        <v>CA</v>
      </c>
    </row>
    <row r="464" spans="1:26" s="111" customFormat="1" x14ac:dyDescent="0.2">
      <c r="A464" s="101">
        <v>46240</v>
      </c>
      <c r="B464" s="91" t="s">
        <v>644</v>
      </c>
      <c r="C464" s="102" t="s">
        <v>645</v>
      </c>
      <c r="D464" s="103" t="s">
        <v>26</v>
      </c>
      <c r="E464" s="91" t="s">
        <v>646</v>
      </c>
      <c r="F464" s="91" t="s">
        <v>569</v>
      </c>
      <c r="G464" s="91" t="s">
        <v>570</v>
      </c>
      <c r="H464" s="104" t="str">
        <f t="shared" si="32"/>
        <v>F5130J20</v>
      </c>
      <c r="I464" s="104"/>
      <c r="J464" s="105">
        <v>21.78</v>
      </c>
      <c r="K464" s="106">
        <v>20</v>
      </c>
      <c r="L464" s="106">
        <v>32.549999999999997</v>
      </c>
      <c r="M464" s="106">
        <f t="shared" si="31"/>
        <v>12.549999999999997</v>
      </c>
      <c r="N464" s="106">
        <v>32.549999999999997</v>
      </c>
      <c r="O464" s="106">
        <v>708.94</v>
      </c>
      <c r="P464" s="107">
        <v>26110</v>
      </c>
      <c r="Q464" s="107">
        <v>18510423</v>
      </c>
      <c r="R464" s="102" t="s">
        <v>30</v>
      </c>
      <c r="S464" s="108"/>
      <c r="T464" s="109"/>
      <c r="U464" s="109"/>
      <c r="V464" s="102"/>
      <c r="W464" s="109"/>
      <c r="X464" s="109"/>
      <c r="Y464" s="110" t="s">
        <v>290</v>
      </c>
      <c r="Z464" s="111" t="str">
        <f>MID(E464,4,2)</f>
        <v>CA</v>
      </c>
    </row>
    <row r="465" spans="1:26" s="111" customFormat="1" x14ac:dyDescent="0.2">
      <c r="A465" s="101">
        <v>46240</v>
      </c>
      <c r="B465" s="91" t="s">
        <v>659</v>
      </c>
      <c r="C465" s="102" t="s">
        <v>660</v>
      </c>
      <c r="D465" s="103" t="s">
        <v>26</v>
      </c>
      <c r="E465" s="91" t="s">
        <v>661</v>
      </c>
      <c r="F465" s="91" t="s">
        <v>296</v>
      </c>
      <c r="G465" s="91" t="s">
        <v>297</v>
      </c>
      <c r="H465" s="104" t="str">
        <f t="shared" si="32"/>
        <v>F5130J20</v>
      </c>
      <c r="I465" s="104"/>
      <c r="J465" s="105">
        <v>446.49</v>
      </c>
      <c r="K465" s="106">
        <f>IF(D465="CAESARSTONE LTD",VLOOKUP(H465,'[2]GIA CA'!G:H,2,0),IF(OR(D465="STONE FACINGS LIMITED",D465="NORDIA SA",D465="INVICTUS STONE COUNTERTOPS INC",D465="QUARTZTOP LLC"),VLOOKUP(H465,'[2] Giá ngoài Mỹ - SI-GR'!$B$5:$AZ$84,51,0),IF(OR(D465="HYUNDAI L&amp;C CANADA INC",D465="Hyundai L&amp; C USA LLC"),VLOOKUP(H465,'[2]GIA HS'!A:D,4,0),IF(Y465="Mỹ",VLOOKUP(H465,'[2]giá mỹ từ 6.8.2025'!B:I,2,0),VLOOKUP(H465,'[2]giá ngoài mỹ 6.8.2025 (final)'!B:BP,51,0)))))</f>
        <v>62</v>
      </c>
      <c r="L465" s="106">
        <v>65.099999999999994</v>
      </c>
      <c r="M465" s="106">
        <f t="shared" si="31"/>
        <v>3.0999999999999943</v>
      </c>
      <c r="N465" s="106">
        <v>65.099999999999994</v>
      </c>
      <c r="O465" s="106">
        <v>29066.54</v>
      </c>
      <c r="P465" s="107">
        <v>26110</v>
      </c>
      <c r="Q465" s="107">
        <v>758927359</v>
      </c>
      <c r="R465" s="102" t="s">
        <v>30</v>
      </c>
      <c r="S465" s="108"/>
      <c r="T465" s="109"/>
      <c r="U465" s="109"/>
      <c r="V465" s="102"/>
      <c r="W465" s="109"/>
      <c r="X465" s="109"/>
      <c r="Y465" s="110" t="s">
        <v>290</v>
      </c>
      <c r="Z465" s="111" t="str">
        <f>MID(E465,4,2)</f>
        <v>CA</v>
      </c>
    </row>
    <row r="466" spans="1:26" s="111" customFormat="1" x14ac:dyDescent="0.2">
      <c r="A466" s="101">
        <v>46240</v>
      </c>
      <c r="B466" s="91" t="s">
        <v>659</v>
      </c>
      <c r="C466" s="102" t="s">
        <v>660</v>
      </c>
      <c r="D466" s="103" t="s">
        <v>26</v>
      </c>
      <c r="E466" s="91" t="s">
        <v>661</v>
      </c>
      <c r="F466" s="91" t="s">
        <v>569</v>
      </c>
      <c r="G466" s="91" t="s">
        <v>570</v>
      </c>
      <c r="H466" s="104" t="str">
        <f t="shared" si="32"/>
        <v>F5130J20</v>
      </c>
      <c r="I466" s="104"/>
      <c r="J466" s="105">
        <v>21.78</v>
      </c>
      <c r="K466" s="106">
        <v>20</v>
      </c>
      <c r="L466" s="106">
        <v>32.549999999999997</v>
      </c>
      <c r="M466" s="106">
        <f t="shared" si="31"/>
        <v>12.549999999999997</v>
      </c>
      <c r="N466" s="106">
        <v>32.549999999999997</v>
      </c>
      <c r="O466" s="106">
        <v>708.94</v>
      </c>
      <c r="P466" s="107">
        <v>26110</v>
      </c>
      <c r="Q466" s="107">
        <v>18510423</v>
      </c>
      <c r="R466" s="102" t="s">
        <v>30</v>
      </c>
      <c r="S466" s="108"/>
      <c r="T466" s="109"/>
      <c r="U466" s="109"/>
      <c r="V466" s="102"/>
      <c r="W466" s="109"/>
      <c r="X466" s="109"/>
      <c r="Y466" s="110" t="s">
        <v>290</v>
      </c>
      <c r="Z466" s="111" t="str">
        <f>MID(E466,4,2)</f>
        <v>CA</v>
      </c>
    </row>
    <row r="467" spans="1:26" s="111" customFormat="1" x14ac:dyDescent="0.2">
      <c r="A467" s="101">
        <v>46241</v>
      </c>
      <c r="B467" s="91" t="s">
        <v>662</v>
      </c>
      <c r="C467" s="102" t="s">
        <v>663</v>
      </c>
      <c r="D467" s="103" t="s">
        <v>26</v>
      </c>
      <c r="E467" s="91" t="s">
        <v>664</v>
      </c>
      <c r="F467" s="91" t="s">
        <v>665</v>
      </c>
      <c r="G467" s="91" t="s">
        <v>666</v>
      </c>
      <c r="H467" s="104" t="str">
        <f t="shared" si="32"/>
        <v>C4011J20</v>
      </c>
      <c r="I467" s="104"/>
      <c r="J467" s="105">
        <v>0.16</v>
      </c>
      <c r="K467" s="106">
        <f t="shared" ref="K467:K486" si="33">+L467</f>
        <v>50</v>
      </c>
      <c r="L467" s="106">
        <v>50</v>
      </c>
      <c r="M467" s="106">
        <f t="shared" si="31"/>
        <v>0</v>
      </c>
      <c r="N467" s="106">
        <v>50</v>
      </c>
      <c r="O467" s="106">
        <v>8</v>
      </c>
      <c r="P467" s="107">
        <v>26110</v>
      </c>
      <c r="Q467" s="107">
        <v>208880</v>
      </c>
      <c r="R467" s="102"/>
      <c r="S467" s="108"/>
      <c r="T467" s="109" t="s">
        <v>30</v>
      </c>
      <c r="U467" s="109"/>
      <c r="V467" s="102"/>
      <c r="W467" s="109"/>
      <c r="X467" s="109"/>
      <c r="Y467" s="110" t="s">
        <v>132</v>
      </c>
      <c r="Z467" s="111" t="str">
        <f>MID(E467,4,2)</f>
        <v>CA</v>
      </c>
    </row>
    <row r="468" spans="1:26" s="111" customFormat="1" x14ac:dyDescent="0.2">
      <c r="A468" s="101">
        <v>46241</v>
      </c>
      <c r="B468" s="91" t="s">
        <v>662</v>
      </c>
      <c r="C468" s="102" t="s">
        <v>663</v>
      </c>
      <c r="D468" s="103" t="s">
        <v>26</v>
      </c>
      <c r="E468" s="91" t="s">
        <v>664</v>
      </c>
      <c r="F468" s="91" t="s">
        <v>667</v>
      </c>
      <c r="G468" s="91" t="s">
        <v>668</v>
      </c>
      <c r="H468" s="104" t="str">
        <f t="shared" si="32"/>
        <v>C4011J20</v>
      </c>
      <c r="I468" s="104"/>
      <c r="J468" s="105">
        <v>0.28999999999999998</v>
      </c>
      <c r="K468" s="106">
        <f t="shared" si="33"/>
        <v>50</v>
      </c>
      <c r="L468" s="106">
        <v>50</v>
      </c>
      <c r="M468" s="106">
        <f t="shared" si="31"/>
        <v>0</v>
      </c>
      <c r="N468" s="106">
        <v>50</v>
      </c>
      <c r="O468" s="106">
        <v>14.5</v>
      </c>
      <c r="P468" s="107">
        <v>26110</v>
      </c>
      <c r="Q468" s="107">
        <v>378595</v>
      </c>
      <c r="R468" s="102"/>
      <c r="S468" s="108"/>
      <c r="T468" s="109" t="s">
        <v>30</v>
      </c>
      <c r="U468" s="109"/>
      <c r="V468" s="102"/>
      <c r="W468" s="109"/>
      <c r="X468" s="109"/>
      <c r="Y468" s="110" t="s">
        <v>132</v>
      </c>
      <c r="Z468" s="111" t="str">
        <f>MID(E468,4,2)</f>
        <v>CA</v>
      </c>
    </row>
    <row r="469" spans="1:26" s="111" customFormat="1" x14ac:dyDescent="0.2">
      <c r="A469" s="101">
        <v>46241</v>
      </c>
      <c r="B469" s="91" t="s">
        <v>662</v>
      </c>
      <c r="C469" s="102" t="s">
        <v>663</v>
      </c>
      <c r="D469" s="103" t="s">
        <v>26</v>
      </c>
      <c r="E469" s="91" t="s">
        <v>664</v>
      </c>
      <c r="F469" s="91" t="s">
        <v>669</v>
      </c>
      <c r="G469" s="91" t="s">
        <v>670</v>
      </c>
      <c r="H469" s="104" t="str">
        <f t="shared" si="32"/>
        <v>C4011J20</v>
      </c>
      <c r="I469" s="104"/>
      <c r="J469" s="105">
        <v>0.03</v>
      </c>
      <c r="K469" s="106">
        <f t="shared" si="33"/>
        <v>50</v>
      </c>
      <c r="L469" s="106">
        <v>50</v>
      </c>
      <c r="M469" s="106">
        <f t="shared" si="31"/>
        <v>0</v>
      </c>
      <c r="N469" s="106">
        <v>50</v>
      </c>
      <c r="O469" s="106">
        <v>1.5</v>
      </c>
      <c r="P469" s="107">
        <v>26110</v>
      </c>
      <c r="Q469" s="107">
        <v>39165</v>
      </c>
      <c r="R469" s="102"/>
      <c r="S469" s="108"/>
      <c r="T469" s="109" t="s">
        <v>30</v>
      </c>
      <c r="U469" s="109"/>
      <c r="V469" s="102"/>
      <c r="W469" s="109"/>
      <c r="X469" s="109"/>
      <c r="Y469" s="110" t="s">
        <v>132</v>
      </c>
      <c r="Z469" s="111" t="str">
        <f>MID(E469,4,2)</f>
        <v>CA</v>
      </c>
    </row>
    <row r="470" spans="1:26" s="111" customFormat="1" x14ac:dyDescent="0.2">
      <c r="A470" s="101">
        <v>46241</v>
      </c>
      <c r="B470" s="91" t="s">
        <v>662</v>
      </c>
      <c r="C470" s="102" t="s">
        <v>663</v>
      </c>
      <c r="D470" s="103" t="s">
        <v>26</v>
      </c>
      <c r="E470" s="91" t="s">
        <v>664</v>
      </c>
      <c r="F470" s="91" t="s">
        <v>671</v>
      </c>
      <c r="G470" s="91" t="s">
        <v>672</v>
      </c>
      <c r="H470" s="104" t="str">
        <f t="shared" si="32"/>
        <v>C4011J20</v>
      </c>
      <c r="I470" s="104"/>
      <c r="J470" s="105">
        <v>1.8</v>
      </c>
      <c r="K470" s="106">
        <f t="shared" si="33"/>
        <v>50</v>
      </c>
      <c r="L470" s="106">
        <v>50</v>
      </c>
      <c r="M470" s="106">
        <f t="shared" si="31"/>
        <v>0</v>
      </c>
      <c r="N470" s="106">
        <v>50</v>
      </c>
      <c r="O470" s="106">
        <v>90</v>
      </c>
      <c r="P470" s="107">
        <v>26110</v>
      </c>
      <c r="Q470" s="107">
        <v>2349900</v>
      </c>
      <c r="R470" s="102"/>
      <c r="S470" s="108"/>
      <c r="T470" s="109" t="s">
        <v>30</v>
      </c>
      <c r="U470" s="109"/>
      <c r="V470" s="102"/>
      <c r="W470" s="109"/>
      <c r="X470" s="109"/>
      <c r="Y470" s="110" t="s">
        <v>132</v>
      </c>
      <c r="Z470" s="111" t="str">
        <f>MID(E470,4,2)</f>
        <v>CA</v>
      </c>
    </row>
    <row r="471" spans="1:26" s="111" customFormat="1" x14ac:dyDescent="0.2">
      <c r="A471" s="101">
        <v>46241</v>
      </c>
      <c r="B471" s="91" t="s">
        <v>662</v>
      </c>
      <c r="C471" s="102" t="s">
        <v>663</v>
      </c>
      <c r="D471" s="103" t="s">
        <v>26</v>
      </c>
      <c r="E471" s="91" t="s">
        <v>664</v>
      </c>
      <c r="F471" s="91" t="s">
        <v>673</v>
      </c>
      <c r="G471" s="91" t="s">
        <v>674</v>
      </c>
      <c r="H471" s="104" t="str">
        <f t="shared" si="32"/>
        <v>C4033J20</v>
      </c>
      <c r="I471" s="104"/>
      <c r="J471" s="105">
        <v>0.16</v>
      </c>
      <c r="K471" s="106">
        <f t="shared" si="33"/>
        <v>50</v>
      </c>
      <c r="L471" s="106">
        <v>50</v>
      </c>
      <c r="M471" s="106">
        <f t="shared" si="31"/>
        <v>0</v>
      </c>
      <c r="N471" s="106">
        <v>50</v>
      </c>
      <c r="O471" s="106">
        <v>8</v>
      </c>
      <c r="P471" s="107">
        <v>26110</v>
      </c>
      <c r="Q471" s="107">
        <v>208880</v>
      </c>
      <c r="R471" s="102"/>
      <c r="S471" s="108"/>
      <c r="T471" s="109" t="s">
        <v>30</v>
      </c>
      <c r="U471" s="109"/>
      <c r="V471" s="102"/>
      <c r="W471" s="109"/>
      <c r="X471" s="109"/>
      <c r="Y471" s="110" t="s">
        <v>132</v>
      </c>
      <c r="Z471" s="111" t="str">
        <f>MID(E471,4,2)</f>
        <v>CA</v>
      </c>
    </row>
    <row r="472" spans="1:26" s="111" customFormat="1" x14ac:dyDescent="0.2">
      <c r="A472" s="101">
        <v>46241</v>
      </c>
      <c r="B472" s="91" t="s">
        <v>662</v>
      </c>
      <c r="C472" s="102" t="s">
        <v>663</v>
      </c>
      <c r="D472" s="103" t="s">
        <v>26</v>
      </c>
      <c r="E472" s="91" t="s">
        <v>664</v>
      </c>
      <c r="F472" s="91" t="s">
        <v>675</v>
      </c>
      <c r="G472" s="91" t="s">
        <v>676</v>
      </c>
      <c r="H472" s="104" t="str">
        <f t="shared" si="32"/>
        <v>C4033J20</v>
      </c>
      <c r="I472" s="104"/>
      <c r="J472" s="105">
        <v>0.28999999999999998</v>
      </c>
      <c r="K472" s="106">
        <f t="shared" si="33"/>
        <v>50</v>
      </c>
      <c r="L472" s="106">
        <v>50</v>
      </c>
      <c r="M472" s="106">
        <f t="shared" si="31"/>
        <v>0</v>
      </c>
      <c r="N472" s="106">
        <v>50</v>
      </c>
      <c r="O472" s="106">
        <v>14.5</v>
      </c>
      <c r="P472" s="107">
        <v>26110</v>
      </c>
      <c r="Q472" s="107">
        <v>378595</v>
      </c>
      <c r="R472" s="102"/>
      <c r="S472" s="108"/>
      <c r="T472" s="109" t="s">
        <v>30</v>
      </c>
      <c r="U472" s="109"/>
      <c r="V472" s="102"/>
      <c r="W472" s="109"/>
      <c r="X472" s="109"/>
      <c r="Y472" s="110" t="s">
        <v>132</v>
      </c>
      <c r="Z472" s="111" t="str">
        <f>MID(E472,4,2)</f>
        <v>CA</v>
      </c>
    </row>
    <row r="473" spans="1:26" s="111" customFormat="1" x14ac:dyDescent="0.2">
      <c r="A473" s="101">
        <v>46241</v>
      </c>
      <c r="B473" s="91" t="s">
        <v>662</v>
      </c>
      <c r="C473" s="102" t="s">
        <v>663</v>
      </c>
      <c r="D473" s="103" t="s">
        <v>26</v>
      </c>
      <c r="E473" s="91" t="s">
        <v>664</v>
      </c>
      <c r="F473" s="91" t="s">
        <v>677</v>
      </c>
      <c r="G473" s="91" t="s">
        <v>678</v>
      </c>
      <c r="H473" s="104" t="str">
        <f t="shared" si="32"/>
        <v>C4033J20</v>
      </c>
      <c r="I473" s="104"/>
      <c r="J473" s="105">
        <v>0.03</v>
      </c>
      <c r="K473" s="106">
        <f t="shared" si="33"/>
        <v>50</v>
      </c>
      <c r="L473" s="106">
        <v>50</v>
      </c>
      <c r="M473" s="106">
        <f t="shared" si="31"/>
        <v>0</v>
      </c>
      <c r="N473" s="106">
        <v>50</v>
      </c>
      <c r="O473" s="106">
        <v>1.5</v>
      </c>
      <c r="P473" s="107">
        <v>26110</v>
      </c>
      <c r="Q473" s="107">
        <v>39165</v>
      </c>
      <c r="R473" s="102"/>
      <c r="S473" s="108"/>
      <c r="T473" s="109" t="s">
        <v>30</v>
      </c>
      <c r="U473" s="109"/>
      <c r="V473" s="102"/>
      <c r="W473" s="109"/>
      <c r="X473" s="109"/>
      <c r="Y473" s="110" t="s">
        <v>132</v>
      </c>
      <c r="Z473" s="111" t="str">
        <f>MID(E473,4,2)</f>
        <v>CA</v>
      </c>
    </row>
    <row r="474" spans="1:26" s="111" customFormat="1" x14ac:dyDescent="0.2">
      <c r="A474" s="101">
        <v>46241</v>
      </c>
      <c r="B474" s="91" t="s">
        <v>662</v>
      </c>
      <c r="C474" s="102" t="s">
        <v>663</v>
      </c>
      <c r="D474" s="103" t="s">
        <v>26</v>
      </c>
      <c r="E474" s="91" t="s">
        <v>664</v>
      </c>
      <c r="F474" s="91" t="s">
        <v>679</v>
      </c>
      <c r="G474" s="91" t="s">
        <v>680</v>
      </c>
      <c r="H474" s="104" t="str">
        <f t="shared" si="32"/>
        <v>C4033J20</v>
      </c>
      <c r="I474" s="104"/>
      <c r="J474" s="105">
        <v>1.8</v>
      </c>
      <c r="K474" s="106">
        <f t="shared" si="33"/>
        <v>50</v>
      </c>
      <c r="L474" s="106">
        <v>50</v>
      </c>
      <c r="M474" s="106">
        <f t="shared" si="31"/>
        <v>0</v>
      </c>
      <c r="N474" s="106">
        <v>50</v>
      </c>
      <c r="O474" s="106">
        <v>90</v>
      </c>
      <c r="P474" s="107">
        <v>26110</v>
      </c>
      <c r="Q474" s="107">
        <v>2349900</v>
      </c>
      <c r="R474" s="102"/>
      <c r="S474" s="108"/>
      <c r="T474" s="109" t="s">
        <v>30</v>
      </c>
      <c r="U474" s="109"/>
      <c r="V474" s="102"/>
      <c r="W474" s="109"/>
      <c r="X474" s="109"/>
      <c r="Y474" s="110" t="s">
        <v>132</v>
      </c>
      <c r="Z474" s="111" t="str">
        <f>MID(E474,4,2)</f>
        <v>CA</v>
      </c>
    </row>
    <row r="475" spans="1:26" s="111" customFormat="1" x14ac:dyDescent="0.2">
      <c r="A475" s="101">
        <v>46241</v>
      </c>
      <c r="B475" s="91" t="s">
        <v>662</v>
      </c>
      <c r="C475" s="102" t="s">
        <v>663</v>
      </c>
      <c r="D475" s="103" t="s">
        <v>26</v>
      </c>
      <c r="E475" s="91" t="s">
        <v>664</v>
      </c>
      <c r="F475" s="91" t="s">
        <v>681</v>
      </c>
      <c r="G475" s="91" t="s">
        <v>682</v>
      </c>
      <c r="H475" s="104" t="str">
        <f t="shared" si="32"/>
        <v>C5003J20</v>
      </c>
      <c r="I475" s="104"/>
      <c r="J475" s="105">
        <v>0.16</v>
      </c>
      <c r="K475" s="106">
        <f t="shared" si="33"/>
        <v>50</v>
      </c>
      <c r="L475" s="106">
        <v>50</v>
      </c>
      <c r="M475" s="106">
        <f t="shared" si="31"/>
        <v>0</v>
      </c>
      <c r="N475" s="106">
        <v>50</v>
      </c>
      <c r="O475" s="107">
        <v>8</v>
      </c>
      <c r="P475" s="107">
        <v>26110</v>
      </c>
      <c r="Q475" s="107">
        <v>208880</v>
      </c>
      <c r="R475" s="102"/>
      <c r="S475" s="108"/>
      <c r="T475" s="109" t="s">
        <v>30</v>
      </c>
      <c r="U475" s="109"/>
      <c r="V475" s="102"/>
      <c r="W475" s="109"/>
      <c r="X475" s="109"/>
      <c r="Y475" s="110" t="s">
        <v>132</v>
      </c>
      <c r="Z475" s="111" t="str">
        <f>MID(E475,4,2)</f>
        <v>CA</v>
      </c>
    </row>
    <row r="476" spans="1:26" s="111" customFormat="1" x14ac:dyDescent="0.2">
      <c r="A476" s="101">
        <v>46241</v>
      </c>
      <c r="B476" s="91" t="s">
        <v>662</v>
      </c>
      <c r="C476" s="102" t="s">
        <v>663</v>
      </c>
      <c r="D476" s="103" t="s">
        <v>26</v>
      </c>
      <c r="E476" s="91" t="s">
        <v>664</v>
      </c>
      <c r="F476" s="91" t="s">
        <v>683</v>
      </c>
      <c r="G476" s="91" t="s">
        <v>684</v>
      </c>
      <c r="H476" s="104" t="str">
        <f t="shared" si="32"/>
        <v>C5003J20</v>
      </c>
      <c r="I476" s="104"/>
      <c r="J476" s="105">
        <v>0.28999999999999998</v>
      </c>
      <c r="K476" s="106">
        <f t="shared" si="33"/>
        <v>50</v>
      </c>
      <c r="L476" s="106">
        <v>50</v>
      </c>
      <c r="M476" s="106">
        <f t="shared" si="31"/>
        <v>0</v>
      </c>
      <c r="N476" s="106">
        <v>50</v>
      </c>
      <c r="O476" s="107">
        <v>14.5</v>
      </c>
      <c r="P476" s="107">
        <v>26110</v>
      </c>
      <c r="Q476" s="107">
        <v>378595</v>
      </c>
      <c r="R476" s="102"/>
      <c r="S476" s="108"/>
      <c r="T476" s="109" t="s">
        <v>30</v>
      </c>
      <c r="U476" s="109"/>
      <c r="V476" s="102"/>
      <c r="W476" s="109"/>
      <c r="X476" s="109"/>
      <c r="Y476" s="110" t="s">
        <v>132</v>
      </c>
      <c r="Z476" s="111" t="str">
        <f>MID(E476,4,2)</f>
        <v>CA</v>
      </c>
    </row>
    <row r="477" spans="1:26" s="111" customFormat="1" x14ac:dyDescent="0.2">
      <c r="A477" s="101">
        <v>46241</v>
      </c>
      <c r="B477" s="91" t="s">
        <v>662</v>
      </c>
      <c r="C477" s="102" t="s">
        <v>663</v>
      </c>
      <c r="D477" s="103" t="s">
        <v>26</v>
      </c>
      <c r="E477" s="91" t="s">
        <v>664</v>
      </c>
      <c r="F477" s="91" t="s">
        <v>685</v>
      </c>
      <c r="G477" s="91" t="s">
        <v>686</v>
      </c>
      <c r="H477" s="104" t="str">
        <f t="shared" si="32"/>
        <v>C5003J20</v>
      </c>
      <c r="I477" s="104"/>
      <c r="J477" s="105">
        <v>0.03</v>
      </c>
      <c r="K477" s="106">
        <f t="shared" si="33"/>
        <v>50</v>
      </c>
      <c r="L477" s="106">
        <v>50</v>
      </c>
      <c r="M477" s="106">
        <f t="shared" si="31"/>
        <v>0</v>
      </c>
      <c r="N477" s="106">
        <v>50</v>
      </c>
      <c r="O477" s="107">
        <v>1.5</v>
      </c>
      <c r="P477" s="107">
        <v>26110</v>
      </c>
      <c r="Q477" s="107">
        <v>39165</v>
      </c>
      <c r="R477" s="102"/>
      <c r="S477" s="108"/>
      <c r="T477" s="109" t="s">
        <v>30</v>
      </c>
      <c r="U477" s="109"/>
      <c r="V477" s="102"/>
      <c r="W477" s="109"/>
      <c r="X477" s="109"/>
      <c r="Y477" s="110" t="s">
        <v>132</v>
      </c>
      <c r="Z477" s="111" t="str">
        <f>MID(E477,4,2)</f>
        <v>CA</v>
      </c>
    </row>
    <row r="478" spans="1:26" s="111" customFormat="1" x14ac:dyDescent="0.2">
      <c r="A478" s="101">
        <v>46241</v>
      </c>
      <c r="B478" s="91" t="s">
        <v>662</v>
      </c>
      <c r="C478" s="102" t="s">
        <v>663</v>
      </c>
      <c r="D478" s="103" t="s">
        <v>26</v>
      </c>
      <c r="E478" s="91" t="s">
        <v>664</v>
      </c>
      <c r="F478" s="91" t="s">
        <v>687</v>
      </c>
      <c r="G478" s="91" t="s">
        <v>688</v>
      </c>
      <c r="H478" s="104" t="str">
        <f t="shared" si="32"/>
        <v>C5003J20</v>
      </c>
      <c r="I478" s="104"/>
      <c r="J478" s="105">
        <v>1.8</v>
      </c>
      <c r="K478" s="106">
        <f t="shared" si="33"/>
        <v>50</v>
      </c>
      <c r="L478" s="106">
        <v>50</v>
      </c>
      <c r="M478" s="106">
        <f t="shared" si="31"/>
        <v>0</v>
      </c>
      <c r="N478" s="106">
        <v>50</v>
      </c>
      <c r="O478" s="107">
        <v>90</v>
      </c>
      <c r="P478" s="107">
        <v>26110</v>
      </c>
      <c r="Q478" s="107">
        <v>2349900</v>
      </c>
      <c r="R478" s="102"/>
      <c r="S478" s="108"/>
      <c r="T478" s="109" t="s">
        <v>30</v>
      </c>
      <c r="U478" s="109"/>
      <c r="V478" s="102"/>
      <c r="W478" s="109"/>
      <c r="X478" s="109"/>
      <c r="Y478" s="110" t="s">
        <v>132</v>
      </c>
      <c r="Z478" s="111" t="str">
        <f>MID(E478,4,2)</f>
        <v>CA</v>
      </c>
    </row>
    <row r="479" spans="1:26" s="111" customFormat="1" x14ac:dyDescent="0.2">
      <c r="A479" s="101">
        <v>46241</v>
      </c>
      <c r="B479" s="91" t="s">
        <v>662</v>
      </c>
      <c r="C479" s="102" t="s">
        <v>663</v>
      </c>
      <c r="D479" s="103" t="s">
        <v>26</v>
      </c>
      <c r="E479" s="91" t="s">
        <v>664</v>
      </c>
      <c r="F479" s="91" t="s">
        <v>689</v>
      </c>
      <c r="G479" s="91" t="s">
        <v>690</v>
      </c>
      <c r="H479" s="104" t="str">
        <f t="shared" si="32"/>
        <v>F5222J20</v>
      </c>
      <c r="I479" s="104"/>
      <c r="J479" s="105">
        <v>0.16</v>
      </c>
      <c r="K479" s="106">
        <f t="shared" si="33"/>
        <v>50</v>
      </c>
      <c r="L479" s="106">
        <v>50</v>
      </c>
      <c r="M479" s="106">
        <f t="shared" si="31"/>
        <v>0</v>
      </c>
      <c r="N479" s="106">
        <v>50</v>
      </c>
      <c r="O479" s="107">
        <v>8</v>
      </c>
      <c r="P479" s="107">
        <v>26110</v>
      </c>
      <c r="Q479" s="107">
        <v>208880</v>
      </c>
      <c r="R479" s="102"/>
      <c r="S479" s="108"/>
      <c r="T479" s="109" t="s">
        <v>30</v>
      </c>
      <c r="U479" s="109"/>
      <c r="V479" s="102"/>
      <c r="W479" s="109"/>
      <c r="X479" s="109"/>
      <c r="Y479" s="110" t="s">
        <v>132</v>
      </c>
      <c r="Z479" s="111" t="str">
        <f>MID(E479,4,2)</f>
        <v>CA</v>
      </c>
    </row>
    <row r="480" spans="1:26" s="111" customFormat="1" x14ac:dyDescent="0.2">
      <c r="A480" s="101">
        <v>46241</v>
      </c>
      <c r="B480" s="91" t="s">
        <v>662</v>
      </c>
      <c r="C480" s="102" t="s">
        <v>663</v>
      </c>
      <c r="D480" s="103" t="s">
        <v>26</v>
      </c>
      <c r="E480" s="91" t="s">
        <v>664</v>
      </c>
      <c r="F480" s="91" t="s">
        <v>691</v>
      </c>
      <c r="G480" s="91" t="s">
        <v>692</v>
      </c>
      <c r="H480" s="104" t="str">
        <f t="shared" si="32"/>
        <v>F5222J20</v>
      </c>
      <c r="I480" s="104"/>
      <c r="J480" s="105">
        <v>0.28999999999999998</v>
      </c>
      <c r="K480" s="106">
        <f t="shared" si="33"/>
        <v>50</v>
      </c>
      <c r="L480" s="106">
        <v>50</v>
      </c>
      <c r="M480" s="106">
        <f t="shared" si="31"/>
        <v>0</v>
      </c>
      <c r="N480" s="106">
        <v>50</v>
      </c>
      <c r="O480" s="107">
        <v>14.5</v>
      </c>
      <c r="P480" s="107">
        <v>26110</v>
      </c>
      <c r="Q480" s="107">
        <v>378595</v>
      </c>
      <c r="R480" s="102"/>
      <c r="S480" s="108"/>
      <c r="T480" s="109" t="s">
        <v>30</v>
      </c>
      <c r="U480" s="109"/>
      <c r="V480" s="102"/>
      <c r="W480" s="109"/>
      <c r="X480" s="109"/>
      <c r="Y480" s="110" t="s">
        <v>132</v>
      </c>
      <c r="Z480" s="111" t="str">
        <f>MID(E480,4,2)</f>
        <v>CA</v>
      </c>
    </row>
    <row r="481" spans="1:26" s="111" customFormat="1" x14ac:dyDescent="0.2">
      <c r="A481" s="101">
        <v>46241</v>
      </c>
      <c r="B481" s="91" t="s">
        <v>662</v>
      </c>
      <c r="C481" s="102" t="s">
        <v>663</v>
      </c>
      <c r="D481" s="103" t="s">
        <v>26</v>
      </c>
      <c r="E481" s="91" t="s">
        <v>664</v>
      </c>
      <c r="F481" s="91" t="s">
        <v>693</v>
      </c>
      <c r="G481" s="91" t="s">
        <v>694</v>
      </c>
      <c r="H481" s="104" t="str">
        <f t="shared" si="32"/>
        <v>F5222J20</v>
      </c>
      <c r="I481" s="104"/>
      <c r="J481" s="105">
        <v>0.03</v>
      </c>
      <c r="K481" s="106">
        <f t="shared" si="33"/>
        <v>50</v>
      </c>
      <c r="L481" s="106">
        <v>50</v>
      </c>
      <c r="M481" s="106">
        <f t="shared" si="31"/>
        <v>0</v>
      </c>
      <c r="N481" s="106">
        <v>50</v>
      </c>
      <c r="O481" s="107">
        <v>1.5</v>
      </c>
      <c r="P481" s="107">
        <v>26110</v>
      </c>
      <c r="Q481" s="107">
        <v>39165</v>
      </c>
      <c r="R481" s="102"/>
      <c r="S481" s="108"/>
      <c r="T481" s="109" t="s">
        <v>30</v>
      </c>
      <c r="U481" s="109"/>
      <c r="V481" s="102"/>
      <c r="W481" s="109"/>
      <c r="X481" s="109"/>
      <c r="Y481" s="110" t="s">
        <v>132</v>
      </c>
      <c r="Z481" s="111" t="str">
        <f>MID(E481,4,2)</f>
        <v>CA</v>
      </c>
    </row>
    <row r="482" spans="1:26" s="111" customFormat="1" x14ac:dyDescent="0.2">
      <c r="A482" s="101">
        <v>46241</v>
      </c>
      <c r="B482" s="91" t="s">
        <v>662</v>
      </c>
      <c r="C482" s="102" t="s">
        <v>663</v>
      </c>
      <c r="D482" s="103" t="s">
        <v>26</v>
      </c>
      <c r="E482" s="91" t="s">
        <v>664</v>
      </c>
      <c r="F482" s="91" t="s">
        <v>695</v>
      </c>
      <c r="G482" s="91" t="s">
        <v>696</v>
      </c>
      <c r="H482" s="104" t="str">
        <f t="shared" si="32"/>
        <v>F5222J20</v>
      </c>
      <c r="I482" s="104"/>
      <c r="J482" s="105">
        <v>1.8</v>
      </c>
      <c r="K482" s="106">
        <f t="shared" si="33"/>
        <v>50</v>
      </c>
      <c r="L482" s="106">
        <v>50</v>
      </c>
      <c r="M482" s="106">
        <f t="shared" si="31"/>
        <v>0</v>
      </c>
      <c r="N482" s="106">
        <v>50</v>
      </c>
      <c r="O482" s="107">
        <v>90</v>
      </c>
      <c r="P482" s="107">
        <v>26110</v>
      </c>
      <c r="Q482" s="107">
        <v>2349900</v>
      </c>
      <c r="R482" s="102"/>
      <c r="S482" s="108"/>
      <c r="T482" s="109" t="s">
        <v>30</v>
      </c>
      <c r="U482" s="109"/>
      <c r="V482" s="102"/>
      <c r="W482" s="109"/>
      <c r="X482" s="109"/>
      <c r="Y482" s="110" t="s">
        <v>132</v>
      </c>
      <c r="Z482" s="111" t="str">
        <f>MID(E482,4,2)</f>
        <v>CA</v>
      </c>
    </row>
    <row r="483" spans="1:26" s="111" customFormat="1" x14ac:dyDescent="0.2">
      <c r="A483" s="101">
        <v>46241</v>
      </c>
      <c r="B483" s="91" t="s">
        <v>662</v>
      </c>
      <c r="C483" s="102" t="s">
        <v>663</v>
      </c>
      <c r="D483" s="103" t="s">
        <v>26</v>
      </c>
      <c r="E483" s="91" t="s">
        <v>664</v>
      </c>
      <c r="F483" s="91" t="s">
        <v>697</v>
      </c>
      <c r="G483" s="91" t="s">
        <v>698</v>
      </c>
      <c r="H483" s="104" t="str">
        <f t="shared" si="32"/>
        <v>C4044J20</v>
      </c>
      <c r="I483" s="104"/>
      <c r="J483" s="105">
        <v>0.16</v>
      </c>
      <c r="K483" s="106">
        <f t="shared" si="33"/>
        <v>50</v>
      </c>
      <c r="L483" s="106">
        <v>50</v>
      </c>
      <c r="M483" s="106">
        <f t="shared" si="31"/>
        <v>0</v>
      </c>
      <c r="N483" s="106">
        <v>50</v>
      </c>
      <c r="O483" s="106">
        <v>8</v>
      </c>
      <c r="P483" s="107">
        <v>26110</v>
      </c>
      <c r="Q483" s="107">
        <v>208880</v>
      </c>
      <c r="R483" s="102"/>
      <c r="S483" s="108"/>
      <c r="T483" s="109" t="s">
        <v>30</v>
      </c>
      <c r="U483" s="109"/>
      <c r="V483" s="102"/>
      <c r="W483" s="109"/>
      <c r="X483" s="109"/>
      <c r="Y483" s="110" t="s">
        <v>132</v>
      </c>
      <c r="Z483" s="111" t="str">
        <f>MID(E483,4,2)</f>
        <v>CA</v>
      </c>
    </row>
    <row r="484" spans="1:26" s="111" customFormat="1" x14ac:dyDescent="0.2">
      <c r="A484" s="101">
        <v>46241</v>
      </c>
      <c r="B484" s="91" t="s">
        <v>662</v>
      </c>
      <c r="C484" s="102" t="s">
        <v>663</v>
      </c>
      <c r="D484" s="103" t="s">
        <v>26</v>
      </c>
      <c r="E484" s="91" t="s">
        <v>664</v>
      </c>
      <c r="F484" s="91" t="s">
        <v>699</v>
      </c>
      <c r="G484" s="91" t="s">
        <v>700</v>
      </c>
      <c r="H484" s="104" t="str">
        <f t="shared" si="32"/>
        <v>C4044J20</v>
      </c>
      <c r="I484" s="104"/>
      <c r="J484" s="105">
        <v>0.28999999999999998</v>
      </c>
      <c r="K484" s="106">
        <f t="shared" si="33"/>
        <v>50</v>
      </c>
      <c r="L484" s="106">
        <v>50</v>
      </c>
      <c r="M484" s="106">
        <f t="shared" si="31"/>
        <v>0</v>
      </c>
      <c r="N484" s="106">
        <v>50</v>
      </c>
      <c r="O484" s="106">
        <v>14.5</v>
      </c>
      <c r="P484" s="107">
        <v>26110</v>
      </c>
      <c r="Q484" s="107">
        <v>378595</v>
      </c>
      <c r="R484" s="102"/>
      <c r="S484" s="108"/>
      <c r="T484" s="109" t="s">
        <v>30</v>
      </c>
      <c r="U484" s="109"/>
      <c r="V484" s="102"/>
      <c r="W484" s="109"/>
      <c r="X484" s="109"/>
      <c r="Y484" s="110" t="s">
        <v>132</v>
      </c>
      <c r="Z484" s="111" t="str">
        <f>MID(E484,4,2)</f>
        <v>CA</v>
      </c>
    </row>
    <row r="485" spans="1:26" s="111" customFormat="1" x14ac:dyDescent="0.2">
      <c r="A485" s="101">
        <v>46241</v>
      </c>
      <c r="B485" s="91" t="s">
        <v>662</v>
      </c>
      <c r="C485" s="102" t="s">
        <v>663</v>
      </c>
      <c r="D485" s="103" t="s">
        <v>26</v>
      </c>
      <c r="E485" s="91" t="s">
        <v>664</v>
      </c>
      <c r="F485" s="91" t="s">
        <v>701</v>
      </c>
      <c r="G485" s="91" t="s">
        <v>702</v>
      </c>
      <c r="H485" s="104" t="str">
        <f t="shared" si="32"/>
        <v>C4044J20</v>
      </c>
      <c r="I485" s="104"/>
      <c r="J485" s="105">
        <v>0.03</v>
      </c>
      <c r="K485" s="106">
        <f t="shared" si="33"/>
        <v>50</v>
      </c>
      <c r="L485" s="106">
        <v>50</v>
      </c>
      <c r="M485" s="106">
        <f t="shared" si="31"/>
        <v>0</v>
      </c>
      <c r="N485" s="106">
        <v>50</v>
      </c>
      <c r="O485" s="106">
        <v>1.5</v>
      </c>
      <c r="P485" s="107">
        <v>26110</v>
      </c>
      <c r="Q485" s="107">
        <v>39165</v>
      </c>
      <c r="R485" s="102"/>
      <c r="S485" s="108"/>
      <c r="T485" s="109" t="s">
        <v>30</v>
      </c>
      <c r="U485" s="109"/>
      <c r="V485" s="102"/>
      <c r="W485" s="109"/>
      <c r="X485" s="109"/>
      <c r="Y485" s="110" t="s">
        <v>132</v>
      </c>
      <c r="Z485" s="111" t="str">
        <f>MID(E485,4,2)</f>
        <v>CA</v>
      </c>
    </row>
    <row r="486" spans="1:26" s="111" customFormat="1" x14ac:dyDescent="0.2">
      <c r="A486" s="101">
        <v>46241</v>
      </c>
      <c r="B486" s="91" t="s">
        <v>662</v>
      </c>
      <c r="C486" s="102" t="s">
        <v>663</v>
      </c>
      <c r="D486" s="103" t="s">
        <v>26</v>
      </c>
      <c r="E486" s="91" t="s">
        <v>664</v>
      </c>
      <c r="F486" s="91" t="s">
        <v>703</v>
      </c>
      <c r="G486" s="91" t="s">
        <v>704</v>
      </c>
      <c r="H486" s="104" t="str">
        <f t="shared" si="32"/>
        <v>C4044J20</v>
      </c>
      <c r="I486" s="104"/>
      <c r="J486" s="105">
        <v>1.8</v>
      </c>
      <c r="K486" s="106">
        <f t="shared" si="33"/>
        <v>50</v>
      </c>
      <c r="L486" s="106">
        <v>50</v>
      </c>
      <c r="M486" s="106">
        <f t="shared" si="31"/>
        <v>0</v>
      </c>
      <c r="N486" s="106">
        <v>50</v>
      </c>
      <c r="O486" s="106">
        <v>90</v>
      </c>
      <c r="P486" s="107">
        <v>26110</v>
      </c>
      <c r="Q486" s="107">
        <v>2349900</v>
      </c>
      <c r="R486" s="102"/>
      <c r="S486" s="108"/>
      <c r="T486" s="109" t="s">
        <v>30</v>
      </c>
      <c r="U486" s="109"/>
      <c r="V486" s="102"/>
      <c r="W486" s="109"/>
      <c r="X486" s="109"/>
      <c r="Y486" s="110" t="s">
        <v>132</v>
      </c>
      <c r="Z486" s="111" t="str">
        <f>MID(E486,4,2)</f>
        <v>CA</v>
      </c>
    </row>
    <row r="487" spans="1:26" s="111" customFormat="1" x14ac:dyDescent="0.2">
      <c r="A487" s="101">
        <v>46241</v>
      </c>
      <c r="B487" s="91" t="s">
        <v>662</v>
      </c>
      <c r="C487" s="102" t="s">
        <v>663</v>
      </c>
      <c r="D487" s="103" t="s">
        <v>26</v>
      </c>
      <c r="E487" s="91" t="s">
        <v>664</v>
      </c>
      <c r="F487" s="91" t="s">
        <v>705</v>
      </c>
      <c r="G487" s="91" t="s">
        <v>706</v>
      </c>
      <c r="H487" s="104" t="str">
        <f t="shared" si="32"/>
        <v>C4004J20</v>
      </c>
      <c r="I487" s="104"/>
      <c r="J487" s="105">
        <v>435.6</v>
      </c>
      <c r="K487" s="106">
        <f>IF(D487="CAESARSTONE LTD",VLOOKUP(H487,'[2]GIA CA'!G:H,2,0),IF(OR(D487="STONE FACINGS LIMITED",D487="NORDIA SA",D487="INVICTUS STONE COUNTERTOPS INC",D487="QUARTZTOP LLC"),VLOOKUP(H487,'[2] Giá ngoài Mỹ - SI-GR'!$B$5:$AZ$84,51,0),IF(OR(D487="HYUNDAI L&amp;C CANADA INC",D487="Hyundai L&amp; C USA LLC"),VLOOKUP(H487,'[2]GIA HS'!A:D,4,0),IF(Y487="Mỹ",VLOOKUP(H487,'[2]giá mỹ từ 6.8.2025'!B:I,2,0),VLOOKUP(H487,'[2]giá ngoài mỹ 6.8.2025 (final)'!B:BP,51,0)))))</f>
        <v>55</v>
      </c>
      <c r="L487" s="106">
        <v>59.48</v>
      </c>
      <c r="M487" s="106">
        <f t="shared" si="31"/>
        <v>4.4799999999999969</v>
      </c>
      <c r="N487" s="106">
        <v>59.48</v>
      </c>
      <c r="O487" s="106">
        <v>25907.599999999999</v>
      </c>
      <c r="P487" s="107">
        <v>26110</v>
      </c>
      <c r="Q487" s="107">
        <v>676447436</v>
      </c>
      <c r="R487" s="102" t="s">
        <v>30</v>
      </c>
      <c r="S487" s="108"/>
      <c r="T487" s="109"/>
      <c r="U487" s="109"/>
      <c r="V487" s="102"/>
      <c r="W487" s="109"/>
      <c r="X487" s="109"/>
      <c r="Y487" s="110" t="s">
        <v>132</v>
      </c>
      <c r="Z487" s="111" t="str">
        <f>MID(E487,4,2)</f>
        <v>CA</v>
      </c>
    </row>
    <row r="488" spans="1:26" s="111" customFormat="1" x14ac:dyDescent="0.2">
      <c r="A488" s="101">
        <v>46241</v>
      </c>
      <c r="B488" s="91" t="s">
        <v>707</v>
      </c>
      <c r="C488" s="102" t="s">
        <v>708</v>
      </c>
      <c r="D488" s="103" t="s">
        <v>26</v>
      </c>
      <c r="E488" s="91" t="s">
        <v>709</v>
      </c>
      <c r="F488" s="91" t="s">
        <v>710</v>
      </c>
      <c r="G488" s="91" t="s">
        <v>711</v>
      </c>
      <c r="H488" s="104" t="str">
        <f t="shared" si="32"/>
        <v>C5212J20</v>
      </c>
      <c r="I488" s="104"/>
      <c r="J488" s="105">
        <v>2.5499999999999998</v>
      </c>
      <c r="K488" s="106">
        <f>IF(D488="CAESARSTONE LTD",VLOOKUP(H488,'[2]GIA CA'!G:H,2,0),IF(OR(D488="STONE FACINGS LIMITED",D488="NORDIA SA",D488="INVICTUS STONE COUNTERTOPS INC",D488="QUARTZTOP LLC"),VLOOKUP(H488,'[2] Giá ngoài Mỹ - SI-GR'!$B$5:$AZ$84,51,0),IF(OR(D488="HYUNDAI L&amp;C CANADA INC",D488="Hyundai L&amp; C USA LLC"),VLOOKUP(H488,'[2]GIA HS'!A:D,4,0),IF(Y488="Mỹ",VLOOKUP(H488,'[2]giá mỹ từ 6.8.2025'!B:I,2,0),VLOOKUP(H488,'[2]giá ngoài mỹ 6.8.2025 (final)'!B:BP,51,0)))))</f>
        <v>59</v>
      </c>
      <c r="L488" s="106">
        <v>95.53</v>
      </c>
      <c r="M488" s="106">
        <f t="shared" si="31"/>
        <v>36.53</v>
      </c>
      <c r="N488" s="106">
        <v>95.53</v>
      </c>
      <c r="O488" s="106">
        <v>243.6</v>
      </c>
      <c r="P488" s="107">
        <v>26110</v>
      </c>
      <c r="Q488" s="107">
        <v>6360396</v>
      </c>
      <c r="R488" s="102"/>
      <c r="S488" s="108"/>
      <c r="T488" s="109" t="s">
        <v>30</v>
      </c>
      <c r="U488" s="109"/>
      <c r="V488" s="102"/>
      <c r="W488" s="109"/>
      <c r="X488" s="109"/>
      <c r="Y488" s="110" t="s">
        <v>358</v>
      </c>
      <c r="Z488" s="111" t="str">
        <f>MID(E488,4,2)</f>
        <v>CA</v>
      </c>
    </row>
    <row r="489" spans="1:26" s="111" customFormat="1" x14ac:dyDescent="0.2">
      <c r="A489" s="101">
        <v>46241</v>
      </c>
      <c r="B489" s="91" t="s">
        <v>707</v>
      </c>
      <c r="C489" s="102" t="s">
        <v>708</v>
      </c>
      <c r="D489" s="103" t="s">
        <v>26</v>
      </c>
      <c r="E489" s="91" t="s">
        <v>709</v>
      </c>
      <c r="F489" s="91" t="s">
        <v>712</v>
      </c>
      <c r="G489" s="91" t="s">
        <v>713</v>
      </c>
      <c r="H489" s="104" t="str">
        <f t="shared" si="32"/>
        <v>C6131J20</v>
      </c>
      <c r="I489" s="104"/>
      <c r="J489" s="105">
        <v>2.5499999999999998</v>
      </c>
      <c r="K489" s="106">
        <f>IF(D489="CAESARSTONE LTD",VLOOKUP(H489,'[2]GIA CA'!G:H,2,0),IF(OR(D489="STONE FACINGS LIMITED",D489="NORDIA SA",D489="INVICTUS STONE COUNTERTOPS INC",D489="QUARTZTOP LLC"),VLOOKUP(H489,'[2] Giá ngoài Mỹ - SI-GR'!$B$5:$AZ$84,51,0),IF(OR(D489="HYUNDAI L&amp;C CANADA INC",D489="Hyundai L&amp; C USA LLC"),VLOOKUP(H489,'[2]GIA HS'!A:D,4,0),IF(Y489="Mỹ",VLOOKUP(H489,'[2]giá mỹ từ 6.8.2025'!B:I,2,0),VLOOKUP(H489,'[2]giá ngoài mỹ 6.8.2025 (final)'!B:BP,51,0)))))</f>
        <v>59</v>
      </c>
      <c r="L489" s="106">
        <v>95.53</v>
      </c>
      <c r="M489" s="106">
        <f t="shared" si="31"/>
        <v>36.53</v>
      </c>
      <c r="N489" s="106">
        <v>95.53</v>
      </c>
      <c r="O489" s="106">
        <v>243.6</v>
      </c>
      <c r="P489" s="107">
        <v>26110</v>
      </c>
      <c r="Q489" s="107">
        <v>6360396</v>
      </c>
      <c r="R489" s="102"/>
      <c r="S489" s="108"/>
      <c r="T489" s="109" t="s">
        <v>30</v>
      </c>
      <c r="U489" s="109"/>
      <c r="V489" s="102"/>
      <c r="W489" s="109"/>
      <c r="X489" s="109"/>
      <c r="Y489" s="110" t="s">
        <v>358</v>
      </c>
      <c r="Z489" s="111" t="str">
        <f>MID(E489,4,2)</f>
        <v>CA</v>
      </c>
    </row>
    <row r="490" spans="1:26" s="111" customFormat="1" x14ac:dyDescent="0.2">
      <c r="A490" s="101">
        <v>46241</v>
      </c>
      <c r="B490" s="91" t="s">
        <v>707</v>
      </c>
      <c r="C490" s="102" t="s">
        <v>708</v>
      </c>
      <c r="D490" s="103" t="s">
        <v>26</v>
      </c>
      <c r="E490" s="91" t="s">
        <v>709</v>
      </c>
      <c r="F490" s="91" t="s">
        <v>714</v>
      </c>
      <c r="G490" s="91" t="s">
        <v>715</v>
      </c>
      <c r="H490" s="104" t="str">
        <f t="shared" si="32"/>
        <v>F4004J20</v>
      </c>
      <c r="I490" s="104"/>
      <c r="J490" s="105">
        <v>2.5499999999999998</v>
      </c>
      <c r="K490" s="106">
        <f>IF(D490="CAESARSTONE LTD",VLOOKUP(H490,'[2]GIA CA'!G:H,2,0),IF(OR(D490="STONE FACINGS LIMITED",D490="NORDIA SA",D490="INVICTUS STONE COUNTERTOPS INC",D490="QUARTZTOP LLC"),VLOOKUP(H490,'[2] Giá ngoài Mỹ - SI-GR'!$B$5:$AZ$84,51,0),IF(OR(D490="HYUNDAI L&amp;C CANADA INC",D490="Hyundai L&amp; C USA LLC"),VLOOKUP(H490,'[2]GIA HS'!A:D,4,0),IF(Y490="Mỹ",VLOOKUP(H490,'[2]giá mỹ từ 6.8.2025'!B:I,2,0),VLOOKUP(H490,'[2]giá ngoài mỹ 6.8.2025 (final)'!B:BP,51,0)))))</f>
        <v>58</v>
      </c>
      <c r="L490" s="106">
        <v>95.53</v>
      </c>
      <c r="M490" s="106">
        <f t="shared" si="31"/>
        <v>37.53</v>
      </c>
      <c r="N490" s="106">
        <v>95.53</v>
      </c>
      <c r="O490" s="106">
        <v>243.6</v>
      </c>
      <c r="P490" s="107">
        <v>26110</v>
      </c>
      <c r="Q490" s="107">
        <v>6360396</v>
      </c>
      <c r="R490" s="102"/>
      <c r="S490" s="108"/>
      <c r="T490" s="109" t="s">
        <v>30</v>
      </c>
      <c r="U490" s="109"/>
      <c r="V490" s="102"/>
      <c r="W490" s="109"/>
      <c r="X490" s="109"/>
      <c r="Y490" s="110" t="s">
        <v>358</v>
      </c>
      <c r="Z490" s="111" t="str">
        <f>MID(E490,4,2)</f>
        <v>CA</v>
      </c>
    </row>
    <row r="491" spans="1:26" s="111" customFormat="1" x14ac:dyDescent="0.2">
      <c r="A491" s="101">
        <v>46241</v>
      </c>
      <c r="B491" s="91" t="s">
        <v>707</v>
      </c>
      <c r="C491" s="102" t="s">
        <v>708</v>
      </c>
      <c r="D491" s="103" t="s">
        <v>26</v>
      </c>
      <c r="E491" s="91" t="s">
        <v>709</v>
      </c>
      <c r="F491" s="91" t="s">
        <v>716</v>
      </c>
      <c r="G491" s="91" t="s">
        <v>717</v>
      </c>
      <c r="H491" s="104" t="str">
        <f t="shared" si="32"/>
        <v>F5140J20</v>
      </c>
      <c r="I491" s="104"/>
      <c r="J491" s="105">
        <v>2.5499999999999998</v>
      </c>
      <c r="K491" s="106">
        <f>IF(D491="CAESARSTONE LTD",VLOOKUP(H491,'[2]GIA CA'!G:H,2,0),IF(OR(D491="STONE FACINGS LIMITED",D491="NORDIA SA",D491="INVICTUS STONE COUNTERTOPS INC",D491="QUARTZTOP LLC"),VLOOKUP(H491,'[2] Giá ngoài Mỹ - SI-GR'!$B$5:$AZ$84,51,0),IF(OR(D491="HYUNDAI L&amp;C CANADA INC",D491="Hyundai L&amp; C USA LLC"),VLOOKUP(H491,'[2]GIA HS'!A:D,4,0),IF(Y491="Mỹ",VLOOKUP(H491,'[2]giá mỹ từ 6.8.2025'!B:I,2,0),VLOOKUP(H491,'[2]giá ngoài mỹ 6.8.2025 (final)'!B:BP,51,0)))))</f>
        <v>62</v>
      </c>
      <c r="L491" s="106">
        <v>95.53</v>
      </c>
      <c r="M491" s="106">
        <f t="shared" si="31"/>
        <v>33.53</v>
      </c>
      <c r="N491" s="106">
        <v>95.53</v>
      </c>
      <c r="O491" s="107">
        <v>243.6</v>
      </c>
      <c r="P491" s="107">
        <v>26110</v>
      </c>
      <c r="Q491" s="107">
        <v>6360396</v>
      </c>
      <c r="R491" s="102"/>
      <c r="S491" s="108"/>
      <c r="T491" s="109" t="s">
        <v>30</v>
      </c>
      <c r="U491" s="109"/>
      <c r="V491" s="102"/>
      <c r="W491" s="109"/>
      <c r="X491" s="109"/>
      <c r="Y491" s="110" t="s">
        <v>358</v>
      </c>
      <c r="Z491" s="111" t="str">
        <f>MID(E491,4,2)</f>
        <v>CA</v>
      </c>
    </row>
    <row r="492" spans="1:26" s="111" customFormat="1" x14ac:dyDescent="0.2">
      <c r="A492" s="101">
        <v>46241</v>
      </c>
      <c r="B492" s="91" t="s">
        <v>707</v>
      </c>
      <c r="C492" s="102" t="s">
        <v>708</v>
      </c>
      <c r="D492" s="103" t="s">
        <v>26</v>
      </c>
      <c r="E492" s="91" t="s">
        <v>709</v>
      </c>
      <c r="F492" s="91" t="s">
        <v>718</v>
      </c>
      <c r="G492" s="91" t="s">
        <v>719</v>
      </c>
      <c r="H492" s="104" t="str">
        <f t="shared" si="32"/>
        <v>F5140J20</v>
      </c>
      <c r="I492" s="104"/>
      <c r="J492" s="105">
        <v>3.75</v>
      </c>
      <c r="K492" s="106">
        <f>IF(D492="CAESARSTONE LTD",VLOOKUP(H492,'[2]GIA CA'!G:H,2,0),IF(OR(D492="STONE FACINGS LIMITED",D492="NORDIA SA",D492="INVICTUS STONE COUNTERTOPS INC",D492="QUARTZTOP LLC"),VLOOKUP(H492,'[2] Giá ngoài Mỹ - SI-GR'!$B$5:$AZ$84,51,0),IF(OR(D492="HYUNDAI L&amp;C CANADA INC",D492="Hyundai L&amp; C USA LLC"),VLOOKUP(H492,'[2]GIA HS'!A:D,4,0),IF(Y492="Mỹ",VLOOKUP(H492,'[2]giá mỹ từ 6.8.2025'!B:I,2,0),VLOOKUP(H492,'[2]giá ngoài mỹ 6.8.2025 (final)'!B:BP,51,0)))))</f>
        <v>62</v>
      </c>
      <c r="L492" s="106">
        <v>94.72</v>
      </c>
      <c r="M492" s="106">
        <f t="shared" si="31"/>
        <v>32.72</v>
      </c>
      <c r="N492" s="106">
        <v>94.72</v>
      </c>
      <c r="O492" s="107">
        <v>355.2</v>
      </c>
      <c r="P492" s="107">
        <v>26110</v>
      </c>
      <c r="Q492" s="107">
        <v>9274272</v>
      </c>
      <c r="R492" s="102"/>
      <c r="S492" s="108"/>
      <c r="T492" s="109" t="s">
        <v>30</v>
      </c>
      <c r="U492" s="109"/>
      <c r="V492" s="102"/>
      <c r="W492" s="109"/>
      <c r="X492" s="109"/>
      <c r="Y492" s="110" t="s">
        <v>358</v>
      </c>
      <c r="Z492" s="111" t="str">
        <f>MID(E492,4,2)</f>
        <v>CA</v>
      </c>
    </row>
    <row r="493" spans="1:26" s="111" customFormat="1" x14ac:dyDescent="0.2">
      <c r="A493" s="101">
        <v>46241</v>
      </c>
      <c r="B493" s="91" t="s">
        <v>707</v>
      </c>
      <c r="C493" s="102" t="s">
        <v>708</v>
      </c>
      <c r="D493" s="103" t="s">
        <v>26</v>
      </c>
      <c r="E493" s="91" t="s">
        <v>709</v>
      </c>
      <c r="F493" s="91" t="s">
        <v>104</v>
      </c>
      <c r="G493" s="91" t="s">
        <v>105</v>
      </c>
      <c r="H493" s="104" t="str">
        <f t="shared" si="32"/>
        <v>C1111J20</v>
      </c>
      <c r="I493" s="104"/>
      <c r="J493" s="105">
        <v>3.13</v>
      </c>
      <c r="K493" s="106">
        <f>IF(D493="CAESARSTONE LTD",VLOOKUP(H493,'[2]GIA CA'!G:H,2,0),IF(OR(D493="STONE FACINGS LIMITED",D493="NORDIA SA",D493="INVICTUS STONE COUNTERTOPS INC",D493="QUARTZTOP LLC"),VLOOKUP(H493,'[2] Giá ngoài Mỹ - SI-GR'!$B$5:$AZ$84,51,0),IF(OR(D493="HYUNDAI L&amp;C CANADA INC",D493="Hyundai L&amp; C USA LLC"),VLOOKUP(H493,'[2]GIA HS'!A:D,4,0),IF(Y493="Mỹ",VLOOKUP(H493,'[2]giá mỹ từ 6.8.2025'!B:I,2,0),VLOOKUP(H493,'[2]giá ngoài mỹ 6.8.2025 (final)'!B:BP,51,0)))))</f>
        <v>57</v>
      </c>
      <c r="L493" s="106">
        <v>94.57</v>
      </c>
      <c r="M493" s="106">
        <f t="shared" si="31"/>
        <v>37.569999999999993</v>
      </c>
      <c r="N493" s="106">
        <v>94.57</v>
      </c>
      <c r="O493" s="107">
        <v>296</v>
      </c>
      <c r="P493" s="107">
        <v>26110</v>
      </c>
      <c r="Q493" s="107">
        <v>7728560</v>
      </c>
      <c r="R493" s="102"/>
      <c r="S493" s="108"/>
      <c r="T493" s="109" t="s">
        <v>30</v>
      </c>
      <c r="U493" s="109"/>
      <c r="V493" s="102"/>
      <c r="W493" s="109"/>
      <c r="X493" s="109"/>
      <c r="Y493" s="110" t="s">
        <v>358</v>
      </c>
      <c r="Z493" s="111" t="str">
        <f>MID(E493,4,2)</f>
        <v>CA</v>
      </c>
    </row>
    <row r="494" spans="1:26" s="111" customFormat="1" x14ac:dyDescent="0.2">
      <c r="A494" s="101">
        <v>46241</v>
      </c>
      <c r="B494" s="91" t="s">
        <v>707</v>
      </c>
      <c r="C494" s="102" t="s">
        <v>708</v>
      </c>
      <c r="D494" s="103" t="s">
        <v>26</v>
      </c>
      <c r="E494" s="91" t="s">
        <v>709</v>
      </c>
      <c r="F494" s="91" t="s">
        <v>104</v>
      </c>
      <c r="G494" s="91" t="s">
        <v>105</v>
      </c>
      <c r="H494" s="104" t="str">
        <f t="shared" si="32"/>
        <v>C1111J20</v>
      </c>
      <c r="I494" s="104"/>
      <c r="J494" s="105">
        <v>3.13</v>
      </c>
      <c r="K494" s="106">
        <f>IF(D494="CAESARSTONE LTD",VLOOKUP(H494,'[2]GIA CA'!G:H,2,0),IF(OR(D494="STONE FACINGS LIMITED",D494="NORDIA SA",D494="INVICTUS STONE COUNTERTOPS INC",D494="QUARTZTOP LLC"),VLOOKUP(H494,'[2] Giá ngoài Mỹ - SI-GR'!$B$5:$AZ$84,51,0),IF(OR(D494="HYUNDAI L&amp;C CANADA INC",D494="Hyundai L&amp; C USA LLC"),VLOOKUP(H494,'[2]GIA HS'!A:D,4,0),IF(Y494="Mỹ",VLOOKUP(H494,'[2]giá mỹ từ 6.8.2025'!B:I,2,0),VLOOKUP(H494,'[2]giá ngoài mỹ 6.8.2025 (final)'!B:BP,51,0)))))</f>
        <v>57</v>
      </c>
      <c r="L494" s="106">
        <v>94.57</v>
      </c>
      <c r="M494" s="106">
        <f t="shared" si="31"/>
        <v>37.569999999999993</v>
      </c>
      <c r="N494" s="106">
        <v>94.57</v>
      </c>
      <c r="O494" s="107">
        <v>296</v>
      </c>
      <c r="P494" s="107">
        <v>26110</v>
      </c>
      <c r="Q494" s="107">
        <v>7728560</v>
      </c>
      <c r="R494" s="102"/>
      <c r="S494" s="108"/>
      <c r="T494" s="109" t="s">
        <v>30</v>
      </c>
      <c r="U494" s="109"/>
      <c r="V494" s="102"/>
      <c r="W494" s="109"/>
      <c r="X494" s="109"/>
      <c r="Y494" s="110" t="s">
        <v>358</v>
      </c>
      <c r="Z494" s="111" t="str">
        <f>MID(E494,4,2)</f>
        <v>CA</v>
      </c>
    </row>
    <row r="495" spans="1:26" s="111" customFormat="1" x14ac:dyDescent="0.2">
      <c r="A495" s="101">
        <v>46241</v>
      </c>
      <c r="B495" s="91" t="s">
        <v>707</v>
      </c>
      <c r="C495" s="102" t="s">
        <v>708</v>
      </c>
      <c r="D495" s="103" t="s">
        <v>26</v>
      </c>
      <c r="E495" s="91" t="s">
        <v>709</v>
      </c>
      <c r="F495" s="91" t="s">
        <v>104</v>
      </c>
      <c r="G495" s="91" t="s">
        <v>105</v>
      </c>
      <c r="H495" s="104" t="str">
        <f t="shared" si="32"/>
        <v>C1111J20</v>
      </c>
      <c r="I495" s="104"/>
      <c r="J495" s="105">
        <v>3.13</v>
      </c>
      <c r="K495" s="106">
        <f>IF(D495="CAESARSTONE LTD",VLOOKUP(H495,'[2]GIA CA'!G:H,2,0),IF(OR(D495="STONE FACINGS LIMITED",D495="NORDIA SA",D495="INVICTUS STONE COUNTERTOPS INC",D495="QUARTZTOP LLC"),VLOOKUP(H495,'[2] Giá ngoài Mỹ - SI-GR'!$B$5:$AZ$84,51,0),IF(OR(D495="HYUNDAI L&amp;C CANADA INC",D495="Hyundai L&amp; C USA LLC"),VLOOKUP(H495,'[2]GIA HS'!A:D,4,0),IF(Y495="Mỹ",VLOOKUP(H495,'[2]giá mỹ từ 6.8.2025'!B:I,2,0),VLOOKUP(H495,'[2]giá ngoài mỹ 6.8.2025 (final)'!B:BP,51,0)))))</f>
        <v>57</v>
      </c>
      <c r="L495" s="106">
        <v>94.57</v>
      </c>
      <c r="M495" s="106">
        <f t="shared" si="31"/>
        <v>37.569999999999993</v>
      </c>
      <c r="N495" s="106">
        <v>94.57</v>
      </c>
      <c r="O495" s="107">
        <v>296</v>
      </c>
      <c r="P495" s="107">
        <v>26110</v>
      </c>
      <c r="Q495" s="107">
        <v>7728560</v>
      </c>
      <c r="R495" s="102"/>
      <c r="S495" s="108"/>
      <c r="T495" s="109" t="s">
        <v>30</v>
      </c>
      <c r="U495" s="109"/>
      <c r="V495" s="102"/>
      <c r="W495" s="109"/>
      <c r="X495" s="109"/>
      <c r="Y495" s="110" t="s">
        <v>358</v>
      </c>
      <c r="Z495" s="111" t="str">
        <f>MID(E495,4,2)</f>
        <v>CA</v>
      </c>
    </row>
    <row r="496" spans="1:26" s="111" customFormat="1" x14ac:dyDescent="0.2">
      <c r="A496" s="101">
        <v>46241</v>
      </c>
      <c r="B496" s="91" t="s">
        <v>707</v>
      </c>
      <c r="C496" s="102" t="s">
        <v>708</v>
      </c>
      <c r="D496" s="103" t="s">
        <v>26</v>
      </c>
      <c r="E496" s="91" t="s">
        <v>709</v>
      </c>
      <c r="F496" s="91" t="s">
        <v>720</v>
      </c>
      <c r="G496" s="91" t="s">
        <v>721</v>
      </c>
      <c r="H496" s="104" t="str">
        <f t="shared" si="32"/>
        <v>C1111J20</v>
      </c>
      <c r="I496" s="104"/>
      <c r="J496" s="105">
        <v>2.5499999999999998</v>
      </c>
      <c r="K496" s="106">
        <f>IF(D496="CAESARSTONE LTD",VLOOKUP(H496,'[2]GIA CA'!G:H,2,0),IF(OR(D496="STONE FACINGS LIMITED",D496="NORDIA SA",D496="INVICTUS STONE COUNTERTOPS INC",D496="QUARTZTOP LLC"),VLOOKUP(H496,'[2] Giá ngoài Mỹ - SI-GR'!$B$5:$AZ$84,51,0),IF(OR(D496="HYUNDAI L&amp;C CANADA INC",D496="Hyundai L&amp; C USA LLC"),VLOOKUP(H496,'[2]GIA HS'!A:D,4,0),IF(Y496="Mỹ",VLOOKUP(H496,'[2]giá mỹ từ 6.8.2025'!B:I,2,0),VLOOKUP(H496,'[2]giá ngoài mỹ 6.8.2025 (final)'!B:BP,51,0)))))</f>
        <v>57</v>
      </c>
      <c r="L496" s="106">
        <v>95.53</v>
      </c>
      <c r="M496" s="106">
        <f t="shared" si="31"/>
        <v>38.53</v>
      </c>
      <c r="N496" s="106">
        <v>95.53</v>
      </c>
      <c r="O496" s="106">
        <v>243.6</v>
      </c>
      <c r="P496" s="107">
        <v>26110</v>
      </c>
      <c r="Q496" s="107">
        <v>6360396</v>
      </c>
      <c r="R496" s="102"/>
      <c r="S496" s="108"/>
      <c r="T496" s="109" t="s">
        <v>30</v>
      </c>
      <c r="U496" s="109"/>
      <c r="V496" s="102"/>
      <c r="W496" s="109"/>
      <c r="X496" s="109"/>
      <c r="Y496" s="110" t="s">
        <v>358</v>
      </c>
      <c r="Z496" s="111" t="str">
        <f>MID(E496,4,2)</f>
        <v>CA</v>
      </c>
    </row>
    <row r="497" spans="1:26" s="111" customFormat="1" x14ac:dyDescent="0.2">
      <c r="A497" s="101">
        <v>46241</v>
      </c>
      <c r="B497" s="91" t="s">
        <v>707</v>
      </c>
      <c r="C497" s="102" t="s">
        <v>708</v>
      </c>
      <c r="D497" s="103" t="s">
        <v>26</v>
      </c>
      <c r="E497" s="91" t="s">
        <v>709</v>
      </c>
      <c r="F497" s="91" t="s">
        <v>712</v>
      </c>
      <c r="G497" s="91" t="s">
        <v>713</v>
      </c>
      <c r="H497" s="104" t="str">
        <f t="shared" si="32"/>
        <v>C6131J20</v>
      </c>
      <c r="I497" s="104"/>
      <c r="J497" s="105">
        <v>2.5499999999999998</v>
      </c>
      <c r="K497" s="106">
        <f>IF(D497="CAESARSTONE LTD",VLOOKUP(H497,'[2]GIA CA'!G:H,2,0),IF(OR(D497="STONE FACINGS LIMITED",D497="NORDIA SA",D497="INVICTUS STONE COUNTERTOPS INC",D497="QUARTZTOP LLC"),VLOOKUP(H497,'[2] Giá ngoài Mỹ - SI-GR'!$B$5:$AZ$84,51,0),IF(OR(D497="HYUNDAI L&amp;C CANADA INC",D497="Hyundai L&amp; C USA LLC"),VLOOKUP(H497,'[2]GIA HS'!A:D,4,0),IF(Y497="Mỹ",VLOOKUP(H497,'[2]giá mỹ từ 6.8.2025'!B:I,2,0),VLOOKUP(H497,'[2]giá ngoài mỹ 6.8.2025 (final)'!B:BP,51,0)))))</f>
        <v>59</v>
      </c>
      <c r="L497" s="106">
        <v>95.53</v>
      </c>
      <c r="M497" s="106">
        <f t="shared" si="31"/>
        <v>36.53</v>
      </c>
      <c r="N497" s="106">
        <v>95.53</v>
      </c>
      <c r="O497" s="107">
        <v>243.6</v>
      </c>
      <c r="P497" s="107">
        <v>26110</v>
      </c>
      <c r="Q497" s="107">
        <v>6360396</v>
      </c>
      <c r="R497" s="102"/>
      <c r="S497" s="108"/>
      <c r="T497" s="109" t="s">
        <v>30</v>
      </c>
      <c r="U497" s="109"/>
      <c r="V497" s="102"/>
      <c r="W497" s="109"/>
      <c r="X497" s="109"/>
      <c r="Y497" s="110" t="s">
        <v>358</v>
      </c>
      <c r="Z497" s="111" t="str">
        <f>MID(E497,4,2)</f>
        <v>CA</v>
      </c>
    </row>
    <row r="498" spans="1:26" s="111" customFormat="1" x14ac:dyDescent="0.2">
      <c r="A498" s="101">
        <v>46241</v>
      </c>
      <c r="B498" s="91" t="s">
        <v>707</v>
      </c>
      <c r="C498" s="102" t="s">
        <v>708</v>
      </c>
      <c r="D498" s="103" t="s">
        <v>26</v>
      </c>
      <c r="E498" s="91" t="s">
        <v>709</v>
      </c>
      <c r="F498" s="91" t="s">
        <v>110</v>
      </c>
      <c r="G498" s="91" t="s">
        <v>111</v>
      </c>
      <c r="H498" s="104" t="str">
        <f t="shared" si="32"/>
        <v>C4023J20</v>
      </c>
      <c r="I498" s="104"/>
      <c r="J498" s="105">
        <v>310.37</v>
      </c>
      <c r="K498" s="106">
        <f t="shared" ref="K498:K499" si="34">+L498</f>
        <v>59.9</v>
      </c>
      <c r="L498" s="106">
        <v>59.9</v>
      </c>
      <c r="M498" s="106">
        <f t="shared" si="31"/>
        <v>0</v>
      </c>
      <c r="N498" s="106">
        <v>59.9</v>
      </c>
      <c r="O498" s="107">
        <v>18591.12</v>
      </c>
      <c r="P498" s="107">
        <v>26110</v>
      </c>
      <c r="Q498" s="107">
        <v>485414143</v>
      </c>
      <c r="R498" s="102" t="s">
        <v>30</v>
      </c>
      <c r="S498" s="108"/>
      <c r="T498" s="109"/>
      <c r="U498" s="109"/>
      <c r="V498" s="102"/>
      <c r="W498" s="109"/>
      <c r="X498" s="109"/>
      <c r="Y498" s="110" t="s">
        <v>358</v>
      </c>
      <c r="Z498" s="111" t="str">
        <f>MID(E498,4,2)</f>
        <v>CA</v>
      </c>
    </row>
    <row r="499" spans="1:26" s="111" customFormat="1" x14ac:dyDescent="0.2">
      <c r="A499" s="101">
        <v>46241</v>
      </c>
      <c r="B499" s="91" t="s">
        <v>707</v>
      </c>
      <c r="C499" s="102" t="s">
        <v>708</v>
      </c>
      <c r="D499" s="103" t="s">
        <v>26</v>
      </c>
      <c r="E499" s="91" t="s">
        <v>709</v>
      </c>
      <c r="F499" s="91" t="s">
        <v>257</v>
      </c>
      <c r="G499" s="91" t="s">
        <v>258</v>
      </c>
      <c r="H499" s="104" t="str">
        <f t="shared" si="32"/>
        <v>C4033J20</v>
      </c>
      <c r="I499" s="104"/>
      <c r="J499" s="105">
        <v>217.8</v>
      </c>
      <c r="K499" s="106">
        <f t="shared" si="34"/>
        <v>59.9</v>
      </c>
      <c r="L499" s="106">
        <v>59.9</v>
      </c>
      <c r="M499" s="106">
        <f t="shared" si="31"/>
        <v>0</v>
      </c>
      <c r="N499" s="106">
        <v>59.9</v>
      </c>
      <c r="O499" s="106">
        <v>13046.4</v>
      </c>
      <c r="P499" s="107">
        <v>26110</v>
      </c>
      <c r="Q499" s="107">
        <v>340641504</v>
      </c>
      <c r="R499" s="102" t="s">
        <v>30</v>
      </c>
      <c r="S499" s="108"/>
      <c r="T499" s="109"/>
      <c r="U499" s="109"/>
      <c r="V499" s="102"/>
      <c r="W499" s="109"/>
      <c r="X499" s="109"/>
      <c r="Y499" s="110" t="s">
        <v>358</v>
      </c>
      <c r="Z499" s="111" t="str">
        <f>MID(E499,4,2)</f>
        <v>CA</v>
      </c>
    </row>
    <row r="500" spans="1:26" s="111" customFormat="1" x14ac:dyDescent="0.2">
      <c r="A500" s="101">
        <v>46241</v>
      </c>
      <c r="B500" s="91" t="s">
        <v>722</v>
      </c>
      <c r="C500" s="102" t="s">
        <v>723</v>
      </c>
      <c r="D500" s="103" t="s">
        <v>26</v>
      </c>
      <c r="E500" s="91" t="s">
        <v>724</v>
      </c>
      <c r="F500" s="91" t="s">
        <v>192</v>
      </c>
      <c r="G500" s="91" t="s">
        <v>193</v>
      </c>
      <c r="H500" s="104" t="str">
        <f t="shared" si="32"/>
        <v>C5212J20</v>
      </c>
      <c r="I500" s="104"/>
      <c r="J500" s="105">
        <v>3.13</v>
      </c>
      <c r="K500" s="106">
        <f>IF(D500="CAESARSTONE LTD",VLOOKUP(H500,'[2]GIA CA'!G:H,2,0),IF(OR(D500="STONE FACINGS LIMITED",D500="NORDIA SA",D500="INVICTUS STONE COUNTERTOPS INC",D500="QUARTZTOP LLC"),VLOOKUP(H500,'[2] Giá ngoài Mỹ - SI-GR'!$B$5:$AZ$84,51,0),IF(OR(D500="HYUNDAI L&amp;C CANADA INC",D500="Hyundai L&amp; C USA LLC"),VLOOKUP(H500,'[2]GIA HS'!A:D,4,0),IF(Y500="Mỹ",VLOOKUP(H500,'[2]giá mỹ từ 6.8.2025'!B:I,2,0),VLOOKUP(H500,'[2]giá ngoài mỹ 6.8.2025 (final)'!B:BP,51,0)))))</f>
        <v>59</v>
      </c>
      <c r="L500" s="106">
        <v>94.57</v>
      </c>
      <c r="M500" s="106">
        <f t="shared" si="31"/>
        <v>35.569999999999993</v>
      </c>
      <c r="N500" s="106">
        <v>94.57</v>
      </c>
      <c r="O500" s="106">
        <v>296</v>
      </c>
      <c r="P500" s="107">
        <v>26110</v>
      </c>
      <c r="Q500" s="107">
        <v>7728560</v>
      </c>
      <c r="R500" s="102"/>
      <c r="S500" s="108"/>
      <c r="T500" s="109" t="s">
        <v>30</v>
      </c>
      <c r="U500" s="109"/>
      <c r="V500" s="102"/>
      <c r="W500" s="109"/>
      <c r="X500" s="109"/>
      <c r="Y500" s="110" t="s">
        <v>358</v>
      </c>
      <c r="Z500" s="111" t="str">
        <f>MID(E500,4,2)</f>
        <v>CA</v>
      </c>
    </row>
    <row r="501" spans="1:26" s="111" customFormat="1" x14ac:dyDescent="0.2">
      <c r="A501" s="101">
        <v>46241</v>
      </c>
      <c r="B501" s="91" t="s">
        <v>722</v>
      </c>
      <c r="C501" s="102" t="s">
        <v>723</v>
      </c>
      <c r="D501" s="103" t="s">
        <v>26</v>
      </c>
      <c r="E501" s="91" t="s">
        <v>724</v>
      </c>
      <c r="F501" s="91" t="s">
        <v>192</v>
      </c>
      <c r="G501" s="91" t="s">
        <v>193</v>
      </c>
      <c r="H501" s="104" t="str">
        <f t="shared" si="32"/>
        <v>C5212J20</v>
      </c>
      <c r="I501" s="104"/>
      <c r="J501" s="105">
        <v>3.13</v>
      </c>
      <c r="K501" s="106">
        <f>IF(D501="CAESARSTONE LTD",VLOOKUP(H501,'[2]GIA CA'!G:H,2,0),IF(OR(D501="STONE FACINGS LIMITED",D501="NORDIA SA",D501="INVICTUS STONE COUNTERTOPS INC",D501="QUARTZTOP LLC"),VLOOKUP(H501,'[2] Giá ngoài Mỹ - SI-GR'!$B$5:$AZ$84,51,0),IF(OR(D501="HYUNDAI L&amp;C CANADA INC",D501="Hyundai L&amp; C USA LLC"),VLOOKUP(H501,'[2]GIA HS'!A:D,4,0),IF(Y501="Mỹ",VLOOKUP(H501,'[2]giá mỹ từ 6.8.2025'!B:I,2,0),VLOOKUP(H501,'[2]giá ngoài mỹ 6.8.2025 (final)'!B:BP,51,0)))))</f>
        <v>59</v>
      </c>
      <c r="L501" s="106">
        <v>94.57</v>
      </c>
      <c r="M501" s="106">
        <f t="shared" si="31"/>
        <v>35.569999999999993</v>
      </c>
      <c r="N501" s="106">
        <v>94.57</v>
      </c>
      <c r="O501" s="107">
        <v>296</v>
      </c>
      <c r="P501" s="107">
        <v>26110</v>
      </c>
      <c r="Q501" s="107">
        <v>7728560</v>
      </c>
      <c r="R501" s="102"/>
      <c r="S501" s="108"/>
      <c r="T501" s="109" t="s">
        <v>30</v>
      </c>
      <c r="U501" s="109"/>
      <c r="V501" s="102"/>
      <c r="W501" s="109"/>
      <c r="X501" s="109"/>
      <c r="Y501" s="110" t="s">
        <v>358</v>
      </c>
      <c r="Z501" s="111" t="str">
        <f>MID(E501,4,2)</f>
        <v>CA</v>
      </c>
    </row>
    <row r="502" spans="1:26" s="111" customFormat="1" x14ac:dyDescent="0.2">
      <c r="A502" s="101">
        <v>46241</v>
      </c>
      <c r="B502" s="91" t="s">
        <v>722</v>
      </c>
      <c r="C502" s="102" t="s">
        <v>723</v>
      </c>
      <c r="D502" s="103" t="s">
        <v>26</v>
      </c>
      <c r="E502" s="91" t="s">
        <v>724</v>
      </c>
      <c r="F502" s="91" t="s">
        <v>192</v>
      </c>
      <c r="G502" s="91" t="s">
        <v>193</v>
      </c>
      <c r="H502" s="104" t="str">
        <f t="shared" si="32"/>
        <v>C5212J20</v>
      </c>
      <c r="I502" s="104"/>
      <c r="J502" s="105">
        <v>3.13</v>
      </c>
      <c r="K502" s="106">
        <f>IF(D502="CAESARSTONE LTD",VLOOKUP(H502,'[2]GIA CA'!G:H,2,0),IF(OR(D502="STONE FACINGS LIMITED",D502="NORDIA SA",D502="INVICTUS STONE COUNTERTOPS INC",D502="QUARTZTOP LLC"),VLOOKUP(H502,'[2] Giá ngoài Mỹ - SI-GR'!$B$5:$AZ$84,51,0),IF(OR(D502="HYUNDAI L&amp;C CANADA INC",D502="Hyundai L&amp; C USA LLC"),VLOOKUP(H502,'[2]GIA HS'!A:D,4,0),IF(Y502="Mỹ",VLOOKUP(H502,'[2]giá mỹ từ 6.8.2025'!B:I,2,0),VLOOKUP(H502,'[2]giá ngoài mỹ 6.8.2025 (final)'!B:BP,51,0)))))</f>
        <v>59</v>
      </c>
      <c r="L502" s="106">
        <v>94.57</v>
      </c>
      <c r="M502" s="106">
        <f t="shared" si="31"/>
        <v>35.569999999999993</v>
      </c>
      <c r="N502" s="106">
        <v>94.57</v>
      </c>
      <c r="O502" s="107">
        <v>296</v>
      </c>
      <c r="P502" s="107">
        <v>26110</v>
      </c>
      <c r="Q502" s="107">
        <v>7728560</v>
      </c>
      <c r="R502" s="102"/>
      <c r="S502" s="108"/>
      <c r="T502" s="109" t="s">
        <v>30</v>
      </c>
      <c r="U502" s="109"/>
      <c r="V502" s="102"/>
      <c r="W502" s="109"/>
      <c r="X502" s="109"/>
      <c r="Y502" s="110" t="s">
        <v>358</v>
      </c>
      <c r="Z502" s="111" t="str">
        <f>MID(E502,4,2)</f>
        <v>CA</v>
      </c>
    </row>
    <row r="503" spans="1:26" s="111" customFormat="1" x14ac:dyDescent="0.2">
      <c r="A503" s="101">
        <v>46241</v>
      </c>
      <c r="B503" s="91" t="s">
        <v>722</v>
      </c>
      <c r="C503" s="102" t="s">
        <v>723</v>
      </c>
      <c r="D503" s="103" t="s">
        <v>26</v>
      </c>
      <c r="E503" s="91" t="s">
        <v>724</v>
      </c>
      <c r="F503" s="91" t="s">
        <v>186</v>
      </c>
      <c r="G503" s="91" t="s">
        <v>187</v>
      </c>
      <c r="H503" s="104" t="str">
        <f t="shared" si="32"/>
        <v>C6131J20</v>
      </c>
      <c r="I503" s="104"/>
      <c r="J503" s="105">
        <v>3.13</v>
      </c>
      <c r="K503" s="106">
        <f>IF(D503="CAESARSTONE LTD",VLOOKUP(H503,'[2]GIA CA'!G:H,2,0),IF(OR(D503="STONE FACINGS LIMITED",D503="NORDIA SA",D503="INVICTUS STONE COUNTERTOPS INC",D503="QUARTZTOP LLC"),VLOOKUP(H503,'[2] Giá ngoài Mỹ - SI-GR'!$B$5:$AZ$84,51,0),IF(OR(D503="HYUNDAI L&amp;C CANADA INC",D503="Hyundai L&amp; C USA LLC"),VLOOKUP(H503,'[2]GIA HS'!A:D,4,0),IF(Y503="Mỹ",VLOOKUP(H503,'[2]giá mỹ từ 6.8.2025'!B:I,2,0),VLOOKUP(H503,'[2]giá ngoài mỹ 6.8.2025 (final)'!B:BP,51,0)))))</f>
        <v>59</v>
      </c>
      <c r="L503" s="106">
        <v>94.57</v>
      </c>
      <c r="M503" s="106">
        <f t="shared" si="31"/>
        <v>35.569999999999993</v>
      </c>
      <c r="N503" s="106">
        <v>94.57</v>
      </c>
      <c r="O503" s="107">
        <v>296</v>
      </c>
      <c r="P503" s="107">
        <v>26110</v>
      </c>
      <c r="Q503" s="107">
        <v>7728560</v>
      </c>
      <c r="R503" s="102"/>
      <c r="S503" s="108"/>
      <c r="T503" s="109" t="s">
        <v>30</v>
      </c>
      <c r="U503" s="109"/>
      <c r="V503" s="102"/>
      <c r="W503" s="109"/>
      <c r="X503" s="109"/>
      <c r="Y503" s="110" t="s">
        <v>358</v>
      </c>
      <c r="Z503" s="111" t="str">
        <f>MID(E503,4,2)</f>
        <v>CA</v>
      </c>
    </row>
    <row r="504" spans="1:26" s="111" customFormat="1" x14ac:dyDescent="0.2">
      <c r="A504" s="101">
        <v>46241</v>
      </c>
      <c r="B504" s="91" t="s">
        <v>722</v>
      </c>
      <c r="C504" s="102" t="s">
        <v>723</v>
      </c>
      <c r="D504" s="103" t="s">
        <v>26</v>
      </c>
      <c r="E504" s="91" t="s">
        <v>724</v>
      </c>
      <c r="F504" s="91" t="s">
        <v>253</v>
      </c>
      <c r="G504" s="91" t="s">
        <v>254</v>
      </c>
      <c r="H504" s="104" t="str">
        <f t="shared" si="32"/>
        <v>F5144J20</v>
      </c>
      <c r="I504" s="104"/>
      <c r="J504" s="105">
        <v>3.13</v>
      </c>
      <c r="K504" s="106">
        <f>IF(D504="CAESARSTONE LTD",VLOOKUP(H504,'[2]GIA CA'!G:H,2,0),IF(OR(D504="STONE FACINGS LIMITED",D504="NORDIA SA",D504="INVICTUS STONE COUNTERTOPS INC",D504="QUARTZTOP LLC"),VLOOKUP(H504,'[2] Giá ngoài Mỹ - SI-GR'!$B$5:$AZ$84,51,0),IF(OR(D504="HYUNDAI L&amp;C CANADA INC",D504="Hyundai L&amp; C USA LLC"),VLOOKUP(H504,'[2]GIA HS'!A:D,4,0),IF(Y504="Mỹ",VLOOKUP(H504,'[2]giá mỹ từ 6.8.2025'!B:I,2,0),VLOOKUP(H504,'[2]giá ngoài mỹ 6.8.2025 (final)'!B:BP,51,0)))))</f>
        <v>62</v>
      </c>
      <c r="L504" s="106">
        <v>94.57</v>
      </c>
      <c r="M504" s="106">
        <f t="shared" si="31"/>
        <v>32.569999999999993</v>
      </c>
      <c r="N504" s="106">
        <v>94.57</v>
      </c>
      <c r="O504" s="106">
        <v>296</v>
      </c>
      <c r="P504" s="107">
        <v>26110</v>
      </c>
      <c r="Q504" s="107">
        <v>7728560</v>
      </c>
      <c r="R504" s="102"/>
      <c r="S504" s="108"/>
      <c r="T504" s="109" t="s">
        <v>30</v>
      </c>
      <c r="U504" s="109"/>
      <c r="V504" s="102"/>
      <c r="W504" s="109"/>
      <c r="X504" s="109"/>
      <c r="Y504" s="110" t="s">
        <v>358</v>
      </c>
      <c r="Z504" s="111" t="str">
        <f>MID(E504,4,2)</f>
        <v>CA</v>
      </c>
    </row>
    <row r="505" spans="1:26" s="111" customFormat="1" x14ac:dyDescent="0.2">
      <c r="A505" s="101">
        <v>46241</v>
      </c>
      <c r="B505" s="91" t="s">
        <v>722</v>
      </c>
      <c r="C505" s="102" t="s">
        <v>723</v>
      </c>
      <c r="D505" s="103" t="s">
        <v>26</v>
      </c>
      <c r="E505" s="91" t="s">
        <v>724</v>
      </c>
      <c r="F505" s="91" t="s">
        <v>253</v>
      </c>
      <c r="G505" s="91" t="s">
        <v>254</v>
      </c>
      <c r="H505" s="104" t="str">
        <f t="shared" si="32"/>
        <v>F5144J20</v>
      </c>
      <c r="I505" s="104"/>
      <c r="J505" s="105">
        <v>3.13</v>
      </c>
      <c r="K505" s="106">
        <f>IF(D505="CAESARSTONE LTD",VLOOKUP(H505,'[2]GIA CA'!G:H,2,0),IF(OR(D505="STONE FACINGS LIMITED",D505="NORDIA SA",D505="INVICTUS STONE COUNTERTOPS INC",D505="QUARTZTOP LLC"),VLOOKUP(H505,'[2] Giá ngoài Mỹ - SI-GR'!$B$5:$AZ$84,51,0),IF(OR(D505="HYUNDAI L&amp;C CANADA INC",D505="Hyundai L&amp; C USA LLC"),VLOOKUP(H505,'[2]GIA HS'!A:D,4,0),IF(Y505="Mỹ",VLOOKUP(H505,'[2]giá mỹ từ 6.8.2025'!B:I,2,0),VLOOKUP(H505,'[2]giá ngoài mỹ 6.8.2025 (final)'!B:BP,51,0)))))</f>
        <v>62</v>
      </c>
      <c r="L505" s="106">
        <v>94.57</v>
      </c>
      <c r="M505" s="106">
        <f t="shared" si="31"/>
        <v>32.569999999999993</v>
      </c>
      <c r="N505" s="106">
        <v>94.57</v>
      </c>
      <c r="O505" s="106">
        <v>296</v>
      </c>
      <c r="P505" s="107">
        <v>26110</v>
      </c>
      <c r="Q505" s="107">
        <v>7728560</v>
      </c>
      <c r="R505" s="102"/>
      <c r="S505" s="108"/>
      <c r="T505" s="109" t="s">
        <v>30</v>
      </c>
      <c r="U505" s="109"/>
      <c r="V505" s="102"/>
      <c r="W505" s="109"/>
      <c r="X505" s="109"/>
      <c r="Y505" s="110" t="s">
        <v>358</v>
      </c>
      <c r="Z505" s="111" t="str">
        <f>MID(E505,4,2)</f>
        <v>CA</v>
      </c>
    </row>
    <row r="506" spans="1:26" s="111" customFormat="1" x14ac:dyDescent="0.2">
      <c r="A506" s="101">
        <v>46241</v>
      </c>
      <c r="B506" s="91" t="s">
        <v>722</v>
      </c>
      <c r="C506" s="102" t="s">
        <v>723</v>
      </c>
      <c r="D506" s="103" t="s">
        <v>26</v>
      </c>
      <c r="E506" s="91" t="s">
        <v>724</v>
      </c>
      <c r="F506" s="91" t="s">
        <v>253</v>
      </c>
      <c r="G506" s="91" t="s">
        <v>254</v>
      </c>
      <c r="H506" s="104" t="str">
        <f t="shared" si="32"/>
        <v>F5144J20</v>
      </c>
      <c r="I506" s="104"/>
      <c r="J506" s="105">
        <v>3.13</v>
      </c>
      <c r="K506" s="106">
        <f>IF(D506="CAESARSTONE LTD",VLOOKUP(H506,'[2]GIA CA'!G:H,2,0),IF(OR(D506="STONE FACINGS LIMITED",D506="NORDIA SA",D506="INVICTUS STONE COUNTERTOPS INC",D506="QUARTZTOP LLC"),VLOOKUP(H506,'[2] Giá ngoài Mỹ - SI-GR'!$B$5:$AZ$84,51,0),IF(OR(D506="HYUNDAI L&amp;C CANADA INC",D506="Hyundai L&amp; C USA LLC"),VLOOKUP(H506,'[2]GIA HS'!A:D,4,0),IF(Y506="Mỹ",VLOOKUP(H506,'[2]giá mỹ từ 6.8.2025'!B:I,2,0),VLOOKUP(H506,'[2]giá ngoài mỹ 6.8.2025 (final)'!B:BP,51,0)))))</f>
        <v>62</v>
      </c>
      <c r="L506" s="106">
        <v>94.57</v>
      </c>
      <c r="M506" s="106">
        <f t="shared" si="31"/>
        <v>32.569999999999993</v>
      </c>
      <c r="N506" s="106">
        <v>94.57</v>
      </c>
      <c r="O506" s="106">
        <v>296</v>
      </c>
      <c r="P506" s="107">
        <v>26110</v>
      </c>
      <c r="Q506" s="107">
        <v>7728560</v>
      </c>
      <c r="R506" s="102"/>
      <c r="S506" s="108"/>
      <c r="T506" s="109" t="s">
        <v>30</v>
      </c>
      <c r="U506" s="109"/>
      <c r="V506" s="102"/>
      <c r="W506" s="109"/>
      <c r="X506" s="109"/>
      <c r="Y506" s="110" t="s">
        <v>358</v>
      </c>
      <c r="Z506" s="111" t="str">
        <f>MID(E506,4,2)</f>
        <v>CA</v>
      </c>
    </row>
    <row r="507" spans="1:26" s="111" customFormat="1" x14ac:dyDescent="0.2">
      <c r="A507" s="101">
        <v>46241</v>
      </c>
      <c r="B507" s="91" t="s">
        <v>722</v>
      </c>
      <c r="C507" s="102" t="s">
        <v>723</v>
      </c>
      <c r="D507" s="103" t="s">
        <v>26</v>
      </c>
      <c r="E507" s="91" t="s">
        <v>724</v>
      </c>
      <c r="F507" s="91" t="s">
        <v>110</v>
      </c>
      <c r="G507" s="91" t="s">
        <v>111</v>
      </c>
      <c r="H507" s="104" t="str">
        <f t="shared" si="32"/>
        <v>C4023J20</v>
      </c>
      <c r="I507" s="104"/>
      <c r="J507" s="105">
        <v>441.05</v>
      </c>
      <c r="K507" s="106">
        <f>+L507</f>
        <v>59.9</v>
      </c>
      <c r="L507" s="106">
        <v>59.9</v>
      </c>
      <c r="M507" s="106">
        <f t="shared" si="31"/>
        <v>0</v>
      </c>
      <c r="N507" s="106">
        <v>59.9</v>
      </c>
      <c r="O507" s="106">
        <v>26418.959999999999</v>
      </c>
      <c r="P507" s="107">
        <v>26110</v>
      </c>
      <c r="Q507" s="107">
        <v>689799046</v>
      </c>
      <c r="R507" s="102" t="s">
        <v>30</v>
      </c>
      <c r="S507" s="108"/>
      <c r="T507" s="109"/>
      <c r="U507" s="109"/>
      <c r="V507" s="102"/>
      <c r="W507" s="109"/>
      <c r="X507" s="109"/>
      <c r="Y507" s="110" t="s">
        <v>358</v>
      </c>
      <c r="Z507" s="111" t="str">
        <f>MID(E507,4,2)</f>
        <v>CA</v>
      </c>
    </row>
    <row r="508" spans="1:26" s="111" customFormat="1" x14ac:dyDescent="0.2">
      <c r="A508" s="101">
        <v>46241</v>
      </c>
      <c r="B508" s="91" t="s">
        <v>722</v>
      </c>
      <c r="C508" s="102" t="s">
        <v>723</v>
      </c>
      <c r="D508" s="103" t="s">
        <v>26</v>
      </c>
      <c r="E508" s="91" t="s">
        <v>724</v>
      </c>
      <c r="F508" s="91" t="s">
        <v>725</v>
      </c>
      <c r="G508" s="91" t="s">
        <v>726</v>
      </c>
      <c r="H508" s="104" t="str">
        <f t="shared" si="32"/>
        <v>C5151J13</v>
      </c>
      <c r="I508" s="104"/>
      <c r="J508" s="105">
        <v>16.34</v>
      </c>
      <c r="K508" s="106">
        <f>IF(D508="CAESARSTONE LTD",VLOOKUP(H508,'[2]GIA CA'!G:H,2,0),IF(OR(D508="STONE FACINGS LIMITED",D508="NORDIA SA",D508="INVICTUS STONE COUNTERTOPS INC",D508="QUARTZTOP LLC"),VLOOKUP(H508,'[2] Giá ngoài Mỹ - SI-GR'!$B$5:$AZ$84,51,0),IF(OR(D508="HYUNDAI L&amp;C CANADA INC",D508="Hyundai L&amp; C USA LLC"),VLOOKUP(H508,'[2]GIA HS'!A:D,4,0),IF(Y508="Mỹ",VLOOKUP(H508,'[2]giá mỹ từ 6.8.2025'!B:I,2,0),VLOOKUP(H508,'[2]giá ngoài mỹ 6.8.2025 (final)'!B:BP,51,0)))))</f>
        <v>55.25</v>
      </c>
      <c r="L508" s="106">
        <v>55.23</v>
      </c>
      <c r="M508" s="106">
        <f t="shared" si="31"/>
        <v>-2.0000000000003126E-2</v>
      </c>
      <c r="N508" s="106">
        <v>55.23</v>
      </c>
      <c r="O508" s="106">
        <v>902.52</v>
      </c>
      <c r="P508" s="107">
        <v>26110</v>
      </c>
      <c r="Q508" s="107">
        <v>23564797</v>
      </c>
      <c r="R508" s="102" t="s">
        <v>30</v>
      </c>
      <c r="S508" s="108"/>
      <c r="T508" s="109"/>
      <c r="U508" s="109"/>
      <c r="V508" s="102"/>
      <c r="W508" s="109"/>
      <c r="X508" s="109"/>
      <c r="Y508" s="110" t="s">
        <v>358</v>
      </c>
      <c r="Z508" s="111" t="str">
        <f>MID(E508,4,2)</f>
        <v>CA</v>
      </c>
    </row>
    <row r="509" spans="1:26" s="111" customFormat="1" x14ac:dyDescent="0.2">
      <c r="A509" s="101">
        <v>46241</v>
      </c>
      <c r="B509" s="91" t="s">
        <v>722</v>
      </c>
      <c r="C509" s="102" t="s">
        <v>723</v>
      </c>
      <c r="D509" s="103" t="s">
        <v>26</v>
      </c>
      <c r="E509" s="91" t="s">
        <v>724</v>
      </c>
      <c r="F509" s="91" t="s">
        <v>727</v>
      </c>
      <c r="G509" s="91" t="s">
        <v>728</v>
      </c>
      <c r="H509" s="104" t="str">
        <f t="shared" si="32"/>
        <v>C5212J20</v>
      </c>
      <c r="I509" s="104"/>
      <c r="J509" s="105">
        <v>16.34</v>
      </c>
      <c r="K509" s="106">
        <f>IF(D509="CAESARSTONE LTD",VLOOKUP(H509,'[2]GIA CA'!G:H,2,0),IF(OR(D509="STONE FACINGS LIMITED",D509="NORDIA SA",D509="INVICTUS STONE COUNTERTOPS INC",D509="QUARTZTOP LLC"),VLOOKUP(H509,'[2] Giá ngoài Mỹ - SI-GR'!$B$5:$AZ$84,51,0),IF(OR(D509="HYUNDAI L&amp;C CANADA INC",D509="Hyundai L&amp; C USA LLC"),VLOOKUP(H509,'[2]GIA HS'!A:D,4,0),IF(Y509="Mỹ",VLOOKUP(H509,'[2]giá mỹ từ 6.8.2025'!B:I,2,0),VLOOKUP(H509,'[2]giá ngoài mỹ 6.8.2025 (final)'!B:BP,51,0)))))</f>
        <v>59</v>
      </c>
      <c r="L509" s="106">
        <v>61.98</v>
      </c>
      <c r="M509" s="106">
        <f t="shared" si="31"/>
        <v>2.9799999999999969</v>
      </c>
      <c r="N509" s="106">
        <v>61.98</v>
      </c>
      <c r="O509" s="106">
        <v>1012.77</v>
      </c>
      <c r="P509" s="107">
        <v>26110</v>
      </c>
      <c r="Q509" s="107">
        <v>26443425</v>
      </c>
      <c r="R509" s="102" t="s">
        <v>30</v>
      </c>
      <c r="S509" s="108"/>
      <c r="T509" s="109"/>
      <c r="U509" s="109"/>
      <c r="V509" s="102"/>
      <c r="W509" s="109"/>
      <c r="X509" s="109"/>
      <c r="Y509" s="110" t="s">
        <v>358</v>
      </c>
      <c r="Z509" s="111" t="str">
        <f>MID(E509,4,2)</f>
        <v>CA</v>
      </c>
    </row>
    <row r="510" spans="1:26" s="111" customFormat="1" x14ac:dyDescent="0.2">
      <c r="A510" s="101">
        <v>46241</v>
      </c>
      <c r="B510" s="91" t="s">
        <v>722</v>
      </c>
      <c r="C510" s="102" t="s">
        <v>723</v>
      </c>
      <c r="D510" s="103" t="s">
        <v>26</v>
      </c>
      <c r="E510" s="91" t="s">
        <v>724</v>
      </c>
      <c r="F510" s="91" t="s">
        <v>379</v>
      </c>
      <c r="G510" s="91" t="s">
        <v>126</v>
      </c>
      <c r="H510" s="104" t="str">
        <f t="shared" si="32"/>
        <v>C6046J20</v>
      </c>
      <c r="I510" s="104"/>
      <c r="J510" s="105">
        <v>54.45</v>
      </c>
      <c r="K510" s="106">
        <f>IF(D510="CAESARSTONE LTD",VLOOKUP(H510,'[2]GIA CA'!G:H,2,0),IF(OR(D510="STONE FACINGS LIMITED",D510="NORDIA SA",D510="INVICTUS STONE COUNTERTOPS INC",D510="QUARTZTOP LLC"),VLOOKUP(H510,'[2] Giá ngoài Mỹ - SI-GR'!$B$5:$AZ$84,51,0),IF(OR(D510="HYUNDAI L&amp;C CANADA INC",D510="Hyundai L&amp; C USA LLC"),VLOOKUP(H510,'[2]GIA HS'!A:D,4,0),IF(Y510="Mỹ",VLOOKUP(H510,'[2]giá mỹ từ 6.8.2025'!B:I,2,0),VLOOKUP(H510,'[2]giá ngoài mỹ 6.8.2025 (final)'!B:BP,51,0)))))</f>
        <v>59</v>
      </c>
      <c r="L510" s="106">
        <v>62</v>
      </c>
      <c r="M510" s="106">
        <f t="shared" si="31"/>
        <v>3</v>
      </c>
      <c r="N510" s="106">
        <v>62</v>
      </c>
      <c r="O510" s="107">
        <v>3375.9</v>
      </c>
      <c r="P510" s="107">
        <v>26110</v>
      </c>
      <c r="Q510" s="107">
        <v>88144749</v>
      </c>
      <c r="R510" s="102" t="s">
        <v>30</v>
      </c>
      <c r="S510" s="108"/>
      <c r="T510" s="109"/>
      <c r="U510" s="109"/>
      <c r="V510" s="102"/>
      <c r="W510" s="109"/>
      <c r="X510" s="109"/>
      <c r="Y510" s="110" t="s">
        <v>358</v>
      </c>
      <c r="Z510" s="111" t="str">
        <f>MID(E510,4,2)</f>
        <v>CA</v>
      </c>
    </row>
    <row r="511" spans="1:26" s="111" customFormat="1" x14ac:dyDescent="0.2">
      <c r="A511" s="101">
        <v>46241</v>
      </c>
      <c r="B511" s="91" t="s">
        <v>729</v>
      </c>
      <c r="C511" s="102" t="s">
        <v>730</v>
      </c>
      <c r="D511" s="103" t="s">
        <v>26</v>
      </c>
      <c r="E511" s="91" t="s">
        <v>731</v>
      </c>
      <c r="F511" s="91" t="s">
        <v>184</v>
      </c>
      <c r="G511" s="91" t="s">
        <v>185</v>
      </c>
      <c r="H511" s="104" t="str">
        <f t="shared" si="32"/>
        <v>C5100J20</v>
      </c>
      <c r="I511" s="104"/>
      <c r="J511" s="105">
        <v>3.75</v>
      </c>
      <c r="K511" s="106">
        <f>IF(D511="CAESARSTONE LTD",VLOOKUP(H511,'[2]GIA CA'!G:H,2,0),IF(OR(D511="STONE FACINGS LIMITED",D511="NORDIA SA",D511="INVICTUS STONE COUNTERTOPS INC",D511="QUARTZTOP LLC"),VLOOKUP(H511,'[2] Giá ngoài Mỹ - SI-GR'!$B$5:$AZ$84,51,0),IF(OR(D511="HYUNDAI L&amp;C CANADA INC",D511="Hyundai L&amp; C USA LLC"),VLOOKUP(H511,'[2]GIA HS'!A:D,4,0),IF(Y511="Mỹ",VLOOKUP(H511,'[2]giá mỹ từ 6.8.2025'!B:I,2,0),VLOOKUP(H511,'[2]giá ngoài mỹ 6.8.2025 (final)'!B:BP,51,0)))))</f>
        <v>59</v>
      </c>
      <c r="L511" s="106">
        <v>94.72</v>
      </c>
      <c r="M511" s="106">
        <f t="shared" si="31"/>
        <v>35.72</v>
      </c>
      <c r="N511" s="106">
        <v>94.72</v>
      </c>
      <c r="O511" s="107">
        <v>355.2</v>
      </c>
      <c r="P511" s="107">
        <v>26110</v>
      </c>
      <c r="Q511" s="107">
        <v>9274272</v>
      </c>
      <c r="R511" s="102"/>
      <c r="S511" s="108"/>
      <c r="T511" s="109" t="s">
        <v>30</v>
      </c>
      <c r="U511" s="109"/>
      <c r="V511" s="102"/>
      <c r="W511" s="109"/>
      <c r="X511" s="109"/>
      <c r="Y511" s="110" t="s">
        <v>358</v>
      </c>
      <c r="Z511" s="111" t="str">
        <f>MID(E511,4,2)</f>
        <v>CA</v>
      </c>
    </row>
    <row r="512" spans="1:26" s="111" customFormat="1" x14ac:dyDescent="0.2">
      <c r="A512" s="101">
        <v>46241</v>
      </c>
      <c r="B512" s="91" t="s">
        <v>729</v>
      </c>
      <c r="C512" s="102" t="s">
        <v>730</v>
      </c>
      <c r="D512" s="103" t="s">
        <v>26</v>
      </c>
      <c r="E512" s="91" t="s">
        <v>731</v>
      </c>
      <c r="F512" s="91" t="s">
        <v>732</v>
      </c>
      <c r="G512" s="91" t="s">
        <v>733</v>
      </c>
      <c r="H512" s="104" t="str">
        <f t="shared" si="32"/>
        <v>C5212J20</v>
      </c>
      <c r="I512" s="104"/>
      <c r="J512" s="105">
        <v>5</v>
      </c>
      <c r="K512" s="106">
        <f>IF(D512="CAESARSTONE LTD",VLOOKUP(H512,'[2]GIA CA'!G:H,2,0),IF(OR(D512="STONE FACINGS LIMITED",D512="NORDIA SA",D512="INVICTUS STONE COUNTERTOPS INC",D512="QUARTZTOP LLC"),VLOOKUP(H512,'[2] Giá ngoài Mỹ - SI-GR'!$B$5:$AZ$84,51,0),IF(OR(D512="HYUNDAI L&amp;C CANADA INC",D512="Hyundai L&amp; C USA LLC"),VLOOKUP(H512,'[2]GIA HS'!A:D,4,0),IF(Y512="Mỹ",VLOOKUP(H512,'[2]giá mỹ từ 6.8.2025'!B:I,2,0),VLOOKUP(H512,'[2]giá ngoài mỹ 6.8.2025 (final)'!B:BP,51,0)))))</f>
        <v>59</v>
      </c>
      <c r="L512" s="106">
        <v>94.72</v>
      </c>
      <c r="M512" s="106">
        <f t="shared" si="31"/>
        <v>35.72</v>
      </c>
      <c r="N512" s="106">
        <v>94.72</v>
      </c>
      <c r="O512" s="107">
        <v>473.6</v>
      </c>
      <c r="P512" s="107">
        <v>26110</v>
      </c>
      <c r="Q512" s="107">
        <v>12365696</v>
      </c>
      <c r="R512" s="102"/>
      <c r="S512" s="108"/>
      <c r="T512" s="109" t="s">
        <v>30</v>
      </c>
      <c r="U512" s="109"/>
      <c r="V512" s="102"/>
      <c r="W512" s="109"/>
      <c r="X512" s="109"/>
      <c r="Y512" s="110" t="s">
        <v>358</v>
      </c>
      <c r="Z512" s="111" t="str">
        <f>MID(E512,4,2)</f>
        <v>CA</v>
      </c>
    </row>
    <row r="513" spans="1:26" s="111" customFormat="1" x14ac:dyDescent="0.2">
      <c r="A513" s="101">
        <v>46241</v>
      </c>
      <c r="B513" s="91" t="s">
        <v>729</v>
      </c>
      <c r="C513" s="102" t="s">
        <v>730</v>
      </c>
      <c r="D513" s="103" t="s">
        <v>26</v>
      </c>
      <c r="E513" s="91" t="s">
        <v>731</v>
      </c>
      <c r="F513" s="91" t="s">
        <v>732</v>
      </c>
      <c r="G513" s="91" t="s">
        <v>733</v>
      </c>
      <c r="H513" s="104" t="str">
        <f t="shared" si="32"/>
        <v>C5212J20</v>
      </c>
      <c r="I513" s="104"/>
      <c r="J513" s="105">
        <v>5</v>
      </c>
      <c r="K513" s="106">
        <f>IF(D513="CAESARSTONE LTD",VLOOKUP(H513,'[2]GIA CA'!G:H,2,0),IF(OR(D513="STONE FACINGS LIMITED",D513="NORDIA SA",D513="INVICTUS STONE COUNTERTOPS INC",D513="QUARTZTOP LLC"),VLOOKUP(H513,'[2] Giá ngoài Mỹ - SI-GR'!$B$5:$AZ$84,51,0),IF(OR(D513="HYUNDAI L&amp;C CANADA INC",D513="Hyundai L&amp; C USA LLC"),VLOOKUP(H513,'[2]GIA HS'!A:D,4,0),IF(Y513="Mỹ",VLOOKUP(H513,'[2]giá mỹ từ 6.8.2025'!B:I,2,0),VLOOKUP(H513,'[2]giá ngoài mỹ 6.8.2025 (final)'!B:BP,51,0)))))</f>
        <v>59</v>
      </c>
      <c r="L513" s="106">
        <v>94.72</v>
      </c>
      <c r="M513" s="106">
        <f t="shared" si="31"/>
        <v>35.72</v>
      </c>
      <c r="N513" s="106">
        <v>94.72</v>
      </c>
      <c r="O513" s="107">
        <v>473.6</v>
      </c>
      <c r="P513" s="107">
        <v>26110</v>
      </c>
      <c r="Q513" s="107">
        <v>12365696</v>
      </c>
      <c r="R513" s="102"/>
      <c r="S513" s="108"/>
      <c r="T513" s="109" t="s">
        <v>30</v>
      </c>
      <c r="U513" s="109"/>
      <c r="V513" s="102"/>
      <c r="W513" s="109"/>
      <c r="X513" s="109"/>
      <c r="Y513" s="110" t="s">
        <v>358</v>
      </c>
      <c r="Z513" s="111" t="str">
        <f>MID(E513,4,2)</f>
        <v>CA</v>
      </c>
    </row>
    <row r="514" spans="1:26" s="111" customFormat="1" x14ac:dyDescent="0.2">
      <c r="A514" s="101">
        <v>46241</v>
      </c>
      <c r="B514" s="91" t="s">
        <v>729</v>
      </c>
      <c r="C514" s="102" t="s">
        <v>730</v>
      </c>
      <c r="D514" s="103" t="s">
        <v>26</v>
      </c>
      <c r="E514" s="91" t="s">
        <v>731</v>
      </c>
      <c r="F514" s="91" t="s">
        <v>336</v>
      </c>
      <c r="G514" s="91" t="s">
        <v>337</v>
      </c>
      <c r="H514" s="104" t="str">
        <f t="shared" si="32"/>
        <v>C6046J20</v>
      </c>
      <c r="I514" s="104"/>
      <c r="J514" s="105">
        <v>2.19</v>
      </c>
      <c r="K514" s="106">
        <f>IF(D514="CAESARSTONE LTD",VLOOKUP(H514,'[2]GIA CA'!G:H,2,0),IF(OR(D514="STONE FACINGS LIMITED",D514="NORDIA SA",D514="INVICTUS STONE COUNTERTOPS INC",D514="QUARTZTOP LLC"),VLOOKUP(H514,'[2] Giá ngoài Mỹ - SI-GR'!$B$5:$AZ$84,51,0),IF(OR(D514="HYUNDAI L&amp;C CANADA INC",D514="Hyundai L&amp; C USA LLC"),VLOOKUP(H514,'[2]GIA HS'!A:D,4,0),IF(Y514="Mỹ",VLOOKUP(H514,'[2]giá mỹ từ 6.8.2025'!B:I,2,0),VLOOKUP(H514,'[2]giá ngoài mỹ 6.8.2025 (final)'!B:BP,51,0)))))</f>
        <v>59</v>
      </c>
      <c r="L514" s="106">
        <v>94.67</v>
      </c>
      <c r="M514" s="106">
        <f t="shared" si="31"/>
        <v>35.67</v>
      </c>
      <c r="N514" s="106">
        <v>94.67</v>
      </c>
      <c r="O514" s="107">
        <v>207.33</v>
      </c>
      <c r="P514" s="107">
        <v>26110</v>
      </c>
      <c r="Q514" s="107">
        <v>5413386</v>
      </c>
      <c r="R514" s="102"/>
      <c r="S514" s="108"/>
      <c r="T514" s="109" t="s">
        <v>30</v>
      </c>
      <c r="U514" s="109"/>
      <c r="V514" s="102"/>
      <c r="W514" s="109"/>
      <c r="X514" s="109"/>
      <c r="Y514" s="110" t="s">
        <v>358</v>
      </c>
      <c r="Z514" s="111" t="str">
        <f>MID(E514,4,2)</f>
        <v>CA</v>
      </c>
    </row>
    <row r="515" spans="1:26" s="111" customFormat="1" x14ac:dyDescent="0.2">
      <c r="A515" s="101">
        <v>46241</v>
      </c>
      <c r="B515" s="91" t="s">
        <v>729</v>
      </c>
      <c r="C515" s="102" t="s">
        <v>730</v>
      </c>
      <c r="D515" s="103" t="s">
        <v>26</v>
      </c>
      <c r="E515" s="91" t="s">
        <v>731</v>
      </c>
      <c r="F515" s="91" t="s">
        <v>336</v>
      </c>
      <c r="G515" s="91" t="s">
        <v>337</v>
      </c>
      <c r="H515" s="104" t="str">
        <f t="shared" si="32"/>
        <v>C6046J20</v>
      </c>
      <c r="I515" s="104"/>
      <c r="J515" s="105">
        <v>2.5</v>
      </c>
      <c r="K515" s="106">
        <f>IF(D515="CAESARSTONE LTD",VLOOKUP(H515,'[2]GIA CA'!G:H,2,0),IF(OR(D515="STONE FACINGS LIMITED",D515="NORDIA SA",D515="INVICTUS STONE COUNTERTOPS INC",D515="QUARTZTOP LLC"),VLOOKUP(H515,'[2] Giá ngoài Mỹ - SI-GR'!$B$5:$AZ$84,51,0),IF(OR(D515="HYUNDAI L&amp;C CANADA INC",D515="Hyundai L&amp; C USA LLC"),VLOOKUP(H515,'[2]GIA HS'!A:D,4,0),IF(Y515="Mỹ",VLOOKUP(H515,'[2]giá mỹ từ 6.8.2025'!B:I,2,0),VLOOKUP(H515,'[2]giá ngoài mỹ 6.8.2025 (final)'!B:BP,51,0)))))</f>
        <v>59</v>
      </c>
      <c r="L515" s="106">
        <v>94.67</v>
      </c>
      <c r="M515" s="106">
        <f t="shared" si="31"/>
        <v>35.67</v>
      </c>
      <c r="N515" s="106">
        <v>94.67</v>
      </c>
      <c r="O515" s="107">
        <v>236.67</v>
      </c>
      <c r="P515" s="107">
        <v>26110</v>
      </c>
      <c r="Q515" s="107">
        <v>6179454</v>
      </c>
      <c r="R515" s="102"/>
      <c r="S515" s="108"/>
      <c r="T515" s="109" t="s">
        <v>30</v>
      </c>
      <c r="U515" s="109"/>
      <c r="V515" s="102"/>
      <c r="W515" s="109"/>
      <c r="X515" s="109"/>
      <c r="Y515" s="110" t="s">
        <v>358</v>
      </c>
      <c r="Z515" s="111" t="str">
        <f>MID(E515,4,2)</f>
        <v>CA</v>
      </c>
    </row>
    <row r="516" spans="1:26" s="111" customFormat="1" x14ac:dyDescent="0.2">
      <c r="A516" s="101">
        <v>46241</v>
      </c>
      <c r="B516" s="91" t="s">
        <v>729</v>
      </c>
      <c r="C516" s="102" t="s">
        <v>730</v>
      </c>
      <c r="D516" s="103" t="s">
        <v>26</v>
      </c>
      <c r="E516" s="91" t="s">
        <v>731</v>
      </c>
      <c r="F516" s="91" t="s">
        <v>734</v>
      </c>
      <c r="G516" s="91" t="s">
        <v>735</v>
      </c>
      <c r="H516" s="104" t="str">
        <f t="shared" si="32"/>
        <v>F5171J20</v>
      </c>
      <c r="I516" s="104"/>
      <c r="J516" s="105">
        <v>3.13</v>
      </c>
      <c r="K516" s="106">
        <f>IF(D516="CAESARSTONE LTD",VLOOKUP(H516,'[2]GIA CA'!G:H,2,0),IF(OR(D516="STONE FACINGS LIMITED",D516="NORDIA SA",D516="INVICTUS STONE COUNTERTOPS INC",D516="QUARTZTOP LLC"),VLOOKUP(H516,'[2] Giá ngoài Mỹ - SI-GR'!$B$5:$AZ$84,51,0),IF(OR(D516="HYUNDAI L&amp;C CANADA INC",D516="Hyundai L&amp; C USA LLC"),VLOOKUP(H516,'[2]GIA HS'!A:D,4,0),IF(Y516="Mỹ",VLOOKUP(H516,'[2]giá mỹ từ 6.8.2025'!B:I,2,0),VLOOKUP(H516,'[2]giá ngoài mỹ 6.8.2025 (final)'!B:BP,51,0)))))</f>
        <v>62</v>
      </c>
      <c r="L516" s="106">
        <v>129.07</v>
      </c>
      <c r="M516" s="106">
        <f t="shared" si="31"/>
        <v>67.069999999999993</v>
      </c>
      <c r="N516" s="106">
        <v>129.07</v>
      </c>
      <c r="O516" s="107">
        <v>404</v>
      </c>
      <c r="P516" s="107">
        <v>26110</v>
      </c>
      <c r="Q516" s="107">
        <v>10548440</v>
      </c>
      <c r="R516" s="102"/>
      <c r="S516" s="108"/>
      <c r="T516" s="109" t="s">
        <v>30</v>
      </c>
      <c r="U516" s="109"/>
      <c r="V516" s="102"/>
      <c r="W516" s="109"/>
      <c r="X516" s="109"/>
      <c r="Y516" s="110" t="s">
        <v>358</v>
      </c>
      <c r="Z516" s="111" t="str">
        <f>MID(E516,4,2)</f>
        <v>CA</v>
      </c>
    </row>
    <row r="517" spans="1:26" s="111" customFormat="1" x14ac:dyDescent="0.2">
      <c r="A517" s="101">
        <v>46241</v>
      </c>
      <c r="B517" s="91" t="s">
        <v>729</v>
      </c>
      <c r="C517" s="102" t="s">
        <v>730</v>
      </c>
      <c r="D517" s="103" t="s">
        <v>26</v>
      </c>
      <c r="E517" s="91" t="s">
        <v>731</v>
      </c>
      <c r="F517" s="91" t="s">
        <v>110</v>
      </c>
      <c r="G517" s="91" t="s">
        <v>111</v>
      </c>
      <c r="H517" s="104" t="str">
        <f t="shared" si="32"/>
        <v>C4023J20</v>
      </c>
      <c r="I517" s="104"/>
      <c r="J517" s="105">
        <v>413.82</v>
      </c>
      <c r="K517" s="106">
        <f>+L517</f>
        <v>59.9</v>
      </c>
      <c r="L517" s="106">
        <v>59.9</v>
      </c>
      <c r="M517" s="106">
        <f t="shared" si="31"/>
        <v>0</v>
      </c>
      <c r="N517" s="106">
        <v>59.9</v>
      </c>
      <c r="O517" s="107">
        <v>24788.16</v>
      </c>
      <c r="P517" s="107">
        <v>26110</v>
      </c>
      <c r="Q517" s="107">
        <v>647218858</v>
      </c>
      <c r="R517" s="102" t="s">
        <v>30</v>
      </c>
      <c r="S517" s="108"/>
      <c r="T517" s="109"/>
      <c r="U517" s="109"/>
      <c r="V517" s="102"/>
      <c r="W517" s="109"/>
      <c r="X517" s="109"/>
      <c r="Y517" s="110" t="s">
        <v>358</v>
      </c>
      <c r="Z517" s="111" t="str">
        <f>MID(E517,4,2)</f>
        <v>CA</v>
      </c>
    </row>
    <row r="518" spans="1:26" s="111" customFormat="1" x14ac:dyDescent="0.2">
      <c r="A518" s="101">
        <v>46241</v>
      </c>
      <c r="B518" s="91" t="s">
        <v>729</v>
      </c>
      <c r="C518" s="102" t="s">
        <v>730</v>
      </c>
      <c r="D518" s="103" t="s">
        <v>26</v>
      </c>
      <c r="E518" s="91" t="s">
        <v>731</v>
      </c>
      <c r="F518" s="91" t="s">
        <v>124</v>
      </c>
      <c r="G518" s="91" t="s">
        <v>113</v>
      </c>
      <c r="H518" s="104" t="str">
        <f t="shared" si="32"/>
        <v>C5212J20</v>
      </c>
      <c r="I518" s="104"/>
      <c r="J518" s="105">
        <v>108.9</v>
      </c>
      <c r="K518" s="106">
        <f>IF(D518="CAESARSTONE LTD",VLOOKUP(H518,'[2]GIA CA'!G:H,2,0),IF(OR(D518="STONE FACINGS LIMITED",D518="NORDIA SA",D518="INVICTUS STONE COUNTERTOPS INC",D518="QUARTZTOP LLC"),VLOOKUP(H518,'[2] Giá ngoài Mỹ - SI-GR'!$B$5:$AZ$84,51,0),IF(OR(D518="HYUNDAI L&amp;C CANADA INC",D518="Hyundai L&amp; C USA LLC"),VLOOKUP(H518,'[2]GIA HS'!A:D,4,0),IF(Y518="Mỹ",VLOOKUP(H518,'[2]giá mỹ từ 6.8.2025'!B:I,2,0),VLOOKUP(H518,'[2]giá ngoài mỹ 6.8.2025 (final)'!B:BP,51,0)))))</f>
        <v>59</v>
      </c>
      <c r="L518" s="106">
        <v>62</v>
      </c>
      <c r="M518" s="106">
        <f t="shared" si="31"/>
        <v>3</v>
      </c>
      <c r="N518" s="106">
        <v>62</v>
      </c>
      <c r="O518" s="107">
        <v>6751.8</v>
      </c>
      <c r="P518" s="107">
        <v>26110</v>
      </c>
      <c r="Q518" s="107">
        <v>176289498</v>
      </c>
      <c r="R518" s="102" t="s">
        <v>30</v>
      </c>
      <c r="S518" s="108"/>
      <c r="T518" s="109"/>
      <c r="U518" s="109"/>
      <c r="V518" s="102"/>
      <c r="W518" s="109"/>
      <c r="X518" s="109"/>
      <c r="Y518" s="110" t="s">
        <v>358</v>
      </c>
      <c r="Z518" s="111" t="str">
        <f>MID(E518,4,2)</f>
        <v>CA</v>
      </c>
    </row>
    <row r="519" spans="1:26" s="111" customFormat="1" x14ac:dyDescent="0.2">
      <c r="A519" s="101">
        <v>46241</v>
      </c>
      <c r="B519" s="91" t="s">
        <v>736</v>
      </c>
      <c r="C519" s="102" t="s">
        <v>737</v>
      </c>
      <c r="D519" s="103" t="s">
        <v>26</v>
      </c>
      <c r="E519" s="91" t="s">
        <v>738</v>
      </c>
      <c r="F519" s="91" t="s">
        <v>739</v>
      </c>
      <c r="G519" s="91" t="s">
        <v>740</v>
      </c>
      <c r="H519" s="104" t="str">
        <f t="shared" si="32"/>
        <v>C4011J30</v>
      </c>
      <c r="I519" s="104"/>
      <c r="J519" s="105">
        <v>114.35</v>
      </c>
      <c r="K519" s="106">
        <f>+L519</f>
        <v>75</v>
      </c>
      <c r="L519" s="106">
        <v>75</v>
      </c>
      <c r="M519" s="106">
        <f t="shared" si="31"/>
        <v>0</v>
      </c>
      <c r="N519" s="106">
        <v>75</v>
      </c>
      <c r="O519" s="107">
        <v>8576.25</v>
      </c>
      <c r="P519" s="107">
        <v>26110</v>
      </c>
      <c r="Q519" s="107">
        <v>223925888</v>
      </c>
      <c r="R519" s="102" t="s">
        <v>30</v>
      </c>
      <c r="S519" s="108"/>
      <c r="T519" s="109"/>
      <c r="U519" s="109"/>
      <c r="V519" s="102"/>
      <c r="W519" s="109"/>
      <c r="X519" s="109"/>
      <c r="Y519" s="110" t="s">
        <v>31</v>
      </c>
      <c r="Z519" s="111" t="str">
        <f>MID(E519,4,2)</f>
        <v>CA</v>
      </c>
    </row>
    <row r="520" spans="1:26" s="111" customFormat="1" x14ac:dyDescent="0.2">
      <c r="A520" s="101">
        <v>46241</v>
      </c>
      <c r="B520" s="91" t="s">
        <v>736</v>
      </c>
      <c r="C520" s="102" t="s">
        <v>737</v>
      </c>
      <c r="D520" s="103" t="s">
        <v>26</v>
      </c>
      <c r="E520" s="91" t="s">
        <v>738</v>
      </c>
      <c r="F520" s="91" t="s">
        <v>464</v>
      </c>
      <c r="G520" s="91" t="s">
        <v>463</v>
      </c>
      <c r="H520" s="104" t="str">
        <f t="shared" si="32"/>
        <v>C5141J20</v>
      </c>
      <c r="I520" s="104"/>
      <c r="J520" s="105">
        <v>108.9</v>
      </c>
      <c r="K520" s="106">
        <f>IF(D520="CAESARSTONE LTD",VLOOKUP(H520,'[2]GIA CA'!G:H,2,0),IF(OR(D520="STONE FACINGS LIMITED",D520="NORDIA SA",D520="INVICTUS STONE COUNTERTOPS INC",D520="QUARTZTOP LLC"),VLOOKUP(H520,'[2] Giá ngoài Mỹ - SI-GR'!$B$5:$AZ$84,51,0),IF(OR(D520="HYUNDAI L&amp;C CANADA INC",D520="Hyundai L&amp; C USA LLC"),VLOOKUP(H520,'[2]GIA HS'!A:D,4,0),IF(Y520="Mỹ",VLOOKUP(H520,'[2]giá mỹ từ 6.8.2025'!B:I,2,0),VLOOKUP(H520,'[2]giá ngoài mỹ 6.8.2025 (final)'!B:BP,51,0)))))</f>
        <v>55</v>
      </c>
      <c r="L520" s="106">
        <v>58</v>
      </c>
      <c r="M520" s="106">
        <f t="shared" si="31"/>
        <v>3</v>
      </c>
      <c r="N520" s="106">
        <v>58</v>
      </c>
      <c r="O520" s="107">
        <v>6316.2</v>
      </c>
      <c r="P520" s="107">
        <v>26110</v>
      </c>
      <c r="Q520" s="107">
        <v>164915982</v>
      </c>
      <c r="R520" s="102" t="s">
        <v>30</v>
      </c>
      <c r="S520" s="108"/>
      <c r="T520" s="109"/>
      <c r="U520" s="109"/>
      <c r="V520" s="102"/>
      <c r="W520" s="109"/>
      <c r="X520" s="109"/>
      <c r="Y520" s="110" t="s">
        <v>31</v>
      </c>
      <c r="Z520" s="111" t="str">
        <f>MID(E520,4,2)</f>
        <v>CA</v>
      </c>
    </row>
    <row r="521" spans="1:26" s="111" customFormat="1" x14ac:dyDescent="0.2">
      <c r="A521" s="101">
        <v>46241</v>
      </c>
      <c r="B521" s="91" t="s">
        <v>736</v>
      </c>
      <c r="C521" s="102" t="s">
        <v>737</v>
      </c>
      <c r="D521" s="103" t="s">
        <v>26</v>
      </c>
      <c r="E521" s="91" t="s">
        <v>738</v>
      </c>
      <c r="F521" s="91" t="s">
        <v>72</v>
      </c>
      <c r="G521" s="91" t="s">
        <v>73</v>
      </c>
      <c r="H521" s="104" t="str">
        <f t="shared" si="32"/>
        <v>C5143J30</v>
      </c>
      <c r="I521" s="104"/>
      <c r="J521" s="105">
        <v>76.23</v>
      </c>
      <c r="K521" s="106">
        <f>IF(D521="CAESARSTONE LTD",VLOOKUP(H521,'[2]GIA CA'!G:H,2,0),IF(OR(D521="STONE FACINGS LIMITED",D521="NORDIA SA",D521="INVICTUS STONE COUNTERTOPS INC",D521="QUARTZTOP LLC"),VLOOKUP(H521,'[2] Giá ngoài Mỹ - SI-GR'!$B$5:$AZ$84,51,0),IF(OR(D521="HYUNDAI L&amp;C CANADA INC",D521="Hyundai L&amp; C USA LLC"),VLOOKUP(H521,'[2]GIA HS'!A:D,4,0),IF(Y521="Mỹ",VLOOKUP(H521,'[2]giá mỹ từ 6.8.2025'!B:I,2,0),VLOOKUP(H521,'[2]giá ngoài mỹ 6.8.2025 (final)'!B:BP,51,0)))))</f>
        <v>73.75</v>
      </c>
      <c r="L521" s="106">
        <v>77</v>
      </c>
      <c r="M521" s="106">
        <f t="shared" si="31"/>
        <v>3.25</v>
      </c>
      <c r="N521" s="106">
        <v>77</v>
      </c>
      <c r="O521" s="107">
        <v>5869.71</v>
      </c>
      <c r="P521" s="107">
        <v>26110</v>
      </c>
      <c r="Q521" s="107">
        <v>153258128</v>
      </c>
      <c r="R521" s="102" t="s">
        <v>30</v>
      </c>
      <c r="S521" s="108"/>
      <c r="T521" s="109"/>
      <c r="U521" s="109"/>
      <c r="V521" s="102"/>
      <c r="W521" s="109"/>
      <c r="X521" s="109"/>
      <c r="Y521" s="110" t="s">
        <v>31</v>
      </c>
      <c r="Z521" s="111" t="str">
        <f>MID(E521,4,2)</f>
        <v>CA</v>
      </c>
    </row>
    <row r="522" spans="1:26" s="111" customFormat="1" x14ac:dyDescent="0.2">
      <c r="A522" s="101">
        <v>46241</v>
      </c>
      <c r="B522" s="91" t="s">
        <v>736</v>
      </c>
      <c r="C522" s="102" t="s">
        <v>737</v>
      </c>
      <c r="D522" s="103" t="s">
        <v>26</v>
      </c>
      <c r="E522" s="91" t="s">
        <v>738</v>
      </c>
      <c r="F522" s="91" t="s">
        <v>741</v>
      </c>
      <c r="G522" s="91" t="s">
        <v>262</v>
      </c>
      <c r="H522" s="104" t="str">
        <f t="shared" si="32"/>
        <v>F5100J30</v>
      </c>
      <c r="I522" s="104"/>
      <c r="J522" s="105">
        <v>21.78</v>
      </c>
      <c r="K522" s="106">
        <f>IF(D522="CAESARSTONE LTD",VLOOKUP(H522,'[2]GIA CA'!G:H,2,0),IF(OR(D522="STONE FACINGS LIMITED",D522="NORDIA SA",D522="INVICTUS STONE COUNTERTOPS INC",D522="QUARTZTOP LLC"),VLOOKUP(H522,'[2] Giá ngoài Mỹ - SI-GR'!$B$5:$AZ$84,51,0),IF(OR(D522="HYUNDAI L&amp;C CANADA INC",D522="Hyundai L&amp; C USA LLC"),VLOOKUP(H522,'[2]GIA HS'!A:D,4,0),IF(Y522="Mỹ",VLOOKUP(H522,'[2]giá mỹ từ 6.8.2025'!B:I,2,0),VLOOKUP(H522,'[2]giá ngoài mỹ 6.8.2025 (final)'!B:BP,51,0)))))</f>
        <v>77.5</v>
      </c>
      <c r="L522" s="106">
        <v>81</v>
      </c>
      <c r="M522" s="106">
        <f t="shared" si="31"/>
        <v>3.5</v>
      </c>
      <c r="N522" s="106">
        <v>81</v>
      </c>
      <c r="O522" s="107">
        <v>1764.18</v>
      </c>
      <c r="P522" s="107">
        <v>26110</v>
      </c>
      <c r="Q522" s="107">
        <v>46062740</v>
      </c>
      <c r="R522" s="102" t="s">
        <v>30</v>
      </c>
      <c r="S522" s="108"/>
      <c r="T522" s="109"/>
      <c r="U522" s="109"/>
      <c r="V522" s="102"/>
      <c r="W522" s="109"/>
      <c r="X522" s="109"/>
      <c r="Y522" s="110" t="s">
        <v>31</v>
      </c>
      <c r="Z522" s="111" t="str">
        <f>MID(E522,4,2)</f>
        <v>CA</v>
      </c>
    </row>
    <row r="523" spans="1:26" s="111" customFormat="1" x14ac:dyDescent="0.2">
      <c r="A523" s="101">
        <v>46241</v>
      </c>
      <c r="B523" s="91" t="s">
        <v>736</v>
      </c>
      <c r="C523" s="102" t="s">
        <v>737</v>
      </c>
      <c r="D523" s="103" t="s">
        <v>26</v>
      </c>
      <c r="E523" s="91" t="s">
        <v>738</v>
      </c>
      <c r="F523" s="91" t="s">
        <v>742</v>
      </c>
      <c r="G523" s="91" t="s">
        <v>743</v>
      </c>
      <c r="H523" s="104" t="str">
        <f t="shared" si="32"/>
        <v>F5100J30</v>
      </c>
      <c r="I523" s="104"/>
      <c r="J523" s="105">
        <v>16.34</v>
      </c>
      <c r="K523" s="106">
        <v>20</v>
      </c>
      <c r="L523" s="106">
        <v>41</v>
      </c>
      <c r="M523" s="106">
        <f t="shared" si="31"/>
        <v>21</v>
      </c>
      <c r="N523" s="106">
        <v>41</v>
      </c>
      <c r="O523" s="107">
        <v>669.94</v>
      </c>
      <c r="P523" s="107">
        <v>26110</v>
      </c>
      <c r="Q523" s="107">
        <v>17492133</v>
      </c>
      <c r="R523" s="102" t="s">
        <v>30</v>
      </c>
      <c r="S523" s="108"/>
      <c r="T523" s="109"/>
      <c r="U523" s="109"/>
      <c r="V523" s="102"/>
      <c r="W523" s="109"/>
      <c r="X523" s="109"/>
      <c r="Y523" s="110" t="s">
        <v>31</v>
      </c>
      <c r="Z523" s="111" t="str">
        <f>MID(E523,4,2)</f>
        <v>CA</v>
      </c>
    </row>
    <row r="524" spans="1:26" s="111" customFormat="1" x14ac:dyDescent="0.2">
      <c r="A524" s="101">
        <v>46241</v>
      </c>
      <c r="B524" s="91" t="s">
        <v>736</v>
      </c>
      <c r="C524" s="102" t="s">
        <v>737</v>
      </c>
      <c r="D524" s="103" t="s">
        <v>26</v>
      </c>
      <c r="E524" s="91" t="s">
        <v>738</v>
      </c>
      <c r="F524" s="91" t="s">
        <v>385</v>
      </c>
      <c r="G524" s="91" t="s">
        <v>386</v>
      </c>
      <c r="H524" s="104" t="str">
        <f t="shared" si="32"/>
        <v>F5132J30</v>
      </c>
      <c r="I524" s="104"/>
      <c r="J524" s="105">
        <v>38.119999999999997</v>
      </c>
      <c r="K524" s="106">
        <f>IF(D524="CAESARSTONE LTD",VLOOKUP(H524,'[2]GIA CA'!G:H,2,0),IF(OR(D524="STONE FACINGS LIMITED",D524="NORDIA SA",D524="INVICTUS STONE COUNTERTOPS INC",D524="QUARTZTOP LLC"),VLOOKUP(H524,'[2] Giá ngoài Mỹ - SI-GR'!$B$5:$AZ$84,51,0),IF(OR(D524="HYUNDAI L&amp;C CANADA INC",D524="Hyundai L&amp; C USA LLC"),VLOOKUP(H524,'[2]GIA HS'!A:D,4,0),IF(Y524="Mỹ",VLOOKUP(H524,'[2]giá mỹ từ 6.8.2025'!B:I,2,0),VLOOKUP(H524,'[2]giá ngoài mỹ 6.8.2025 (final)'!B:BP,51,0)))))</f>
        <v>77.5</v>
      </c>
      <c r="L524" s="106">
        <v>83.39</v>
      </c>
      <c r="M524" s="106">
        <f t="shared" si="31"/>
        <v>5.8900000000000006</v>
      </c>
      <c r="N524" s="106">
        <v>83.39</v>
      </c>
      <c r="O524" s="106">
        <v>3178.94</v>
      </c>
      <c r="P524" s="107">
        <v>26110</v>
      </c>
      <c r="Q524" s="107">
        <v>83002123</v>
      </c>
      <c r="R524" s="102" t="s">
        <v>30</v>
      </c>
      <c r="S524" s="108"/>
      <c r="T524" s="109"/>
      <c r="U524" s="109"/>
      <c r="V524" s="102"/>
      <c r="W524" s="109"/>
      <c r="X524" s="109"/>
      <c r="Y524" s="110" t="s">
        <v>31</v>
      </c>
      <c r="Z524" s="111" t="str">
        <f>MID(E524,4,2)</f>
        <v>CA</v>
      </c>
    </row>
    <row r="525" spans="1:26" s="111" customFormat="1" x14ac:dyDescent="0.2">
      <c r="A525" s="101">
        <v>46241</v>
      </c>
      <c r="B525" s="91" t="s">
        <v>736</v>
      </c>
      <c r="C525" s="102" t="s">
        <v>737</v>
      </c>
      <c r="D525" s="103" t="s">
        <v>26</v>
      </c>
      <c r="E525" s="91" t="s">
        <v>738</v>
      </c>
      <c r="F525" s="91" t="s">
        <v>70</v>
      </c>
      <c r="G525" s="91" t="s">
        <v>71</v>
      </c>
      <c r="H525" s="104" t="str">
        <f t="shared" si="32"/>
        <v>C5116J30</v>
      </c>
      <c r="I525" s="104"/>
      <c r="J525" s="105">
        <v>190.58</v>
      </c>
      <c r="K525" s="106">
        <f>IF(D525="CAESARSTONE LTD",VLOOKUP(H525,'[2]GIA CA'!G:H,2,0),IF(OR(D525="STONE FACINGS LIMITED",D525="NORDIA SA",D525="INVICTUS STONE COUNTERTOPS INC",D525="QUARTZTOP LLC"),VLOOKUP(H525,'[2] Giá ngoài Mỹ - SI-GR'!$B$5:$AZ$84,51,0),IF(OR(D525="HYUNDAI L&amp;C CANADA INC",D525="Hyundai L&amp; C USA LLC"),VLOOKUP(H525,'[2]GIA HS'!A:D,4,0),IF(Y525="Mỹ",VLOOKUP(H525,'[2]giá mỹ từ 6.8.2025'!B:I,2,0),VLOOKUP(H525,'[2]giá ngoài mỹ 6.8.2025 (final)'!B:BP,51,0)))))</f>
        <v>81.25</v>
      </c>
      <c r="L525" s="106">
        <v>85</v>
      </c>
      <c r="M525" s="106">
        <f t="shared" ref="M525:M588" si="35">L525-K525</f>
        <v>3.75</v>
      </c>
      <c r="N525" s="106">
        <v>85</v>
      </c>
      <c r="O525" s="107">
        <v>16199.3</v>
      </c>
      <c r="P525" s="107">
        <v>26110</v>
      </c>
      <c r="Q525" s="107">
        <v>422963723</v>
      </c>
      <c r="R525" s="102" t="s">
        <v>30</v>
      </c>
      <c r="S525" s="108"/>
      <c r="T525" s="109"/>
      <c r="U525" s="109"/>
      <c r="V525" s="102"/>
      <c r="W525" s="109"/>
      <c r="X525" s="109"/>
      <c r="Y525" s="110" t="s">
        <v>31</v>
      </c>
      <c r="Z525" s="111" t="str">
        <f>MID(E525,4,2)</f>
        <v>CA</v>
      </c>
    </row>
    <row r="526" spans="1:26" s="111" customFormat="1" x14ac:dyDescent="0.2">
      <c r="A526" s="101">
        <v>46241</v>
      </c>
      <c r="B526" s="91" t="s">
        <v>736</v>
      </c>
      <c r="C526" s="102" t="s">
        <v>737</v>
      </c>
      <c r="D526" s="103" t="s">
        <v>26</v>
      </c>
      <c r="E526" s="91" t="s">
        <v>738</v>
      </c>
      <c r="F526" s="91" t="s">
        <v>744</v>
      </c>
      <c r="G526" s="91" t="s">
        <v>384</v>
      </c>
      <c r="H526" s="104" t="str">
        <f t="shared" ref="H526:H589" si="36">IF(LEN(G526)=13,LEFT(G526,5)&amp;MID(G526,SEARCH("-J",G526)+1,3),LEFT(G526,5)&amp;"J20")</f>
        <v>C5141J30</v>
      </c>
      <c r="I526" s="104"/>
      <c r="J526" s="105">
        <v>108.9</v>
      </c>
      <c r="K526" s="106">
        <f>IF(D526="CAESARSTONE LTD",VLOOKUP(H526,'[2]GIA CA'!G:H,2,0),IF(OR(D526="STONE FACINGS LIMITED",D526="NORDIA SA",D526="INVICTUS STONE COUNTERTOPS INC",D526="QUARTZTOP LLC"),VLOOKUP(H526,'[2] Giá ngoài Mỹ - SI-GR'!$B$5:$AZ$84,51,0),IF(OR(D526="HYUNDAI L&amp;C CANADA INC",D526="Hyundai L&amp; C USA LLC"),VLOOKUP(H526,'[2]GIA HS'!A:D,4,0),IF(Y526="Mỹ",VLOOKUP(H526,'[2]giá mỹ từ 6.8.2025'!B:I,2,0),VLOOKUP(H526,'[2]giá ngoài mỹ 6.8.2025 (final)'!B:BP,51,0)))))</f>
        <v>68.75</v>
      </c>
      <c r="L526" s="106">
        <v>72</v>
      </c>
      <c r="M526" s="106">
        <f t="shared" si="35"/>
        <v>3.25</v>
      </c>
      <c r="N526" s="106">
        <v>72</v>
      </c>
      <c r="O526" s="107">
        <v>7840.8</v>
      </c>
      <c r="P526" s="107">
        <v>26110</v>
      </c>
      <c r="Q526" s="107">
        <v>204723288</v>
      </c>
      <c r="R526" s="102" t="s">
        <v>30</v>
      </c>
      <c r="S526" s="108"/>
      <c r="T526" s="109"/>
      <c r="U526" s="109"/>
      <c r="V526" s="102"/>
      <c r="W526" s="109"/>
      <c r="X526" s="109"/>
      <c r="Y526" s="110" t="s">
        <v>31</v>
      </c>
      <c r="Z526" s="111" t="str">
        <f>MID(E526,4,2)</f>
        <v>CA</v>
      </c>
    </row>
    <row r="527" spans="1:26" s="111" customFormat="1" x14ac:dyDescent="0.2">
      <c r="A527" s="101">
        <v>46241</v>
      </c>
      <c r="B527" s="91" t="s">
        <v>736</v>
      </c>
      <c r="C527" s="102" t="s">
        <v>737</v>
      </c>
      <c r="D527" s="103" t="s">
        <v>26</v>
      </c>
      <c r="E527" s="91" t="s">
        <v>738</v>
      </c>
      <c r="F527" s="91" t="s">
        <v>383</v>
      </c>
      <c r="G527" s="91" t="s">
        <v>384</v>
      </c>
      <c r="H527" s="104" t="str">
        <f t="shared" si="36"/>
        <v>C5141J30</v>
      </c>
      <c r="I527" s="104"/>
      <c r="J527" s="105">
        <v>21.78</v>
      </c>
      <c r="K527" s="106">
        <f>IF(D527="CAESARSTONE LTD",VLOOKUP(H527,'[2]GIA CA'!G:H,2,0),IF(OR(D527="STONE FACINGS LIMITED",D527="NORDIA SA",D527="INVICTUS STONE COUNTERTOPS INC",D527="QUARTZTOP LLC"),VLOOKUP(H527,'[2] Giá ngoài Mỹ - SI-GR'!$B$5:$AZ$84,51,0),IF(OR(D527="HYUNDAI L&amp;C CANADA INC",D527="Hyundai L&amp; C USA LLC"),VLOOKUP(H527,'[2]GIA HS'!A:D,4,0),IF(Y527="Mỹ",VLOOKUP(H527,'[2]giá mỹ từ 6.8.2025'!B:I,2,0),VLOOKUP(H527,'[2]giá ngoài mỹ 6.8.2025 (final)'!B:BP,51,0)))))</f>
        <v>68.75</v>
      </c>
      <c r="L527" s="106">
        <v>72</v>
      </c>
      <c r="M527" s="106">
        <f t="shared" si="35"/>
        <v>3.25</v>
      </c>
      <c r="N527" s="106">
        <v>72</v>
      </c>
      <c r="O527" s="107">
        <v>1568.16</v>
      </c>
      <c r="P527" s="107">
        <v>26110</v>
      </c>
      <c r="Q527" s="107">
        <v>40944658</v>
      </c>
      <c r="R527" s="102" t="s">
        <v>30</v>
      </c>
      <c r="S527" s="108"/>
      <c r="T527" s="109"/>
      <c r="U527" s="109"/>
      <c r="V527" s="102"/>
      <c r="W527" s="109"/>
      <c r="X527" s="109"/>
      <c r="Y527" s="110" t="s">
        <v>31</v>
      </c>
      <c r="Z527" s="111" t="str">
        <f>MID(E527,4,2)</f>
        <v>CA</v>
      </c>
    </row>
    <row r="528" spans="1:26" s="111" customFormat="1" x14ac:dyDescent="0.2">
      <c r="A528" s="101">
        <v>46241</v>
      </c>
      <c r="B528" s="91" t="s">
        <v>736</v>
      </c>
      <c r="C528" s="102" t="s">
        <v>737</v>
      </c>
      <c r="D528" s="103" t="s">
        <v>26</v>
      </c>
      <c r="E528" s="91" t="s">
        <v>738</v>
      </c>
      <c r="F528" s="91" t="s">
        <v>408</v>
      </c>
      <c r="G528" s="91" t="s">
        <v>384</v>
      </c>
      <c r="H528" s="104" t="str">
        <f t="shared" si="36"/>
        <v>C5141J30</v>
      </c>
      <c r="I528" s="104"/>
      <c r="J528" s="105">
        <v>21.78</v>
      </c>
      <c r="K528" s="106">
        <f>IF(D528="CAESARSTONE LTD",VLOOKUP(H528,'[2]GIA CA'!G:H,2,0),IF(OR(D528="STONE FACINGS LIMITED",D528="NORDIA SA",D528="INVICTUS STONE COUNTERTOPS INC",D528="QUARTZTOP LLC"),VLOOKUP(H528,'[2] Giá ngoài Mỹ - SI-GR'!$B$5:$AZ$84,51,0),IF(OR(D528="HYUNDAI L&amp;C CANADA INC",D528="Hyundai L&amp; C USA LLC"),VLOOKUP(H528,'[2]GIA HS'!A:D,4,0),IF(Y528="Mỹ",VLOOKUP(H528,'[2]giá mỹ từ 6.8.2025'!B:I,2,0),VLOOKUP(H528,'[2]giá ngoài mỹ 6.8.2025 (final)'!B:BP,51,0)))))</f>
        <v>68.75</v>
      </c>
      <c r="L528" s="106">
        <v>72</v>
      </c>
      <c r="M528" s="106">
        <f t="shared" si="35"/>
        <v>3.25</v>
      </c>
      <c r="N528" s="106">
        <v>72</v>
      </c>
      <c r="O528" s="107">
        <v>1568.16</v>
      </c>
      <c r="P528" s="107">
        <v>26110</v>
      </c>
      <c r="Q528" s="107">
        <v>40944658</v>
      </c>
      <c r="R528" s="102" t="s">
        <v>30</v>
      </c>
      <c r="S528" s="108"/>
      <c r="T528" s="109"/>
      <c r="U528" s="109"/>
      <c r="V528" s="102"/>
      <c r="W528" s="109"/>
      <c r="X528" s="109"/>
      <c r="Y528" s="110" t="s">
        <v>31</v>
      </c>
      <c r="Z528" s="111" t="str">
        <f>MID(E528,4,2)</f>
        <v>CA</v>
      </c>
    </row>
    <row r="529" spans="1:26" s="111" customFormat="1" x14ac:dyDescent="0.2">
      <c r="A529" s="101">
        <v>46241</v>
      </c>
      <c r="B529" s="91" t="s">
        <v>745</v>
      </c>
      <c r="C529" s="102" t="s">
        <v>746</v>
      </c>
      <c r="D529" s="103" t="s">
        <v>26</v>
      </c>
      <c r="E529" s="91" t="s">
        <v>747</v>
      </c>
      <c r="F529" s="91" t="s">
        <v>383</v>
      </c>
      <c r="G529" s="91" t="s">
        <v>384</v>
      </c>
      <c r="H529" s="104" t="str">
        <f t="shared" si="36"/>
        <v>C5141J30</v>
      </c>
      <c r="I529" s="104"/>
      <c r="J529" s="105">
        <v>168.8</v>
      </c>
      <c r="K529" s="106">
        <f>IF(D529="CAESARSTONE LTD",VLOOKUP(H529,'[2]GIA CA'!G:H,2,0),IF(OR(D529="STONE FACINGS LIMITED",D529="NORDIA SA",D529="INVICTUS STONE COUNTERTOPS INC",D529="QUARTZTOP LLC"),VLOOKUP(H529,'[2] Giá ngoài Mỹ - SI-GR'!$B$5:$AZ$84,51,0),IF(OR(D529="HYUNDAI L&amp;C CANADA INC",D529="Hyundai L&amp; C USA LLC"),VLOOKUP(H529,'[2]GIA HS'!A:D,4,0),IF(Y529="Mỹ",VLOOKUP(H529,'[2]giá mỹ từ 6.8.2025'!B:I,2,0),VLOOKUP(H529,'[2]giá ngoài mỹ 6.8.2025 (final)'!B:BP,51,0)))))</f>
        <v>68.75</v>
      </c>
      <c r="L529" s="106">
        <v>72</v>
      </c>
      <c r="M529" s="106">
        <f t="shared" si="35"/>
        <v>3.25</v>
      </c>
      <c r="N529" s="106">
        <v>72</v>
      </c>
      <c r="O529" s="107">
        <v>12153.6</v>
      </c>
      <c r="P529" s="107">
        <v>26110</v>
      </c>
      <c r="Q529" s="107">
        <v>317330496</v>
      </c>
      <c r="R529" s="102" t="s">
        <v>30</v>
      </c>
      <c r="S529" s="108"/>
      <c r="T529" s="109"/>
      <c r="U529" s="109"/>
      <c r="V529" s="102"/>
      <c r="W529" s="109"/>
      <c r="X529" s="109"/>
      <c r="Y529" s="110" t="s">
        <v>31</v>
      </c>
      <c r="Z529" s="111" t="str">
        <f>MID(E529,4,2)</f>
        <v>CA</v>
      </c>
    </row>
    <row r="530" spans="1:26" s="111" customFormat="1" x14ac:dyDescent="0.2">
      <c r="A530" s="101">
        <v>46241</v>
      </c>
      <c r="B530" s="91" t="s">
        <v>745</v>
      </c>
      <c r="C530" s="102" t="s">
        <v>746</v>
      </c>
      <c r="D530" s="103" t="s">
        <v>26</v>
      </c>
      <c r="E530" s="91" t="s">
        <v>747</v>
      </c>
      <c r="F530" s="91" t="s">
        <v>408</v>
      </c>
      <c r="G530" s="91" t="s">
        <v>384</v>
      </c>
      <c r="H530" s="104" t="str">
        <f t="shared" si="36"/>
        <v>C5141J30</v>
      </c>
      <c r="I530" s="104"/>
      <c r="J530" s="105">
        <v>108.9</v>
      </c>
      <c r="K530" s="106">
        <f>IF(D530="CAESARSTONE LTD",VLOOKUP(H530,'[2]GIA CA'!G:H,2,0),IF(OR(D530="STONE FACINGS LIMITED",D530="NORDIA SA",D530="INVICTUS STONE COUNTERTOPS INC",D530="QUARTZTOP LLC"),VLOOKUP(H530,'[2] Giá ngoài Mỹ - SI-GR'!$B$5:$AZ$84,51,0),IF(OR(D530="HYUNDAI L&amp;C CANADA INC",D530="Hyundai L&amp; C USA LLC"),VLOOKUP(H530,'[2]GIA HS'!A:D,4,0),IF(Y530="Mỹ",VLOOKUP(H530,'[2]giá mỹ từ 6.8.2025'!B:I,2,0),VLOOKUP(H530,'[2]giá ngoài mỹ 6.8.2025 (final)'!B:BP,51,0)))))</f>
        <v>68.75</v>
      </c>
      <c r="L530" s="106">
        <v>72</v>
      </c>
      <c r="M530" s="106">
        <f t="shared" si="35"/>
        <v>3.25</v>
      </c>
      <c r="N530" s="106">
        <v>72</v>
      </c>
      <c r="O530" s="107">
        <v>7840.8</v>
      </c>
      <c r="P530" s="107">
        <v>26110</v>
      </c>
      <c r="Q530" s="107">
        <v>204723288</v>
      </c>
      <c r="R530" s="102" t="s">
        <v>30</v>
      </c>
      <c r="S530" s="108"/>
      <c r="T530" s="109"/>
      <c r="U530" s="109"/>
      <c r="V530" s="102"/>
      <c r="W530" s="109"/>
      <c r="X530" s="109"/>
      <c r="Y530" s="110" t="s">
        <v>31</v>
      </c>
      <c r="Z530" s="111" t="str">
        <f>MID(E530,4,2)</f>
        <v>CA</v>
      </c>
    </row>
    <row r="531" spans="1:26" s="111" customFormat="1" x14ac:dyDescent="0.2">
      <c r="A531" s="101">
        <v>46241</v>
      </c>
      <c r="B531" s="91" t="s">
        <v>745</v>
      </c>
      <c r="C531" s="102" t="s">
        <v>746</v>
      </c>
      <c r="D531" s="103" t="s">
        <v>26</v>
      </c>
      <c r="E531" s="91" t="s">
        <v>747</v>
      </c>
      <c r="F531" s="91" t="s">
        <v>32</v>
      </c>
      <c r="G531" s="91" t="s">
        <v>33</v>
      </c>
      <c r="H531" s="104" t="str">
        <f t="shared" si="36"/>
        <v>F4001J30</v>
      </c>
      <c r="I531" s="104"/>
      <c r="J531" s="105">
        <v>76.23</v>
      </c>
      <c r="K531" s="106">
        <f>IF(D531="CAESARSTONE LTD",VLOOKUP(H531,'[2]GIA CA'!G:H,2,0),IF(OR(D531="STONE FACINGS LIMITED",D531="NORDIA SA",D531="INVICTUS STONE COUNTERTOPS INC",D531="QUARTZTOP LLC"),VLOOKUP(H531,'[2] Giá ngoài Mỹ - SI-GR'!$B$5:$AZ$84,51,0),IF(OR(D531="HYUNDAI L&amp;C CANADA INC",D531="Hyundai L&amp; C USA LLC"),VLOOKUP(H531,'[2]GIA HS'!A:D,4,0),IF(Y531="Mỹ",VLOOKUP(H531,'[2]giá mỹ từ 6.8.2025'!B:I,2,0),VLOOKUP(H531,'[2]giá ngoài mỹ 6.8.2025 (final)'!B:BP,51,0)))))</f>
        <v>72.5</v>
      </c>
      <c r="L531" s="106">
        <v>77</v>
      </c>
      <c r="M531" s="106">
        <f t="shared" si="35"/>
        <v>4.5</v>
      </c>
      <c r="N531" s="106">
        <v>76.819999999999993</v>
      </c>
      <c r="O531" s="107">
        <v>5856.27</v>
      </c>
      <c r="P531" s="107">
        <v>26110</v>
      </c>
      <c r="Q531" s="107">
        <v>152907210</v>
      </c>
      <c r="R531" s="102" t="s">
        <v>30</v>
      </c>
      <c r="S531" s="108"/>
      <c r="T531" s="109"/>
      <c r="U531" s="109"/>
      <c r="V531" s="102"/>
      <c r="W531" s="109"/>
      <c r="X531" s="109"/>
      <c r="Y531" s="110" t="s">
        <v>31</v>
      </c>
      <c r="Z531" s="111" t="str">
        <f>MID(E531,4,2)</f>
        <v>CA</v>
      </c>
    </row>
    <row r="532" spans="1:26" s="111" customFormat="1" x14ac:dyDescent="0.2">
      <c r="A532" s="101">
        <v>46241</v>
      </c>
      <c r="B532" s="91" t="s">
        <v>748</v>
      </c>
      <c r="C532" s="102" t="s">
        <v>749</v>
      </c>
      <c r="D532" s="103" t="s">
        <v>26</v>
      </c>
      <c r="E532" s="91" t="s">
        <v>750</v>
      </c>
      <c r="F532" s="91" t="s">
        <v>751</v>
      </c>
      <c r="G532" s="91" t="s">
        <v>752</v>
      </c>
      <c r="H532" s="104" t="str">
        <f t="shared" si="36"/>
        <v>C5151J20</v>
      </c>
      <c r="I532" s="104"/>
      <c r="J532" s="105">
        <v>3.13</v>
      </c>
      <c r="K532" s="106">
        <f>IF(D532="CAESARSTONE LTD",VLOOKUP(H532,'[2]GIA CA'!G:H,2,0),IF(OR(D532="STONE FACINGS LIMITED",D532="NORDIA SA",D532="INVICTUS STONE COUNTERTOPS INC",D532="QUARTZTOP LLC"),VLOOKUP(H532,'[2] Giá ngoài Mỹ - SI-GR'!$B$5:$AZ$84,51,0),IF(OR(D532="HYUNDAI L&amp;C CANADA INC",D532="Hyundai L&amp; C USA LLC"),VLOOKUP(H532,'[2]GIA HS'!A:D,4,0),IF(Y532="Mỹ",VLOOKUP(H532,'[2]giá mỹ từ 6.8.2025'!B:I,2,0),VLOOKUP(H532,'[2]giá ngoài mỹ 6.8.2025 (final)'!B:BP,51,0)))))</f>
        <v>65</v>
      </c>
      <c r="L532" s="106">
        <v>129.07</v>
      </c>
      <c r="M532" s="106">
        <f t="shared" si="35"/>
        <v>64.069999999999993</v>
      </c>
      <c r="N532" s="106">
        <v>129.07</v>
      </c>
      <c r="O532" s="107">
        <v>404</v>
      </c>
      <c r="P532" s="107">
        <v>26110</v>
      </c>
      <c r="Q532" s="107">
        <v>10548440</v>
      </c>
      <c r="R532" s="102"/>
      <c r="S532" s="108"/>
      <c r="T532" s="109" t="s">
        <v>30</v>
      </c>
      <c r="U532" s="109"/>
      <c r="V532" s="102"/>
      <c r="W532" s="109"/>
      <c r="X532" s="109"/>
      <c r="Y532" s="110" t="s">
        <v>753</v>
      </c>
      <c r="Z532" s="111" t="str">
        <f>MID(E532,4,2)</f>
        <v>CA</v>
      </c>
    </row>
    <row r="533" spans="1:26" s="111" customFormat="1" x14ac:dyDescent="0.2">
      <c r="A533" s="101">
        <v>46241</v>
      </c>
      <c r="B533" s="91" t="s">
        <v>748</v>
      </c>
      <c r="C533" s="102" t="s">
        <v>749</v>
      </c>
      <c r="D533" s="103" t="s">
        <v>26</v>
      </c>
      <c r="E533" s="91" t="s">
        <v>750</v>
      </c>
      <c r="F533" s="91" t="s">
        <v>751</v>
      </c>
      <c r="G533" s="91" t="s">
        <v>752</v>
      </c>
      <c r="H533" s="104" t="str">
        <f t="shared" si="36"/>
        <v>C5151J20</v>
      </c>
      <c r="I533" s="104"/>
      <c r="J533" s="105">
        <v>3.13</v>
      </c>
      <c r="K533" s="106">
        <f>IF(D533="CAESARSTONE LTD",VLOOKUP(H533,'[2]GIA CA'!G:H,2,0),IF(OR(D533="STONE FACINGS LIMITED",D533="NORDIA SA",D533="INVICTUS STONE COUNTERTOPS INC",D533="QUARTZTOP LLC"),VLOOKUP(H533,'[2] Giá ngoài Mỹ - SI-GR'!$B$5:$AZ$84,51,0),IF(OR(D533="HYUNDAI L&amp;C CANADA INC",D533="Hyundai L&amp; C USA LLC"),VLOOKUP(H533,'[2]GIA HS'!A:D,4,0),IF(Y533="Mỹ",VLOOKUP(H533,'[2]giá mỹ từ 6.8.2025'!B:I,2,0),VLOOKUP(H533,'[2]giá ngoài mỹ 6.8.2025 (final)'!B:BP,51,0)))))</f>
        <v>65</v>
      </c>
      <c r="L533" s="106">
        <v>129.07</v>
      </c>
      <c r="M533" s="106">
        <f t="shared" si="35"/>
        <v>64.069999999999993</v>
      </c>
      <c r="N533" s="106">
        <v>129.07</v>
      </c>
      <c r="O533" s="106">
        <v>404</v>
      </c>
      <c r="P533" s="107">
        <v>26110</v>
      </c>
      <c r="Q533" s="107">
        <v>10548440</v>
      </c>
      <c r="R533" s="102"/>
      <c r="S533" s="108"/>
      <c r="T533" s="109" t="s">
        <v>30</v>
      </c>
      <c r="U533" s="109"/>
      <c r="V533" s="102"/>
      <c r="W533" s="109"/>
      <c r="X533" s="109"/>
      <c r="Y533" s="110" t="s">
        <v>753</v>
      </c>
      <c r="Z533" s="111" t="str">
        <f>MID(E533,4,2)</f>
        <v>CA</v>
      </c>
    </row>
    <row r="534" spans="1:26" s="111" customFormat="1" x14ac:dyDescent="0.2">
      <c r="A534" s="101">
        <v>46241</v>
      </c>
      <c r="B534" s="91" t="s">
        <v>748</v>
      </c>
      <c r="C534" s="102" t="s">
        <v>749</v>
      </c>
      <c r="D534" s="103" t="s">
        <v>26</v>
      </c>
      <c r="E534" s="91" t="s">
        <v>750</v>
      </c>
      <c r="F534" s="91" t="s">
        <v>751</v>
      </c>
      <c r="G534" s="91" t="s">
        <v>752</v>
      </c>
      <c r="H534" s="104" t="str">
        <f t="shared" si="36"/>
        <v>C5151J20</v>
      </c>
      <c r="I534" s="104"/>
      <c r="J534" s="105">
        <v>3.13</v>
      </c>
      <c r="K534" s="106">
        <f>IF(D534="CAESARSTONE LTD",VLOOKUP(H534,'[2]GIA CA'!G:H,2,0),IF(OR(D534="STONE FACINGS LIMITED",D534="NORDIA SA",D534="INVICTUS STONE COUNTERTOPS INC",D534="QUARTZTOP LLC"),VLOOKUP(H534,'[2] Giá ngoài Mỹ - SI-GR'!$B$5:$AZ$84,51,0),IF(OR(D534="HYUNDAI L&amp;C CANADA INC",D534="Hyundai L&amp; C USA LLC"),VLOOKUP(H534,'[2]GIA HS'!A:D,4,0),IF(Y534="Mỹ",VLOOKUP(H534,'[2]giá mỹ từ 6.8.2025'!B:I,2,0),VLOOKUP(H534,'[2]giá ngoài mỹ 6.8.2025 (final)'!B:BP,51,0)))))</f>
        <v>65</v>
      </c>
      <c r="L534" s="106">
        <v>129.07</v>
      </c>
      <c r="M534" s="106">
        <f t="shared" si="35"/>
        <v>64.069999999999993</v>
      </c>
      <c r="N534" s="106">
        <v>129.07</v>
      </c>
      <c r="O534" s="106">
        <v>404</v>
      </c>
      <c r="P534" s="107">
        <v>26110</v>
      </c>
      <c r="Q534" s="107">
        <v>10548440</v>
      </c>
      <c r="R534" s="102"/>
      <c r="S534" s="108"/>
      <c r="T534" s="109" t="s">
        <v>30</v>
      </c>
      <c r="U534" s="109"/>
      <c r="V534" s="102"/>
      <c r="W534" s="109"/>
      <c r="X534" s="109"/>
      <c r="Y534" s="110" t="s">
        <v>753</v>
      </c>
      <c r="Z534" s="111" t="str">
        <f>MID(E534,4,2)</f>
        <v>CA</v>
      </c>
    </row>
    <row r="535" spans="1:26" s="111" customFormat="1" x14ac:dyDescent="0.2">
      <c r="A535" s="101">
        <v>46241</v>
      </c>
      <c r="B535" s="91" t="s">
        <v>748</v>
      </c>
      <c r="C535" s="102" t="s">
        <v>749</v>
      </c>
      <c r="D535" s="103" t="s">
        <v>26</v>
      </c>
      <c r="E535" s="91" t="s">
        <v>750</v>
      </c>
      <c r="F535" s="91" t="s">
        <v>751</v>
      </c>
      <c r="G535" s="91" t="s">
        <v>752</v>
      </c>
      <c r="H535" s="104" t="str">
        <f t="shared" si="36"/>
        <v>C5151J20</v>
      </c>
      <c r="I535" s="104"/>
      <c r="J535" s="105">
        <v>3.13</v>
      </c>
      <c r="K535" s="106">
        <f>IF(D535="CAESARSTONE LTD",VLOOKUP(H535,'[2]GIA CA'!G:H,2,0),IF(OR(D535="STONE FACINGS LIMITED",D535="NORDIA SA",D535="INVICTUS STONE COUNTERTOPS INC",D535="QUARTZTOP LLC"),VLOOKUP(H535,'[2] Giá ngoài Mỹ - SI-GR'!$B$5:$AZ$84,51,0),IF(OR(D535="HYUNDAI L&amp;C CANADA INC",D535="Hyundai L&amp; C USA LLC"),VLOOKUP(H535,'[2]GIA HS'!A:D,4,0),IF(Y535="Mỹ",VLOOKUP(H535,'[2]giá mỹ từ 6.8.2025'!B:I,2,0),VLOOKUP(H535,'[2]giá ngoài mỹ 6.8.2025 (final)'!B:BP,51,0)))))</f>
        <v>65</v>
      </c>
      <c r="L535" s="106">
        <v>129.07</v>
      </c>
      <c r="M535" s="106">
        <f t="shared" si="35"/>
        <v>64.069999999999993</v>
      </c>
      <c r="N535" s="106">
        <v>129.07</v>
      </c>
      <c r="O535" s="106">
        <v>404</v>
      </c>
      <c r="P535" s="107">
        <v>26110</v>
      </c>
      <c r="Q535" s="107">
        <v>10548440</v>
      </c>
      <c r="R535" s="102"/>
      <c r="S535" s="108"/>
      <c r="T535" s="109" t="s">
        <v>30</v>
      </c>
      <c r="U535" s="109"/>
      <c r="V535" s="102"/>
      <c r="W535" s="109"/>
      <c r="X535" s="109"/>
      <c r="Y535" s="110" t="s">
        <v>753</v>
      </c>
      <c r="Z535" s="111" t="str">
        <f>MID(E535,4,2)</f>
        <v>CA</v>
      </c>
    </row>
    <row r="536" spans="1:26" s="111" customFormat="1" x14ac:dyDescent="0.2">
      <c r="A536" s="101">
        <v>46241</v>
      </c>
      <c r="B536" s="91" t="s">
        <v>748</v>
      </c>
      <c r="C536" s="102" t="s">
        <v>749</v>
      </c>
      <c r="D536" s="103" t="s">
        <v>26</v>
      </c>
      <c r="E536" s="91" t="s">
        <v>750</v>
      </c>
      <c r="F536" s="91" t="s">
        <v>108</v>
      </c>
      <c r="G536" s="91" t="s">
        <v>109</v>
      </c>
      <c r="H536" s="104" t="str">
        <f t="shared" si="36"/>
        <v>C4011J20</v>
      </c>
      <c r="I536" s="104"/>
      <c r="J536" s="105">
        <v>539.05999999999995</v>
      </c>
      <c r="K536" s="106">
        <f>+L536</f>
        <v>59.9</v>
      </c>
      <c r="L536" s="106">
        <v>59.9</v>
      </c>
      <c r="M536" s="106">
        <f t="shared" si="35"/>
        <v>0</v>
      </c>
      <c r="N536" s="106">
        <v>59.9</v>
      </c>
      <c r="O536" s="106">
        <v>32289.84</v>
      </c>
      <c r="P536" s="107">
        <v>26110</v>
      </c>
      <c r="Q536" s="107">
        <v>843087722</v>
      </c>
      <c r="R536" s="102" t="s">
        <v>30</v>
      </c>
      <c r="S536" s="108"/>
      <c r="T536" s="109"/>
      <c r="U536" s="109"/>
      <c r="V536" s="102"/>
      <c r="W536" s="109"/>
      <c r="X536" s="109"/>
      <c r="Y536" s="110" t="s">
        <v>753</v>
      </c>
      <c r="Z536" s="111" t="str">
        <f>MID(E536,4,2)</f>
        <v>CA</v>
      </c>
    </row>
    <row r="537" spans="1:26" s="111" customFormat="1" x14ac:dyDescent="0.2">
      <c r="A537" s="101">
        <v>46241</v>
      </c>
      <c r="B537" s="91" t="s">
        <v>754</v>
      </c>
      <c r="C537" s="102" t="s">
        <v>755</v>
      </c>
      <c r="D537" s="103" t="s">
        <v>26</v>
      </c>
      <c r="E537" s="91" t="s">
        <v>756</v>
      </c>
      <c r="F537" s="91" t="s">
        <v>186</v>
      </c>
      <c r="G537" s="91" t="s">
        <v>187</v>
      </c>
      <c r="H537" s="104" t="str">
        <f t="shared" si="36"/>
        <v>C6131J20</v>
      </c>
      <c r="I537" s="104"/>
      <c r="J537" s="105">
        <v>2.81</v>
      </c>
      <c r="K537" s="106">
        <f>IF(D537="CAESARSTONE LTD",VLOOKUP(H537,'[2]GIA CA'!G:H,2,0),IF(OR(D537="STONE FACINGS LIMITED",D537="NORDIA SA",D537="INVICTUS STONE COUNTERTOPS INC",D537="QUARTZTOP LLC"),VLOOKUP(H537,'[2] Giá ngoài Mỹ - SI-GR'!$B$5:$AZ$84,51,0),IF(OR(D537="HYUNDAI L&amp;C CANADA INC",D537="Hyundai L&amp; C USA LLC"),VLOOKUP(H537,'[2]GIA HS'!A:D,4,0),IF(Y537="Mỹ",VLOOKUP(H537,'[2]giá mỹ từ 6.8.2025'!B:I,2,0),VLOOKUP(H537,'[2]giá ngoài mỹ 6.8.2025 (final)'!B:BP,51,0)))))</f>
        <v>59</v>
      </c>
      <c r="L537" s="106">
        <v>94.68</v>
      </c>
      <c r="M537" s="106">
        <f t="shared" si="35"/>
        <v>35.680000000000007</v>
      </c>
      <c r="N537" s="106">
        <v>94.68</v>
      </c>
      <c r="O537" s="106">
        <v>266.05</v>
      </c>
      <c r="P537" s="107">
        <v>26110</v>
      </c>
      <c r="Q537" s="107">
        <v>6946566</v>
      </c>
      <c r="R537" s="102"/>
      <c r="S537" s="108"/>
      <c r="T537" s="109" t="s">
        <v>30</v>
      </c>
      <c r="U537" s="109"/>
      <c r="V537" s="102"/>
      <c r="W537" s="109"/>
      <c r="X537" s="109"/>
      <c r="Y537" s="110" t="s">
        <v>753</v>
      </c>
      <c r="Z537" s="111" t="str">
        <f>MID(E537,4,2)</f>
        <v>CA</v>
      </c>
    </row>
    <row r="538" spans="1:26" s="111" customFormat="1" x14ac:dyDescent="0.2">
      <c r="A538" s="101">
        <v>46241</v>
      </c>
      <c r="B538" s="91" t="s">
        <v>754</v>
      </c>
      <c r="C538" s="102" t="s">
        <v>755</v>
      </c>
      <c r="D538" s="103" t="s">
        <v>26</v>
      </c>
      <c r="E538" s="91" t="s">
        <v>756</v>
      </c>
      <c r="F538" s="91" t="s">
        <v>186</v>
      </c>
      <c r="G538" s="91" t="s">
        <v>187</v>
      </c>
      <c r="H538" s="104" t="str">
        <f t="shared" si="36"/>
        <v>C6131J20</v>
      </c>
      <c r="I538" s="104"/>
      <c r="J538" s="105">
        <v>3.13</v>
      </c>
      <c r="K538" s="106">
        <f>IF(D538="CAESARSTONE LTD",VLOOKUP(H538,'[2]GIA CA'!G:H,2,0),IF(OR(D538="STONE FACINGS LIMITED",D538="NORDIA SA",D538="INVICTUS STONE COUNTERTOPS INC",D538="QUARTZTOP LLC"),VLOOKUP(H538,'[2] Giá ngoài Mỹ - SI-GR'!$B$5:$AZ$84,51,0),IF(OR(D538="HYUNDAI L&amp;C CANADA INC",D538="Hyundai L&amp; C USA LLC"),VLOOKUP(H538,'[2]GIA HS'!A:D,4,0),IF(Y538="Mỹ",VLOOKUP(H538,'[2]giá mỹ từ 6.8.2025'!B:I,2,0),VLOOKUP(H538,'[2]giá ngoài mỹ 6.8.2025 (final)'!B:BP,51,0)))))</f>
        <v>59</v>
      </c>
      <c r="L538" s="106">
        <v>94.68</v>
      </c>
      <c r="M538" s="106">
        <f t="shared" si="35"/>
        <v>35.680000000000007</v>
      </c>
      <c r="N538" s="106">
        <v>94.68</v>
      </c>
      <c r="O538" s="106">
        <v>296.35000000000002</v>
      </c>
      <c r="P538" s="107">
        <v>26110</v>
      </c>
      <c r="Q538" s="107">
        <v>7737699</v>
      </c>
      <c r="R538" s="102"/>
      <c r="S538" s="108"/>
      <c r="T538" s="109" t="s">
        <v>30</v>
      </c>
      <c r="U538" s="109"/>
      <c r="V538" s="102"/>
      <c r="W538" s="109"/>
      <c r="X538" s="109"/>
      <c r="Y538" s="110" t="s">
        <v>753</v>
      </c>
      <c r="Z538" s="111" t="str">
        <f>MID(E538,4,2)</f>
        <v>CA</v>
      </c>
    </row>
    <row r="539" spans="1:26" s="111" customFormat="1" x14ac:dyDescent="0.2">
      <c r="A539" s="101">
        <v>46241</v>
      </c>
      <c r="B539" s="91" t="s">
        <v>754</v>
      </c>
      <c r="C539" s="102" t="s">
        <v>755</v>
      </c>
      <c r="D539" s="103" t="s">
        <v>26</v>
      </c>
      <c r="E539" s="91" t="s">
        <v>756</v>
      </c>
      <c r="F539" s="91" t="s">
        <v>751</v>
      </c>
      <c r="G539" s="91" t="s">
        <v>752</v>
      </c>
      <c r="H539" s="104" t="str">
        <f t="shared" si="36"/>
        <v>C5151J20</v>
      </c>
      <c r="I539" s="104"/>
      <c r="J539" s="105">
        <v>0.94</v>
      </c>
      <c r="K539" s="106">
        <f>IF(D539="CAESARSTONE LTD",VLOOKUP(H539,'[2]GIA CA'!G:H,2,0),IF(OR(D539="STONE FACINGS LIMITED",D539="NORDIA SA",D539="INVICTUS STONE COUNTERTOPS INC",D539="QUARTZTOP LLC"),VLOOKUP(H539,'[2] Giá ngoài Mỹ - SI-GR'!$B$5:$AZ$84,51,0),IF(OR(D539="HYUNDAI L&amp;C CANADA INC",D539="Hyundai L&amp; C USA LLC"),VLOOKUP(H539,'[2]GIA HS'!A:D,4,0),IF(Y539="Mỹ",VLOOKUP(H539,'[2]giá mỹ từ 6.8.2025'!B:I,2,0),VLOOKUP(H539,'[2]giá ngoài mỹ 6.8.2025 (final)'!B:BP,51,0)))))</f>
        <v>65</v>
      </c>
      <c r="L539" s="106">
        <v>128.94</v>
      </c>
      <c r="M539" s="106">
        <f t="shared" si="35"/>
        <v>63.94</v>
      </c>
      <c r="N539" s="106">
        <v>128.94</v>
      </c>
      <c r="O539" s="106">
        <v>121.2</v>
      </c>
      <c r="P539" s="107">
        <v>26110</v>
      </c>
      <c r="Q539" s="107">
        <v>3164532</v>
      </c>
      <c r="R539" s="102"/>
      <c r="S539" s="108"/>
      <c r="T539" s="109" t="s">
        <v>30</v>
      </c>
      <c r="U539" s="109"/>
      <c r="V539" s="102"/>
      <c r="W539" s="109"/>
      <c r="X539" s="109"/>
      <c r="Y539" s="110" t="s">
        <v>753</v>
      </c>
      <c r="Z539" s="111" t="str">
        <f>MID(E539,4,2)</f>
        <v>CA</v>
      </c>
    </row>
    <row r="540" spans="1:26" s="111" customFormat="1" x14ac:dyDescent="0.2">
      <c r="A540" s="101">
        <v>46241</v>
      </c>
      <c r="B540" s="91" t="s">
        <v>754</v>
      </c>
      <c r="C540" s="102" t="s">
        <v>755</v>
      </c>
      <c r="D540" s="103" t="s">
        <v>26</v>
      </c>
      <c r="E540" s="91" t="s">
        <v>756</v>
      </c>
      <c r="F540" s="91" t="s">
        <v>108</v>
      </c>
      <c r="G540" s="91" t="s">
        <v>109</v>
      </c>
      <c r="H540" s="104" t="str">
        <f t="shared" si="36"/>
        <v>C4011J20</v>
      </c>
      <c r="I540" s="104"/>
      <c r="J540" s="105">
        <v>114.35</v>
      </c>
      <c r="K540" s="106">
        <f t="shared" ref="K540:K541" si="37">+L540</f>
        <v>59.9</v>
      </c>
      <c r="L540" s="106">
        <v>59.9</v>
      </c>
      <c r="M540" s="106">
        <f t="shared" si="35"/>
        <v>0</v>
      </c>
      <c r="N540" s="106">
        <v>59.9</v>
      </c>
      <c r="O540" s="106">
        <v>6849.24</v>
      </c>
      <c r="P540" s="107">
        <v>26110</v>
      </c>
      <c r="Q540" s="107">
        <v>178833656</v>
      </c>
      <c r="R540" s="102" t="s">
        <v>30</v>
      </c>
      <c r="S540" s="108"/>
      <c r="T540" s="109"/>
      <c r="U540" s="109"/>
      <c r="V540" s="102"/>
      <c r="W540" s="109"/>
      <c r="X540" s="109"/>
      <c r="Y540" s="110" t="s">
        <v>753</v>
      </c>
      <c r="Z540" s="111" t="str">
        <f>MID(E540,4,2)</f>
        <v>CA</v>
      </c>
    </row>
    <row r="541" spans="1:26" s="111" customFormat="1" x14ac:dyDescent="0.2">
      <c r="A541" s="101">
        <v>46241</v>
      </c>
      <c r="B541" s="91" t="s">
        <v>754</v>
      </c>
      <c r="C541" s="102" t="s">
        <v>755</v>
      </c>
      <c r="D541" s="103" t="s">
        <v>26</v>
      </c>
      <c r="E541" s="91" t="s">
        <v>756</v>
      </c>
      <c r="F541" s="91" t="s">
        <v>257</v>
      </c>
      <c r="G541" s="91" t="s">
        <v>258</v>
      </c>
      <c r="H541" s="104" t="str">
        <f t="shared" si="36"/>
        <v>C4033J20</v>
      </c>
      <c r="I541" s="104"/>
      <c r="J541" s="105">
        <v>419.27</v>
      </c>
      <c r="K541" s="106">
        <f t="shared" si="37"/>
        <v>59.9</v>
      </c>
      <c r="L541" s="106">
        <v>59.9</v>
      </c>
      <c r="M541" s="106">
        <f t="shared" si="35"/>
        <v>0</v>
      </c>
      <c r="N541" s="106">
        <v>59.9</v>
      </c>
      <c r="O541" s="106">
        <v>25114.32</v>
      </c>
      <c r="P541" s="107">
        <v>26110</v>
      </c>
      <c r="Q541" s="107">
        <v>655734895</v>
      </c>
      <c r="R541" s="102" t="s">
        <v>30</v>
      </c>
      <c r="S541" s="108"/>
      <c r="T541" s="109"/>
      <c r="U541" s="109"/>
      <c r="V541" s="102"/>
      <c r="W541" s="109"/>
      <c r="X541" s="109"/>
      <c r="Y541" s="110" t="s">
        <v>753</v>
      </c>
      <c r="Z541" s="111" t="str">
        <f>MID(E541,4,2)</f>
        <v>CA</v>
      </c>
    </row>
    <row r="542" spans="1:26" s="111" customFormat="1" x14ac:dyDescent="0.2">
      <c r="A542" s="101">
        <v>46241</v>
      </c>
      <c r="B542" s="91" t="s">
        <v>757</v>
      </c>
      <c r="C542" s="102" t="s">
        <v>758</v>
      </c>
      <c r="D542" s="103" t="s">
        <v>47</v>
      </c>
      <c r="E542" s="91" t="s">
        <v>759</v>
      </c>
      <c r="F542" s="91" t="s">
        <v>479</v>
      </c>
      <c r="G542" s="91" t="s">
        <v>480</v>
      </c>
      <c r="H542" s="104" t="str">
        <f t="shared" si="36"/>
        <v>C4342J30</v>
      </c>
      <c r="I542" s="104"/>
      <c r="J542" s="105">
        <v>381.15</v>
      </c>
      <c r="K542" s="106">
        <f>IF(D542="CAESARSTONE LTD",VLOOKUP(H542,'[2]GIA CA'!G:H,2,0),IF(OR(D542="STONE FACINGS LIMITED",D542="NORDIA SA",D542="INVICTUS STONE COUNTERTOPS INC",D542="QUARTZTOP LLC"),VLOOKUP(H542,'[2] Giá ngoài Mỹ - SI-GR'!$B$5:$AZ$84,51,0),IF(OR(D542="HYUNDAI L&amp;C CANADA INC",D542="Hyundai L&amp; C USA LLC"),VLOOKUP(H542,'[2]GIA HS'!A:D,4,0),IF(Y542="Mỹ",VLOOKUP(H542,'[2]giá mỹ từ 6.8.2025'!B:I,2,0),VLOOKUP(H542,'[2]giá ngoài mỹ 6.8.2025 (final)'!B:BP,51,0)))))</f>
        <v>79</v>
      </c>
      <c r="L542" s="106">
        <v>87.15</v>
      </c>
      <c r="M542" s="106">
        <f t="shared" si="35"/>
        <v>8.1500000000000057</v>
      </c>
      <c r="N542" s="106">
        <v>87.15</v>
      </c>
      <c r="O542" s="106">
        <v>33217.1</v>
      </c>
      <c r="P542" s="107">
        <v>26110</v>
      </c>
      <c r="Q542" s="107">
        <v>867298481</v>
      </c>
      <c r="R542" s="102" t="s">
        <v>30</v>
      </c>
      <c r="S542" s="108"/>
      <c r="T542" s="109"/>
      <c r="U542" s="109"/>
      <c r="V542" s="102"/>
      <c r="W542" s="109"/>
      <c r="X542" s="109"/>
      <c r="Y542" s="110" t="s">
        <v>31</v>
      </c>
      <c r="Z542" s="111" t="str">
        <f>MID(E542,4,2)</f>
        <v>AT</v>
      </c>
    </row>
    <row r="543" spans="1:26" s="111" customFormat="1" x14ac:dyDescent="0.2">
      <c r="A543" s="101">
        <v>46241</v>
      </c>
      <c r="B543" s="91" t="s">
        <v>760</v>
      </c>
      <c r="C543" s="102" t="s">
        <v>761</v>
      </c>
      <c r="D543" s="103" t="s">
        <v>26</v>
      </c>
      <c r="E543" s="91" t="s">
        <v>762</v>
      </c>
      <c r="F543" s="91" t="s">
        <v>763</v>
      </c>
      <c r="G543" s="91" t="s">
        <v>764</v>
      </c>
      <c r="H543" s="104" t="str">
        <f t="shared" si="36"/>
        <v>M4043J20</v>
      </c>
      <c r="I543" s="104"/>
      <c r="J543" s="105">
        <v>3.44</v>
      </c>
      <c r="K543" s="106">
        <f>L543</f>
        <v>49.28</v>
      </c>
      <c r="L543" s="106">
        <v>49.28</v>
      </c>
      <c r="M543" s="106">
        <f t="shared" si="35"/>
        <v>0</v>
      </c>
      <c r="N543" s="106">
        <v>49.28</v>
      </c>
      <c r="O543" s="106">
        <v>169.52</v>
      </c>
      <c r="P543" s="107">
        <v>26110</v>
      </c>
      <c r="Q543" s="107">
        <v>4426167</v>
      </c>
      <c r="R543" s="102"/>
      <c r="S543" s="108"/>
      <c r="T543" s="109"/>
      <c r="U543" s="109"/>
      <c r="V543" s="102"/>
      <c r="W543" s="109" t="s">
        <v>30</v>
      </c>
      <c r="X543" s="109"/>
      <c r="Y543" s="110" t="s">
        <v>753</v>
      </c>
      <c r="Z543" s="111" t="str">
        <f>MID(E543,4,2)</f>
        <v>CA</v>
      </c>
    </row>
    <row r="544" spans="1:26" s="111" customFormat="1" x14ac:dyDescent="0.2">
      <c r="A544" s="101">
        <v>46241</v>
      </c>
      <c r="B544" s="91" t="s">
        <v>765</v>
      </c>
      <c r="C544" s="102" t="s">
        <v>766</v>
      </c>
      <c r="D544" s="103" t="s">
        <v>26</v>
      </c>
      <c r="E544" s="91" t="s">
        <v>767</v>
      </c>
      <c r="F544" s="91" t="s">
        <v>768</v>
      </c>
      <c r="G544" s="91" t="s">
        <v>769</v>
      </c>
      <c r="H544" s="104" t="str">
        <f t="shared" si="36"/>
        <v>F5113J20</v>
      </c>
      <c r="I544" s="104"/>
      <c r="J544" s="105">
        <v>21.78</v>
      </c>
      <c r="K544" s="106">
        <f>IF(D544="CAESARSTONE LTD",VLOOKUP(H544,'[2]GIA CA'!G:H,2,0),IF(OR(D544="STONE FACINGS LIMITED",D544="NORDIA SA",D544="INVICTUS STONE COUNTERTOPS INC",D544="QUARTZTOP LLC"),VLOOKUP(H544,'[2] Giá ngoài Mỹ - SI-GR'!$B$5:$AZ$84,51,0),IF(OR(D544="HYUNDAI L&amp;C CANADA INC",D544="Hyundai L&amp; C USA LLC"),VLOOKUP(H544,'[2]GIA HS'!A:D,4,0),IF(Y544="Mỹ",VLOOKUP(H544,'[2]giá mỹ từ 6.8.2025'!B:I,2,0),VLOOKUP(H544,'[2]giá ngoài mỹ 6.8.2025 (final)'!B:BP,51,0)))))</f>
        <v>62</v>
      </c>
      <c r="L544" s="106">
        <v>65.099999999999994</v>
      </c>
      <c r="M544" s="106">
        <f t="shared" si="35"/>
        <v>3.0999999999999943</v>
      </c>
      <c r="N544" s="106">
        <v>65.099999999999994</v>
      </c>
      <c r="O544" s="106">
        <v>1417.88</v>
      </c>
      <c r="P544" s="107">
        <v>26110</v>
      </c>
      <c r="Q544" s="107">
        <v>37020847</v>
      </c>
      <c r="R544" s="102" t="s">
        <v>30</v>
      </c>
      <c r="S544" s="108"/>
      <c r="T544" s="109"/>
      <c r="U544" s="109"/>
      <c r="V544" s="102"/>
      <c r="W544" s="109"/>
      <c r="X544" s="109"/>
      <c r="Y544" s="110" t="s">
        <v>290</v>
      </c>
      <c r="Z544" s="111" t="str">
        <f>MID(E544,4,2)</f>
        <v>CA</v>
      </c>
    </row>
    <row r="545" spans="1:26" s="111" customFormat="1" x14ac:dyDescent="0.2">
      <c r="A545" s="101">
        <v>46241</v>
      </c>
      <c r="B545" s="91" t="s">
        <v>765</v>
      </c>
      <c r="C545" s="102" t="s">
        <v>766</v>
      </c>
      <c r="D545" s="103" t="s">
        <v>26</v>
      </c>
      <c r="E545" s="91" t="s">
        <v>767</v>
      </c>
      <c r="F545" s="91" t="s">
        <v>770</v>
      </c>
      <c r="G545" s="91" t="s">
        <v>769</v>
      </c>
      <c r="H545" s="104" t="str">
        <f t="shared" si="36"/>
        <v>F5113J20</v>
      </c>
      <c r="I545" s="104"/>
      <c r="J545" s="105">
        <v>457.38</v>
      </c>
      <c r="K545" s="106">
        <f>IF(D545="CAESARSTONE LTD",VLOOKUP(H545,'[2]GIA CA'!G:H,2,0),IF(OR(D545="STONE FACINGS LIMITED",D545="NORDIA SA",D545="INVICTUS STONE COUNTERTOPS INC",D545="QUARTZTOP LLC"),VLOOKUP(H545,'[2] Giá ngoài Mỹ - SI-GR'!$B$5:$AZ$84,51,0),IF(OR(D545="HYUNDAI L&amp;C CANADA INC",D545="Hyundai L&amp; C USA LLC"),VLOOKUP(H545,'[2]GIA HS'!A:D,4,0),IF(Y545="Mỹ",VLOOKUP(H545,'[2]giá mỹ từ 6.8.2025'!B:I,2,0),VLOOKUP(H545,'[2]giá ngoài mỹ 6.8.2025 (final)'!B:BP,51,0)))))</f>
        <v>62</v>
      </c>
      <c r="L545" s="106">
        <v>65.099999999999994</v>
      </c>
      <c r="M545" s="106">
        <f t="shared" si="35"/>
        <v>3.0999999999999943</v>
      </c>
      <c r="N545" s="106">
        <v>65.099999999999994</v>
      </c>
      <c r="O545" s="106">
        <v>29775.48</v>
      </c>
      <c r="P545" s="107">
        <v>26110</v>
      </c>
      <c r="Q545" s="107">
        <v>777437783</v>
      </c>
      <c r="R545" s="102" t="s">
        <v>30</v>
      </c>
      <c r="S545" s="108"/>
      <c r="T545" s="109"/>
      <c r="U545" s="109"/>
      <c r="V545" s="102"/>
      <c r="W545" s="109"/>
      <c r="X545" s="109"/>
      <c r="Y545" s="110" t="s">
        <v>290</v>
      </c>
      <c r="Z545" s="111" t="str">
        <f>MID(E545,4,2)</f>
        <v>CA</v>
      </c>
    </row>
    <row r="546" spans="1:26" s="111" customFormat="1" x14ac:dyDescent="0.2">
      <c r="A546" s="101">
        <v>46241</v>
      </c>
      <c r="B546" s="91" t="s">
        <v>765</v>
      </c>
      <c r="C546" s="102" t="s">
        <v>766</v>
      </c>
      <c r="D546" s="103" t="s">
        <v>26</v>
      </c>
      <c r="E546" s="91" t="s">
        <v>767</v>
      </c>
      <c r="F546" s="91" t="s">
        <v>28</v>
      </c>
      <c r="G546" s="91" t="s">
        <v>29</v>
      </c>
      <c r="H546" s="104" t="str">
        <f t="shared" si="36"/>
        <v>F4001J20</v>
      </c>
      <c r="I546" s="104"/>
      <c r="J546" s="105">
        <v>239.58</v>
      </c>
      <c r="K546" s="106">
        <f>IF(D546="CAESARSTONE LTD",VLOOKUP(H546,'[2]GIA CA'!G:H,2,0),IF(OR(D546="STONE FACINGS LIMITED",D546="NORDIA SA",D546="INVICTUS STONE COUNTERTOPS INC",D546="QUARTZTOP LLC"),VLOOKUP(H546,'[2] Giá ngoài Mỹ - SI-GR'!$B$5:$AZ$84,51,0),IF(OR(D546="HYUNDAI L&amp;C CANADA INC",D546="Hyundai L&amp; C USA LLC"),VLOOKUP(H546,'[2]GIA HS'!A:D,4,0),IF(Y546="Mỹ",VLOOKUP(H546,'[2]giá mỹ từ 6.8.2025'!B:I,2,0),VLOOKUP(H546,'[2]giá ngoài mỹ 6.8.2025 (final)'!B:BP,51,0)))))</f>
        <v>58</v>
      </c>
      <c r="L546" s="106">
        <v>60.9</v>
      </c>
      <c r="M546" s="106">
        <f t="shared" si="35"/>
        <v>2.8999999999999986</v>
      </c>
      <c r="N546" s="106">
        <v>60.9</v>
      </c>
      <c r="O546" s="106">
        <v>14590.4</v>
      </c>
      <c r="P546" s="107">
        <v>26110</v>
      </c>
      <c r="Q546" s="107">
        <v>380955344</v>
      </c>
      <c r="R546" s="102" t="s">
        <v>30</v>
      </c>
      <c r="S546" s="108"/>
      <c r="T546" s="109"/>
      <c r="U546" s="109"/>
      <c r="V546" s="102"/>
      <c r="W546" s="109"/>
      <c r="X546" s="109"/>
      <c r="Y546" s="110" t="s">
        <v>290</v>
      </c>
      <c r="Z546" s="111" t="str">
        <f>MID(E546,4,2)</f>
        <v>CA</v>
      </c>
    </row>
    <row r="547" spans="1:26" s="111" customFormat="1" x14ac:dyDescent="0.2">
      <c r="A547" s="101">
        <v>46241</v>
      </c>
      <c r="B547" s="91" t="s">
        <v>765</v>
      </c>
      <c r="C547" s="102" t="s">
        <v>766</v>
      </c>
      <c r="D547" s="103" t="s">
        <v>26</v>
      </c>
      <c r="E547" s="91" t="s">
        <v>767</v>
      </c>
      <c r="F547" s="91" t="s">
        <v>465</v>
      </c>
      <c r="G547" s="91" t="s">
        <v>466</v>
      </c>
      <c r="H547" s="104" t="str">
        <f t="shared" si="36"/>
        <v>F4011J20</v>
      </c>
      <c r="I547" s="104"/>
      <c r="J547" s="105">
        <v>16.34</v>
      </c>
      <c r="K547" s="106">
        <f>+L547</f>
        <v>62.98</v>
      </c>
      <c r="L547" s="106">
        <v>62.98</v>
      </c>
      <c r="M547" s="106">
        <f t="shared" si="35"/>
        <v>0</v>
      </c>
      <c r="N547" s="106">
        <v>62.98</v>
      </c>
      <c r="O547" s="106">
        <v>1029.1199999999999</v>
      </c>
      <c r="P547" s="107">
        <v>26110</v>
      </c>
      <c r="Q547" s="107">
        <v>26870323</v>
      </c>
      <c r="R547" s="102" t="s">
        <v>30</v>
      </c>
      <c r="S547" s="108"/>
      <c r="T547" s="109"/>
      <c r="U547" s="109"/>
      <c r="V547" s="102"/>
      <c r="W547" s="109"/>
      <c r="X547" s="109"/>
      <c r="Y547" s="110" t="s">
        <v>290</v>
      </c>
      <c r="Z547" s="111" t="str">
        <f>MID(E547,4,2)</f>
        <v>CA</v>
      </c>
    </row>
    <row r="548" spans="1:26" s="111" customFormat="1" x14ac:dyDescent="0.2">
      <c r="A548" s="101">
        <v>46241</v>
      </c>
      <c r="B548" s="91" t="s">
        <v>765</v>
      </c>
      <c r="C548" s="102" t="s">
        <v>766</v>
      </c>
      <c r="D548" s="103" t="s">
        <v>26</v>
      </c>
      <c r="E548" s="91" t="s">
        <v>767</v>
      </c>
      <c r="F548" s="91" t="s">
        <v>344</v>
      </c>
      <c r="G548" s="91" t="s">
        <v>345</v>
      </c>
      <c r="H548" s="104" t="str">
        <f t="shared" si="36"/>
        <v>F5105J20</v>
      </c>
      <c r="I548" s="104"/>
      <c r="J548" s="105">
        <v>65.34</v>
      </c>
      <c r="K548" s="106">
        <f>IF(D548="CAESARSTONE LTD",VLOOKUP(H548,'[2]GIA CA'!G:H,2,0),IF(OR(D548="STONE FACINGS LIMITED",D548="NORDIA SA",D548="INVICTUS STONE COUNTERTOPS INC",D548="QUARTZTOP LLC"),VLOOKUP(H548,'[2] Giá ngoài Mỹ - SI-GR'!$B$5:$AZ$84,51,0),IF(OR(D548="HYUNDAI L&amp;C CANADA INC",D548="Hyundai L&amp; C USA LLC"),VLOOKUP(H548,'[2]GIA HS'!A:D,4,0),IF(Y548="Mỹ",VLOOKUP(H548,'[2]giá mỹ từ 6.8.2025'!B:I,2,0),VLOOKUP(H548,'[2]giá ngoài mỹ 6.8.2025 (final)'!B:BP,51,0)))))</f>
        <v>68</v>
      </c>
      <c r="L548" s="106">
        <v>71.400000000000006</v>
      </c>
      <c r="M548" s="106">
        <f t="shared" si="35"/>
        <v>3.4000000000000057</v>
      </c>
      <c r="N548" s="106">
        <v>71.400000000000006</v>
      </c>
      <c r="O548" s="106">
        <v>4665.24</v>
      </c>
      <c r="P548" s="107">
        <v>26110</v>
      </c>
      <c r="Q548" s="107">
        <v>121809416</v>
      </c>
      <c r="R548" s="102" t="s">
        <v>30</v>
      </c>
      <c r="S548" s="108"/>
      <c r="T548" s="109"/>
      <c r="U548" s="109"/>
      <c r="V548" s="102"/>
      <c r="W548" s="109"/>
      <c r="X548" s="109"/>
      <c r="Y548" s="110" t="s">
        <v>290</v>
      </c>
      <c r="Z548" s="111" t="str">
        <f>MID(E548,4,2)</f>
        <v>CA</v>
      </c>
    </row>
    <row r="549" spans="1:26" s="111" customFormat="1" x14ac:dyDescent="0.2">
      <c r="A549" s="101">
        <v>46241</v>
      </c>
      <c r="B549" s="91" t="s">
        <v>765</v>
      </c>
      <c r="C549" s="102" t="s">
        <v>766</v>
      </c>
      <c r="D549" s="103" t="s">
        <v>26</v>
      </c>
      <c r="E549" s="91" t="s">
        <v>767</v>
      </c>
      <c r="F549" s="91" t="s">
        <v>346</v>
      </c>
      <c r="G549" s="91" t="s">
        <v>345</v>
      </c>
      <c r="H549" s="104" t="str">
        <f t="shared" si="36"/>
        <v>F5105J20</v>
      </c>
      <c r="I549" s="104"/>
      <c r="J549" s="105">
        <v>32.67</v>
      </c>
      <c r="K549" s="106">
        <f>IF(D549="CAESARSTONE LTD",VLOOKUP(H549,'[2]GIA CA'!G:H,2,0),IF(OR(D549="STONE FACINGS LIMITED",D549="NORDIA SA",D549="INVICTUS STONE COUNTERTOPS INC",D549="QUARTZTOP LLC"),VLOOKUP(H549,'[2] Giá ngoài Mỹ - SI-GR'!$B$5:$AZ$84,51,0),IF(OR(D549="HYUNDAI L&amp;C CANADA INC",D549="Hyundai L&amp; C USA LLC"),VLOOKUP(H549,'[2]GIA HS'!A:D,4,0),IF(Y549="Mỹ",VLOOKUP(H549,'[2]giá mỹ từ 6.8.2025'!B:I,2,0),VLOOKUP(H549,'[2]giá ngoài mỹ 6.8.2025 (final)'!B:BP,51,0)))))</f>
        <v>68</v>
      </c>
      <c r="L549" s="106">
        <v>71.400000000000006</v>
      </c>
      <c r="M549" s="106">
        <f t="shared" si="35"/>
        <v>3.4000000000000057</v>
      </c>
      <c r="N549" s="106">
        <v>71.400000000000006</v>
      </c>
      <c r="O549" s="106">
        <v>2332.62</v>
      </c>
      <c r="P549" s="107">
        <v>26110</v>
      </c>
      <c r="Q549" s="107">
        <v>60904708</v>
      </c>
      <c r="R549" s="102" t="s">
        <v>30</v>
      </c>
      <c r="S549" s="108"/>
      <c r="T549" s="109"/>
      <c r="U549" s="109"/>
      <c r="V549" s="102"/>
      <c r="W549" s="109"/>
      <c r="X549" s="109"/>
      <c r="Y549" s="110" t="s">
        <v>290</v>
      </c>
      <c r="Z549" s="111" t="str">
        <f>MID(E549,4,2)</f>
        <v>CA</v>
      </c>
    </row>
    <row r="550" spans="1:26" s="111" customFormat="1" x14ac:dyDescent="0.2">
      <c r="A550" s="101">
        <v>46241</v>
      </c>
      <c r="B550" s="91" t="s">
        <v>765</v>
      </c>
      <c r="C550" s="102" t="s">
        <v>766</v>
      </c>
      <c r="D550" s="103" t="s">
        <v>26</v>
      </c>
      <c r="E550" s="91" t="s">
        <v>767</v>
      </c>
      <c r="F550" s="91" t="s">
        <v>291</v>
      </c>
      <c r="G550" s="91" t="s">
        <v>292</v>
      </c>
      <c r="H550" s="104" t="str">
        <f t="shared" si="36"/>
        <v>F5133J20</v>
      </c>
      <c r="I550" s="104"/>
      <c r="J550" s="105">
        <v>54.46</v>
      </c>
      <c r="K550" s="106">
        <f>IF(D550="CAESARSTONE LTD",VLOOKUP(H550,'[2]GIA CA'!G:H,2,0),IF(OR(D550="STONE FACINGS LIMITED",D550="NORDIA SA",D550="INVICTUS STONE COUNTERTOPS INC",D550="QUARTZTOP LLC"),VLOOKUP(H550,'[2] Giá ngoài Mỹ - SI-GR'!$B$5:$AZ$84,51,0),IF(OR(D550="HYUNDAI L&amp;C CANADA INC",D550="Hyundai L&amp; C USA LLC"),VLOOKUP(H550,'[2]GIA HS'!A:D,4,0),IF(Y550="Mỹ",VLOOKUP(H550,'[2]giá mỹ từ 6.8.2025'!B:I,2,0),VLOOKUP(H550,'[2]giá ngoài mỹ 6.8.2025 (final)'!B:BP,51,0)))))</f>
        <v>62</v>
      </c>
      <c r="L550" s="106">
        <v>65.09</v>
      </c>
      <c r="M550" s="106">
        <f t="shared" si="35"/>
        <v>3.0900000000000034</v>
      </c>
      <c r="N550" s="106">
        <v>65.09</v>
      </c>
      <c r="O550" s="106">
        <v>3544.7</v>
      </c>
      <c r="P550" s="107">
        <v>26110</v>
      </c>
      <c r="Q550" s="107">
        <v>92552117</v>
      </c>
      <c r="R550" s="102" t="s">
        <v>30</v>
      </c>
      <c r="S550" s="108"/>
      <c r="T550" s="109"/>
      <c r="U550" s="109"/>
      <c r="V550" s="102"/>
      <c r="W550" s="109"/>
      <c r="X550" s="109"/>
      <c r="Y550" s="110" t="s">
        <v>290</v>
      </c>
      <c r="Z550" s="111" t="str">
        <f>MID(E550,4,2)</f>
        <v>CA</v>
      </c>
    </row>
    <row r="551" spans="1:26" s="111" customFormat="1" x14ac:dyDescent="0.2">
      <c r="A551" s="101">
        <v>46241</v>
      </c>
      <c r="B551" s="91" t="s">
        <v>765</v>
      </c>
      <c r="C551" s="102" t="s">
        <v>766</v>
      </c>
      <c r="D551" s="103" t="s">
        <v>26</v>
      </c>
      <c r="E551" s="91" t="s">
        <v>767</v>
      </c>
      <c r="F551" s="91" t="s">
        <v>562</v>
      </c>
      <c r="G551" s="91" t="s">
        <v>563</v>
      </c>
      <c r="H551" s="104" t="str">
        <f t="shared" si="36"/>
        <v>F5441J20</v>
      </c>
      <c r="I551" s="104"/>
      <c r="J551" s="105">
        <v>16.329999999999998</v>
      </c>
      <c r="K551" s="106">
        <f>IF(D551="CAESARSTONE LTD",VLOOKUP(H551,'[2]GIA CA'!G:H,2,0),IF(OR(D551="STONE FACINGS LIMITED",D551="NORDIA SA",D551="INVICTUS STONE COUNTERTOPS INC",D551="QUARTZTOP LLC"),VLOOKUP(H551,'[2] Giá ngoài Mỹ - SI-GR'!$B$5:$AZ$84,51,0),IF(OR(D551="HYUNDAI L&amp;C CANADA INC",D551="Hyundai L&amp; C USA LLC"),VLOOKUP(H551,'[2]GIA HS'!A:D,4,0),IF(Y551="Mỹ",VLOOKUP(H551,'[2]giá mỹ từ 6.8.2025'!B:I,2,0),VLOOKUP(H551,'[2]giá ngoài mỹ 6.8.2025 (final)'!B:BP,51,0)))))</f>
        <v>74</v>
      </c>
      <c r="L551" s="106">
        <v>74</v>
      </c>
      <c r="M551" s="106">
        <f t="shared" si="35"/>
        <v>0</v>
      </c>
      <c r="N551" s="106">
        <v>74</v>
      </c>
      <c r="O551" s="106">
        <v>1208.42</v>
      </c>
      <c r="P551" s="107">
        <v>26110</v>
      </c>
      <c r="Q551" s="107">
        <v>31551846</v>
      </c>
      <c r="R551" s="102" t="s">
        <v>30</v>
      </c>
      <c r="S551" s="108"/>
      <c r="T551" s="109"/>
      <c r="U551" s="109"/>
      <c r="V551" s="102"/>
      <c r="W551" s="109"/>
      <c r="X551" s="109"/>
      <c r="Y551" s="110" t="s">
        <v>290</v>
      </c>
      <c r="Z551" s="111" t="str">
        <f>MID(E551,4,2)</f>
        <v>CA</v>
      </c>
    </row>
    <row r="552" spans="1:26" s="111" customFormat="1" x14ac:dyDescent="0.2">
      <c r="A552" s="101">
        <v>46241</v>
      </c>
      <c r="B552" s="91" t="s">
        <v>765</v>
      </c>
      <c r="C552" s="102" t="s">
        <v>766</v>
      </c>
      <c r="D552" s="103" t="s">
        <v>26</v>
      </c>
      <c r="E552" s="91" t="s">
        <v>767</v>
      </c>
      <c r="F552" s="91" t="s">
        <v>771</v>
      </c>
      <c r="G552" s="91" t="s">
        <v>563</v>
      </c>
      <c r="H552" s="104" t="str">
        <f t="shared" si="36"/>
        <v>F5441J20</v>
      </c>
      <c r="I552" s="104"/>
      <c r="J552" s="105">
        <v>49.01</v>
      </c>
      <c r="K552" s="106">
        <f>IF(D552="CAESARSTONE LTD",VLOOKUP(H552,'[2]GIA CA'!G:H,2,0),IF(OR(D552="STONE FACINGS LIMITED",D552="NORDIA SA",D552="INVICTUS STONE COUNTERTOPS INC",D552="QUARTZTOP LLC"),VLOOKUP(H552,'[2] Giá ngoài Mỹ - SI-GR'!$B$5:$AZ$84,51,0),IF(OR(D552="HYUNDAI L&amp;C CANADA INC",D552="Hyundai L&amp; C USA LLC"),VLOOKUP(H552,'[2]GIA HS'!A:D,4,0),IF(Y552="Mỹ",VLOOKUP(H552,'[2]giá mỹ từ 6.8.2025'!B:I,2,0),VLOOKUP(H552,'[2]giá ngoài mỹ 6.8.2025 (final)'!B:BP,51,0)))))</f>
        <v>74</v>
      </c>
      <c r="L552" s="106">
        <v>74</v>
      </c>
      <c r="M552" s="106">
        <f t="shared" si="35"/>
        <v>0</v>
      </c>
      <c r="N552" s="106">
        <v>74</v>
      </c>
      <c r="O552" s="106">
        <v>3626.74</v>
      </c>
      <c r="P552" s="107">
        <v>26110</v>
      </c>
      <c r="Q552" s="107">
        <v>94694181</v>
      </c>
      <c r="R552" s="102" t="s">
        <v>30</v>
      </c>
      <c r="S552" s="108"/>
      <c r="T552" s="109"/>
      <c r="U552" s="109"/>
      <c r="V552" s="102"/>
      <c r="W552" s="109"/>
      <c r="X552" s="109"/>
      <c r="Y552" s="110" t="s">
        <v>290</v>
      </c>
      <c r="Z552" s="111" t="str">
        <f>MID(E552,4,2)</f>
        <v>CA</v>
      </c>
    </row>
    <row r="553" spans="1:26" s="111" customFormat="1" x14ac:dyDescent="0.2">
      <c r="A553" s="101">
        <v>46241</v>
      </c>
      <c r="B553" s="91" t="s">
        <v>772</v>
      </c>
      <c r="C553" s="102" t="s">
        <v>773</v>
      </c>
      <c r="D553" s="103" t="s">
        <v>26</v>
      </c>
      <c r="E553" s="91" t="s">
        <v>774</v>
      </c>
      <c r="F553" s="91" t="s">
        <v>205</v>
      </c>
      <c r="G553" s="91" t="s">
        <v>206</v>
      </c>
      <c r="H553" s="104" t="str">
        <f t="shared" si="36"/>
        <v>F5141J20</v>
      </c>
      <c r="I553" s="104"/>
      <c r="J553" s="105">
        <v>54.45</v>
      </c>
      <c r="K553" s="106">
        <f>IF(D553="CAESARSTONE LTD",VLOOKUP(H553,'[2]GIA CA'!G:H,2,0),IF(OR(D553="STONE FACINGS LIMITED",D553="NORDIA SA",D553="INVICTUS STONE COUNTERTOPS INC",D553="QUARTZTOP LLC"),VLOOKUP(H553,'[2] Giá ngoài Mỹ - SI-GR'!$B$5:$AZ$84,51,0),IF(OR(D553="HYUNDAI L&amp;C CANADA INC",D553="Hyundai L&amp; C USA LLC"),VLOOKUP(H553,'[2]GIA HS'!A:D,4,0),IF(Y553="Mỹ",VLOOKUP(H553,'[2]giá mỹ từ 6.8.2025'!B:I,2,0),VLOOKUP(H553,'[2]giá ngoài mỹ 6.8.2025 (final)'!B:BP,51,0)))))</f>
        <v>58</v>
      </c>
      <c r="L553" s="106">
        <v>63.32</v>
      </c>
      <c r="M553" s="106">
        <f t="shared" si="35"/>
        <v>5.32</v>
      </c>
      <c r="N553" s="106">
        <v>63.32</v>
      </c>
      <c r="O553" s="106">
        <v>3447.65</v>
      </c>
      <c r="P553" s="107">
        <v>26110</v>
      </c>
      <c r="Q553" s="107">
        <v>90018142</v>
      </c>
      <c r="R553" s="102" t="s">
        <v>30</v>
      </c>
      <c r="S553" s="108"/>
      <c r="T553" s="109"/>
      <c r="U553" s="109"/>
      <c r="V553" s="102"/>
      <c r="W553" s="109"/>
      <c r="X553" s="109"/>
      <c r="Y553" s="110" t="s">
        <v>31</v>
      </c>
      <c r="Z553" s="111" t="str">
        <f>MID(E553,4,2)</f>
        <v>CA</v>
      </c>
    </row>
    <row r="554" spans="1:26" s="111" customFormat="1" x14ac:dyDescent="0.2">
      <c r="A554" s="101">
        <v>46241</v>
      </c>
      <c r="B554" s="91" t="s">
        <v>772</v>
      </c>
      <c r="C554" s="102" t="s">
        <v>773</v>
      </c>
      <c r="D554" s="103" t="s">
        <v>26</v>
      </c>
      <c r="E554" s="91" t="s">
        <v>774</v>
      </c>
      <c r="F554" s="91" t="s">
        <v>43</v>
      </c>
      <c r="G554" s="91" t="s">
        <v>44</v>
      </c>
      <c r="H554" s="104" t="str">
        <f t="shared" si="36"/>
        <v>F5141J30</v>
      </c>
      <c r="I554" s="104"/>
      <c r="J554" s="105">
        <v>152.46</v>
      </c>
      <c r="K554" s="106">
        <f>IF(D554="CAESARSTONE LTD",VLOOKUP(H554,'[2]GIA CA'!G:H,2,0),IF(OR(D554="STONE FACINGS LIMITED",D554="NORDIA SA",D554="INVICTUS STONE COUNTERTOPS INC",D554="QUARTZTOP LLC"),VLOOKUP(H554,'[2] Giá ngoài Mỹ - SI-GR'!$B$5:$AZ$84,51,0),IF(OR(D554="HYUNDAI L&amp;C CANADA INC",D554="Hyundai L&amp; C USA LLC"),VLOOKUP(H554,'[2]GIA HS'!A:D,4,0),IF(Y554="Mỹ",VLOOKUP(H554,'[2]giá mỹ từ 6.8.2025'!B:I,2,0),VLOOKUP(H554,'[2]giá ngoài mỹ 6.8.2025 (final)'!B:BP,51,0)))))</f>
        <v>72.5</v>
      </c>
      <c r="L554" s="106">
        <v>76</v>
      </c>
      <c r="M554" s="106">
        <f t="shared" si="35"/>
        <v>3.5</v>
      </c>
      <c r="N554" s="106">
        <v>76</v>
      </c>
      <c r="O554" s="106">
        <v>11586.96</v>
      </c>
      <c r="P554" s="107">
        <v>26110</v>
      </c>
      <c r="Q554" s="107">
        <v>302535526</v>
      </c>
      <c r="R554" s="102" t="s">
        <v>30</v>
      </c>
      <c r="S554" s="108"/>
      <c r="T554" s="109"/>
      <c r="U554" s="109"/>
      <c r="V554" s="102"/>
      <c r="W554" s="109"/>
      <c r="X554" s="109"/>
      <c r="Y554" s="110" t="s">
        <v>31</v>
      </c>
      <c r="Z554" s="111" t="str">
        <f>MID(E554,4,2)</f>
        <v>CA</v>
      </c>
    </row>
    <row r="555" spans="1:26" s="111" customFormat="1" x14ac:dyDescent="0.2">
      <c r="A555" s="101">
        <v>46241</v>
      </c>
      <c r="B555" s="91" t="s">
        <v>772</v>
      </c>
      <c r="C555" s="102" t="s">
        <v>773</v>
      </c>
      <c r="D555" s="103" t="s">
        <v>26</v>
      </c>
      <c r="E555" s="91" t="s">
        <v>774</v>
      </c>
      <c r="F555" s="91" t="s">
        <v>38</v>
      </c>
      <c r="G555" s="91" t="s">
        <v>39</v>
      </c>
      <c r="H555" s="104" t="str">
        <f t="shared" si="36"/>
        <v>F5143J30</v>
      </c>
      <c r="I555" s="104"/>
      <c r="J555" s="105">
        <v>76.23</v>
      </c>
      <c r="K555" s="106">
        <f>IF(D555="CAESARSTONE LTD",VLOOKUP(H555,'[2]GIA CA'!G:H,2,0),IF(OR(D555="STONE FACINGS LIMITED",D555="NORDIA SA",D555="INVICTUS STONE COUNTERTOPS INC",D555="QUARTZTOP LLC"),VLOOKUP(H555,'[2] Giá ngoài Mỹ - SI-GR'!$B$5:$AZ$84,51,0),IF(OR(D555="HYUNDAI L&amp;C CANADA INC",D555="Hyundai L&amp; C USA LLC"),VLOOKUP(H555,'[2]GIA HS'!A:D,4,0),IF(Y555="Mỹ",VLOOKUP(H555,'[2]giá mỹ từ 6.8.2025'!B:I,2,0),VLOOKUP(H555,'[2]giá ngoài mỹ 6.8.2025 (final)'!B:BP,51,0)))))</f>
        <v>77.5</v>
      </c>
      <c r="L555" s="106">
        <v>81</v>
      </c>
      <c r="M555" s="106">
        <f t="shared" si="35"/>
        <v>3.5</v>
      </c>
      <c r="N555" s="106">
        <v>81</v>
      </c>
      <c r="O555" s="107">
        <v>6174.63</v>
      </c>
      <c r="P555" s="107">
        <v>26110</v>
      </c>
      <c r="Q555" s="107">
        <v>161219589</v>
      </c>
      <c r="R555" s="102" t="s">
        <v>30</v>
      </c>
      <c r="S555" s="108"/>
      <c r="T555" s="109"/>
      <c r="U555" s="109"/>
      <c r="V555" s="102"/>
      <c r="W555" s="109"/>
      <c r="X555" s="109"/>
      <c r="Y555" s="110" t="s">
        <v>31</v>
      </c>
      <c r="Z555" s="111" t="str">
        <f>MID(E555,4,2)</f>
        <v>CA</v>
      </c>
    </row>
    <row r="556" spans="1:26" s="111" customFormat="1" x14ac:dyDescent="0.2">
      <c r="A556" s="101">
        <v>46241</v>
      </c>
      <c r="B556" s="91" t="s">
        <v>772</v>
      </c>
      <c r="C556" s="102" t="s">
        <v>773</v>
      </c>
      <c r="D556" s="103" t="s">
        <v>26</v>
      </c>
      <c r="E556" s="91" t="s">
        <v>774</v>
      </c>
      <c r="F556" s="91" t="s">
        <v>453</v>
      </c>
      <c r="G556" s="91" t="s">
        <v>454</v>
      </c>
      <c r="H556" s="104" t="str">
        <f t="shared" si="36"/>
        <v>F5151J20</v>
      </c>
      <c r="I556" s="104"/>
      <c r="J556" s="105">
        <v>54.45</v>
      </c>
      <c r="K556" s="106">
        <f>IF(D556="CAESARSTONE LTD",VLOOKUP(H556,'[2]GIA CA'!G:H,2,0),IF(OR(D556="STONE FACINGS LIMITED",D556="NORDIA SA",D556="INVICTUS STONE COUNTERTOPS INC",D556="QUARTZTOP LLC"),VLOOKUP(H556,'[2] Giá ngoài Mỹ - SI-GR'!$B$5:$AZ$84,51,0),IF(OR(D556="HYUNDAI L&amp;C CANADA INC",D556="Hyundai L&amp; C USA LLC"),VLOOKUP(H556,'[2]GIA HS'!A:D,4,0),IF(Y556="Mỹ",VLOOKUP(H556,'[2]giá mỹ từ 6.8.2025'!B:I,2,0),VLOOKUP(H556,'[2]giá ngoài mỹ 6.8.2025 (final)'!B:BP,51,0)))))</f>
        <v>68</v>
      </c>
      <c r="L556" s="106">
        <v>78</v>
      </c>
      <c r="M556" s="106">
        <f t="shared" si="35"/>
        <v>10</v>
      </c>
      <c r="N556" s="106">
        <v>78</v>
      </c>
      <c r="O556" s="107">
        <v>4247.1000000000004</v>
      </c>
      <c r="P556" s="107">
        <v>26110</v>
      </c>
      <c r="Q556" s="107">
        <v>110891781</v>
      </c>
      <c r="R556" s="102" t="s">
        <v>30</v>
      </c>
      <c r="S556" s="108"/>
      <c r="T556" s="109"/>
      <c r="U556" s="109"/>
      <c r="V556" s="102"/>
      <c r="W556" s="109"/>
      <c r="X556" s="109"/>
      <c r="Y556" s="110" t="s">
        <v>31</v>
      </c>
      <c r="Z556" s="111" t="str">
        <f>MID(E556,4,2)</f>
        <v>CA</v>
      </c>
    </row>
    <row r="557" spans="1:26" s="111" customFormat="1" x14ac:dyDescent="0.2">
      <c r="A557" s="101">
        <v>46241</v>
      </c>
      <c r="B557" s="91" t="s">
        <v>772</v>
      </c>
      <c r="C557" s="102" t="s">
        <v>773</v>
      </c>
      <c r="D557" s="103" t="s">
        <v>26</v>
      </c>
      <c r="E557" s="91" t="s">
        <v>774</v>
      </c>
      <c r="F557" s="91" t="s">
        <v>70</v>
      </c>
      <c r="G557" s="91" t="s">
        <v>71</v>
      </c>
      <c r="H557" s="104" t="str">
        <f t="shared" si="36"/>
        <v>C5116J30</v>
      </c>
      <c r="I557" s="104"/>
      <c r="J557" s="105">
        <v>76.23</v>
      </c>
      <c r="K557" s="106">
        <f>IF(D557="CAESARSTONE LTD",VLOOKUP(H557,'[2]GIA CA'!G:H,2,0),IF(OR(D557="STONE FACINGS LIMITED",D557="NORDIA SA",D557="INVICTUS STONE COUNTERTOPS INC",D557="QUARTZTOP LLC"),VLOOKUP(H557,'[2] Giá ngoài Mỹ - SI-GR'!$B$5:$AZ$84,51,0),IF(OR(D557="HYUNDAI L&amp;C CANADA INC",D557="Hyundai L&amp; C USA LLC"),VLOOKUP(H557,'[2]GIA HS'!A:D,4,0),IF(Y557="Mỹ",VLOOKUP(H557,'[2]giá mỹ từ 6.8.2025'!B:I,2,0),VLOOKUP(H557,'[2]giá ngoài mỹ 6.8.2025 (final)'!B:BP,51,0)))))</f>
        <v>81.25</v>
      </c>
      <c r="L557" s="106">
        <v>85</v>
      </c>
      <c r="M557" s="106">
        <f t="shared" si="35"/>
        <v>3.75</v>
      </c>
      <c r="N557" s="106">
        <v>85</v>
      </c>
      <c r="O557" s="107">
        <v>6479.55</v>
      </c>
      <c r="P557" s="107">
        <v>26110</v>
      </c>
      <c r="Q557" s="107">
        <v>169181051</v>
      </c>
      <c r="R557" s="102" t="s">
        <v>30</v>
      </c>
      <c r="S557" s="108"/>
      <c r="T557" s="109"/>
      <c r="U557" s="109"/>
      <c r="V557" s="102"/>
      <c r="W557" s="109"/>
      <c r="X557" s="109"/>
      <c r="Y557" s="110" t="s">
        <v>31</v>
      </c>
      <c r="Z557" s="111" t="str">
        <f>MID(E557,4,2)</f>
        <v>CA</v>
      </c>
    </row>
    <row r="558" spans="1:26" s="111" customFormat="1" x14ac:dyDescent="0.2">
      <c r="A558" s="101">
        <v>46241</v>
      </c>
      <c r="B558" s="91" t="s">
        <v>772</v>
      </c>
      <c r="C558" s="102" t="s">
        <v>773</v>
      </c>
      <c r="D558" s="103" t="s">
        <v>26</v>
      </c>
      <c r="E558" s="91" t="s">
        <v>774</v>
      </c>
      <c r="F558" s="91" t="s">
        <v>464</v>
      </c>
      <c r="G558" s="91" t="s">
        <v>463</v>
      </c>
      <c r="H558" s="104" t="str">
        <f t="shared" si="36"/>
        <v>C5141J20</v>
      </c>
      <c r="I558" s="104"/>
      <c r="J558" s="105">
        <v>54.45</v>
      </c>
      <c r="K558" s="106">
        <f>IF(D558="CAESARSTONE LTD",VLOOKUP(H558,'[2]GIA CA'!G:H,2,0),IF(OR(D558="STONE FACINGS LIMITED",D558="NORDIA SA",D558="INVICTUS STONE COUNTERTOPS INC",D558="QUARTZTOP LLC"),VLOOKUP(H558,'[2] Giá ngoài Mỹ - SI-GR'!$B$5:$AZ$84,51,0),IF(OR(D558="HYUNDAI L&amp;C CANADA INC",D558="Hyundai L&amp; C USA LLC"),VLOOKUP(H558,'[2]GIA HS'!A:D,4,0),IF(Y558="Mỹ",VLOOKUP(H558,'[2]giá mỹ từ 6.8.2025'!B:I,2,0),VLOOKUP(H558,'[2]giá ngoài mỹ 6.8.2025 (final)'!B:BP,51,0)))))</f>
        <v>55</v>
      </c>
      <c r="L558" s="106">
        <v>58</v>
      </c>
      <c r="M558" s="106">
        <f t="shared" si="35"/>
        <v>3</v>
      </c>
      <c r="N558" s="106">
        <v>58</v>
      </c>
      <c r="O558" s="106">
        <v>3158.1</v>
      </c>
      <c r="P558" s="107">
        <v>26110</v>
      </c>
      <c r="Q558" s="107">
        <v>82457991</v>
      </c>
      <c r="R558" s="102" t="s">
        <v>30</v>
      </c>
      <c r="S558" s="108"/>
      <c r="T558" s="109"/>
      <c r="U558" s="109"/>
      <c r="V558" s="102"/>
      <c r="W558" s="109"/>
      <c r="X558" s="109"/>
      <c r="Y558" s="110" t="s">
        <v>31</v>
      </c>
      <c r="Z558" s="111" t="str">
        <f>MID(E558,4,2)</f>
        <v>CA</v>
      </c>
    </row>
    <row r="559" spans="1:26" s="111" customFormat="1" x14ac:dyDescent="0.2">
      <c r="A559" s="101">
        <v>46241</v>
      </c>
      <c r="B559" s="91" t="s">
        <v>772</v>
      </c>
      <c r="C559" s="102" t="s">
        <v>773</v>
      </c>
      <c r="D559" s="103" t="s">
        <v>26</v>
      </c>
      <c r="E559" s="91" t="s">
        <v>774</v>
      </c>
      <c r="F559" s="91" t="s">
        <v>237</v>
      </c>
      <c r="G559" s="91" t="s">
        <v>73</v>
      </c>
      <c r="H559" s="104" t="str">
        <f t="shared" si="36"/>
        <v>C5143J30</v>
      </c>
      <c r="I559" s="104"/>
      <c r="J559" s="105">
        <v>76.23</v>
      </c>
      <c r="K559" s="106">
        <f>IF(D559="CAESARSTONE LTD",VLOOKUP(H559,'[2]GIA CA'!G:H,2,0),IF(OR(D559="STONE FACINGS LIMITED",D559="NORDIA SA",D559="INVICTUS STONE COUNTERTOPS INC",D559="QUARTZTOP LLC"),VLOOKUP(H559,'[2] Giá ngoài Mỹ - SI-GR'!$B$5:$AZ$84,51,0),IF(OR(D559="HYUNDAI L&amp;C CANADA INC",D559="Hyundai L&amp; C USA LLC"),VLOOKUP(H559,'[2]GIA HS'!A:D,4,0),IF(Y559="Mỹ",VLOOKUP(H559,'[2]giá mỹ từ 6.8.2025'!B:I,2,0),VLOOKUP(H559,'[2]giá ngoài mỹ 6.8.2025 (final)'!B:BP,51,0)))))</f>
        <v>73.75</v>
      </c>
      <c r="L559" s="106">
        <v>77</v>
      </c>
      <c r="M559" s="106">
        <f t="shared" si="35"/>
        <v>3.25</v>
      </c>
      <c r="N559" s="106">
        <v>77</v>
      </c>
      <c r="O559" s="106">
        <v>5869.71</v>
      </c>
      <c r="P559" s="107">
        <v>26110</v>
      </c>
      <c r="Q559" s="107">
        <v>153258128</v>
      </c>
      <c r="R559" s="102" t="s">
        <v>30</v>
      </c>
      <c r="S559" s="108"/>
      <c r="T559" s="109"/>
      <c r="U559" s="109"/>
      <c r="V559" s="102"/>
      <c r="W559" s="109"/>
      <c r="X559" s="109"/>
      <c r="Y559" s="110" t="s">
        <v>31</v>
      </c>
      <c r="Z559" s="111" t="str">
        <f>MID(E559,4,2)</f>
        <v>CA</v>
      </c>
    </row>
    <row r="560" spans="1:26" s="111" customFormat="1" x14ac:dyDescent="0.2">
      <c r="A560" s="101">
        <v>46241</v>
      </c>
      <c r="B560" s="91" t="s">
        <v>772</v>
      </c>
      <c r="C560" s="102" t="s">
        <v>773</v>
      </c>
      <c r="D560" s="103" t="s">
        <v>26</v>
      </c>
      <c r="E560" s="91" t="s">
        <v>774</v>
      </c>
      <c r="F560" s="91" t="s">
        <v>208</v>
      </c>
      <c r="G560" s="91" t="s">
        <v>209</v>
      </c>
      <c r="H560" s="104" t="str">
        <f t="shared" si="36"/>
        <v>F5151J30</v>
      </c>
      <c r="I560" s="104"/>
      <c r="J560" s="105">
        <v>114.35</v>
      </c>
      <c r="K560" s="106">
        <f>IF(D560="CAESARSTONE LTD",VLOOKUP(H560,'[2]GIA CA'!G:H,2,0),IF(OR(D560="STONE FACINGS LIMITED",D560="NORDIA SA",D560="INVICTUS STONE COUNTERTOPS INC",D560="QUARTZTOP LLC"),VLOOKUP(H560,'[2] Giá ngoài Mỹ - SI-GR'!$B$5:$AZ$84,51,0),IF(OR(D560="HYUNDAI L&amp;C CANADA INC",D560="Hyundai L&amp; C USA LLC"),VLOOKUP(H560,'[2]GIA HS'!A:D,4,0),IF(Y560="Mỹ",VLOOKUP(H560,'[2]giá mỹ từ 6.8.2025'!B:I,2,0),VLOOKUP(H560,'[2]giá ngoài mỹ 6.8.2025 (final)'!B:BP,51,0)))))</f>
        <v>85</v>
      </c>
      <c r="L560" s="106">
        <v>97</v>
      </c>
      <c r="M560" s="106">
        <f t="shared" si="35"/>
        <v>12</v>
      </c>
      <c r="N560" s="106">
        <v>97</v>
      </c>
      <c r="O560" s="106">
        <v>11091.95</v>
      </c>
      <c r="P560" s="107">
        <v>26110</v>
      </c>
      <c r="Q560" s="107">
        <v>289610815</v>
      </c>
      <c r="R560" s="102" t="s">
        <v>30</v>
      </c>
      <c r="S560" s="108"/>
      <c r="T560" s="109"/>
      <c r="U560" s="109"/>
      <c r="V560" s="102"/>
      <c r="W560" s="109"/>
      <c r="X560" s="109"/>
      <c r="Y560" s="110" t="s">
        <v>31</v>
      </c>
      <c r="Z560" s="111" t="str">
        <f>MID(E560,4,2)</f>
        <v>CA</v>
      </c>
    </row>
    <row r="561" spans="1:26" s="111" customFormat="1" x14ac:dyDescent="0.2">
      <c r="A561" s="101">
        <v>46241</v>
      </c>
      <c r="B561" s="91" t="s">
        <v>772</v>
      </c>
      <c r="C561" s="102" t="s">
        <v>773</v>
      </c>
      <c r="D561" s="103" t="s">
        <v>26</v>
      </c>
      <c r="E561" s="91" t="s">
        <v>774</v>
      </c>
      <c r="F561" s="91" t="s">
        <v>70</v>
      </c>
      <c r="G561" s="91" t="s">
        <v>71</v>
      </c>
      <c r="H561" s="104" t="str">
        <f t="shared" si="36"/>
        <v>C5116J30</v>
      </c>
      <c r="I561" s="104"/>
      <c r="J561" s="105">
        <v>76.23</v>
      </c>
      <c r="K561" s="106">
        <f>IF(D561="CAESARSTONE LTD",VLOOKUP(H561,'[2]GIA CA'!G:H,2,0),IF(OR(D561="STONE FACINGS LIMITED",D561="NORDIA SA",D561="INVICTUS STONE COUNTERTOPS INC",D561="QUARTZTOP LLC"),VLOOKUP(H561,'[2] Giá ngoài Mỹ - SI-GR'!$B$5:$AZ$84,51,0),IF(OR(D561="HYUNDAI L&amp;C CANADA INC",D561="Hyundai L&amp; C USA LLC"),VLOOKUP(H561,'[2]GIA HS'!A:D,4,0),IF(Y561="Mỹ",VLOOKUP(H561,'[2]giá mỹ từ 6.8.2025'!B:I,2,0),VLOOKUP(H561,'[2]giá ngoài mỹ 6.8.2025 (final)'!B:BP,51,0)))))</f>
        <v>81.25</v>
      </c>
      <c r="L561" s="106">
        <v>85</v>
      </c>
      <c r="M561" s="106">
        <f t="shared" si="35"/>
        <v>3.75</v>
      </c>
      <c r="N561" s="106">
        <v>85</v>
      </c>
      <c r="O561" s="106">
        <v>6479.55</v>
      </c>
      <c r="P561" s="107">
        <v>26110</v>
      </c>
      <c r="Q561" s="107">
        <v>169181051</v>
      </c>
      <c r="R561" s="102" t="s">
        <v>30</v>
      </c>
      <c r="S561" s="108"/>
      <c r="T561" s="109"/>
      <c r="U561" s="109"/>
      <c r="V561" s="102"/>
      <c r="W561" s="109"/>
      <c r="X561" s="109"/>
      <c r="Y561" s="110" t="s">
        <v>31</v>
      </c>
      <c r="Z561" s="111" t="str">
        <f>MID(E561,4,2)</f>
        <v>CA</v>
      </c>
    </row>
    <row r="562" spans="1:26" s="111" customFormat="1" x14ac:dyDescent="0.2">
      <c r="A562" s="101">
        <v>46241</v>
      </c>
      <c r="B562" s="91" t="s">
        <v>772</v>
      </c>
      <c r="C562" s="102" t="s">
        <v>773</v>
      </c>
      <c r="D562" s="103" t="s">
        <v>26</v>
      </c>
      <c r="E562" s="91" t="s">
        <v>774</v>
      </c>
      <c r="F562" s="91" t="s">
        <v>32</v>
      </c>
      <c r="G562" s="91" t="s">
        <v>33</v>
      </c>
      <c r="H562" s="104" t="str">
        <f t="shared" si="36"/>
        <v>F4001J30</v>
      </c>
      <c r="I562" s="104"/>
      <c r="J562" s="105">
        <v>76.23</v>
      </c>
      <c r="K562" s="106">
        <f>IF(D562="CAESARSTONE LTD",VLOOKUP(H562,'[2]GIA CA'!G:H,2,0),IF(OR(D562="STONE FACINGS LIMITED",D562="NORDIA SA",D562="INVICTUS STONE COUNTERTOPS INC",D562="QUARTZTOP LLC"),VLOOKUP(H562,'[2] Giá ngoài Mỹ - SI-GR'!$B$5:$AZ$84,51,0),IF(OR(D562="HYUNDAI L&amp;C CANADA INC",D562="Hyundai L&amp; C USA LLC"),VLOOKUP(H562,'[2]GIA HS'!A:D,4,0),IF(Y562="Mỹ",VLOOKUP(H562,'[2]giá mỹ từ 6.8.2025'!B:I,2,0),VLOOKUP(H562,'[2]giá ngoài mỹ 6.8.2025 (final)'!B:BP,51,0)))))</f>
        <v>72.5</v>
      </c>
      <c r="L562" s="106">
        <v>76</v>
      </c>
      <c r="M562" s="106">
        <f t="shared" si="35"/>
        <v>3.5</v>
      </c>
      <c r="N562" s="106">
        <v>76</v>
      </c>
      <c r="O562" s="106">
        <v>5793.48</v>
      </c>
      <c r="P562" s="107">
        <v>26110</v>
      </c>
      <c r="Q562" s="107">
        <v>151267763</v>
      </c>
      <c r="R562" s="102" t="s">
        <v>30</v>
      </c>
      <c r="S562" s="108"/>
      <c r="T562" s="109"/>
      <c r="U562" s="109"/>
      <c r="V562" s="102"/>
      <c r="W562" s="109"/>
      <c r="X562" s="109"/>
      <c r="Y562" s="110" t="s">
        <v>31</v>
      </c>
      <c r="Z562" s="111" t="str">
        <f>MID(E562,4,2)</f>
        <v>CA</v>
      </c>
    </row>
    <row r="563" spans="1:26" s="111" customFormat="1" x14ac:dyDescent="0.2">
      <c r="A563" s="101">
        <v>46241</v>
      </c>
      <c r="B563" s="91" t="s">
        <v>772</v>
      </c>
      <c r="C563" s="102" t="s">
        <v>773</v>
      </c>
      <c r="D563" s="103" t="s">
        <v>26</v>
      </c>
      <c r="E563" s="91" t="s">
        <v>774</v>
      </c>
      <c r="F563" s="91" t="s">
        <v>203</v>
      </c>
      <c r="G563" s="91" t="s">
        <v>204</v>
      </c>
      <c r="H563" s="104" t="str">
        <f t="shared" si="36"/>
        <v>F5132J20</v>
      </c>
      <c r="I563" s="104"/>
      <c r="J563" s="105">
        <v>54.45</v>
      </c>
      <c r="K563" s="106">
        <f>IF(D563="CAESARSTONE LTD",VLOOKUP(H563,'[2]GIA CA'!G:H,2,0),IF(OR(D563="STONE FACINGS LIMITED",D563="NORDIA SA",D563="INVICTUS STONE COUNTERTOPS INC",D563="QUARTZTOP LLC"),VLOOKUP(H563,'[2] Giá ngoài Mỹ - SI-GR'!$B$5:$AZ$84,51,0),IF(OR(D563="HYUNDAI L&amp;C CANADA INC",D563="Hyundai L&amp; C USA LLC"),VLOOKUP(H563,'[2]GIA HS'!A:D,4,0),IF(Y563="Mỹ",VLOOKUP(H563,'[2]giá mỹ từ 6.8.2025'!B:I,2,0),VLOOKUP(H563,'[2]giá ngoài mỹ 6.8.2025 (final)'!B:BP,51,0)))))</f>
        <v>62</v>
      </c>
      <c r="L563" s="106">
        <v>65</v>
      </c>
      <c r="M563" s="106">
        <f t="shared" si="35"/>
        <v>3</v>
      </c>
      <c r="N563" s="106">
        <v>65</v>
      </c>
      <c r="O563" s="106">
        <v>3539.25</v>
      </c>
      <c r="P563" s="107">
        <v>26110</v>
      </c>
      <c r="Q563" s="107">
        <v>92409818</v>
      </c>
      <c r="R563" s="102" t="s">
        <v>30</v>
      </c>
      <c r="S563" s="108"/>
      <c r="T563" s="109"/>
      <c r="U563" s="109"/>
      <c r="V563" s="102"/>
      <c r="W563" s="109"/>
      <c r="X563" s="109"/>
      <c r="Y563" s="110" t="s">
        <v>31</v>
      </c>
      <c r="Z563" s="111" t="str">
        <f>MID(E563,4,2)</f>
        <v>CA</v>
      </c>
    </row>
    <row r="564" spans="1:26" s="111" customFormat="1" x14ac:dyDescent="0.2">
      <c r="A564" s="101">
        <v>46241</v>
      </c>
      <c r="B564" s="91" t="s">
        <v>772</v>
      </c>
      <c r="C564" s="102" t="s">
        <v>773</v>
      </c>
      <c r="D564" s="103" t="s">
        <v>26</v>
      </c>
      <c r="E564" s="91" t="s">
        <v>774</v>
      </c>
      <c r="F564" s="91" t="s">
        <v>211</v>
      </c>
      <c r="G564" s="91" t="s">
        <v>212</v>
      </c>
      <c r="H564" s="104" t="str">
        <f t="shared" si="36"/>
        <v>F5444J30</v>
      </c>
      <c r="I564" s="104"/>
      <c r="J564" s="105">
        <v>76.23</v>
      </c>
      <c r="K564" s="106">
        <f>IF(D564="CAESARSTONE LTD",VLOOKUP(H564,'[2]GIA CA'!G:H,2,0),IF(OR(D564="STONE FACINGS LIMITED",D564="NORDIA SA",D564="INVICTUS STONE COUNTERTOPS INC",D564="QUARTZTOP LLC"),VLOOKUP(H564,'[2] Giá ngoài Mỹ - SI-GR'!$B$5:$AZ$84,51,0),IF(OR(D564="HYUNDAI L&amp;C CANADA INC",D564="Hyundai L&amp; C USA LLC"),VLOOKUP(H564,'[2]GIA HS'!A:D,4,0),IF(Y564="Mỹ",VLOOKUP(H564,'[2]giá mỹ từ 6.8.2025'!B:I,2,0),VLOOKUP(H564,'[2]giá ngoài mỹ 6.8.2025 (final)'!B:BP,51,0)))))</f>
        <v>92.5</v>
      </c>
      <c r="L564" s="106">
        <v>97</v>
      </c>
      <c r="M564" s="106">
        <f t="shared" si="35"/>
        <v>4.5</v>
      </c>
      <c r="N564" s="106">
        <v>97</v>
      </c>
      <c r="O564" s="106">
        <v>7394.31</v>
      </c>
      <c r="P564" s="107">
        <v>26110</v>
      </c>
      <c r="Q564" s="107">
        <v>193065434</v>
      </c>
      <c r="R564" s="102" t="s">
        <v>30</v>
      </c>
      <c r="S564" s="108"/>
      <c r="T564" s="109"/>
      <c r="U564" s="109"/>
      <c r="V564" s="102"/>
      <c r="W564" s="109"/>
      <c r="X564" s="109"/>
      <c r="Y564" s="110" t="s">
        <v>31</v>
      </c>
      <c r="Z564" s="111" t="str">
        <f>MID(E564,4,2)</f>
        <v>CA</v>
      </c>
    </row>
    <row r="565" spans="1:26" s="111" customFormat="1" x14ac:dyDescent="0.2">
      <c r="A565" s="101">
        <v>46241</v>
      </c>
      <c r="B565" s="91" t="s">
        <v>772</v>
      </c>
      <c r="C565" s="102" t="s">
        <v>773</v>
      </c>
      <c r="D565" s="103" t="s">
        <v>26</v>
      </c>
      <c r="E565" s="91" t="s">
        <v>774</v>
      </c>
      <c r="F565" s="91" t="s">
        <v>274</v>
      </c>
      <c r="G565" s="91" t="s">
        <v>273</v>
      </c>
      <c r="H565" s="104" t="str">
        <f t="shared" si="36"/>
        <v>F6313J20</v>
      </c>
      <c r="I565" s="104"/>
      <c r="J565" s="105">
        <v>54.45</v>
      </c>
      <c r="K565" s="106">
        <f>IF(D565="CAESARSTONE LTD",VLOOKUP(H565,'[2]GIA CA'!G:H,2,0),IF(OR(D565="STONE FACINGS LIMITED",D565="NORDIA SA",D565="INVICTUS STONE COUNTERTOPS INC",D565="QUARTZTOP LLC"),VLOOKUP(H565,'[2] Giá ngoài Mỹ - SI-GR'!$B$5:$AZ$84,51,0),IF(OR(D565="HYUNDAI L&amp;C CANADA INC",D565="Hyundai L&amp; C USA LLC"),VLOOKUP(H565,'[2]GIA HS'!A:D,4,0),IF(Y565="Mỹ",VLOOKUP(H565,'[2]giá mỹ từ 6.8.2025'!B:I,2,0),VLOOKUP(H565,'[2]giá ngoài mỹ 6.8.2025 (final)'!B:BP,51,0)))))</f>
        <v>62</v>
      </c>
      <c r="L565" s="106">
        <v>65</v>
      </c>
      <c r="M565" s="106">
        <f t="shared" si="35"/>
        <v>3</v>
      </c>
      <c r="N565" s="106">
        <v>65</v>
      </c>
      <c r="O565" s="106">
        <v>3539.25</v>
      </c>
      <c r="P565" s="107">
        <v>26110</v>
      </c>
      <c r="Q565" s="107">
        <v>92409818</v>
      </c>
      <c r="R565" s="102" t="s">
        <v>30</v>
      </c>
      <c r="S565" s="108"/>
      <c r="T565" s="109"/>
      <c r="U565" s="109"/>
      <c r="V565" s="102"/>
      <c r="W565" s="109"/>
      <c r="X565" s="109"/>
      <c r="Y565" s="110" t="s">
        <v>31</v>
      </c>
      <c r="Z565" s="111" t="str">
        <f>MID(E565,4,2)</f>
        <v>CA</v>
      </c>
    </row>
    <row r="566" spans="1:26" s="111" customFormat="1" x14ac:dyDescent="0.2">
      <c r="A566" s="101">
        <v>46241</v>
      </c>
      <c r="B566" s="91" t="s">
        <v>775</v>
      </c>
      <c r="C566" s="102" t="s">
        <v>776</v>
      </c>
      <c r="D566" s="103" t="s">
        <v>26</v>
      </c>
      <c r="E566" s="91" t="s">
        <v>777</v>
      </c>
      <c r="F566" s="91" t="s">
        <v>383</v>
      </c>
      <c r="G566" s="91" t="s">
        <v>384</v>
      </c>
      <c r="H566" s="104" t="str">
        <f t="shared" si="36"/>
        <v>C5141J30</v>
      </c>
      <c r="I566" s="104"/>
      <c r="J566" s="105">
        <v>70.78</v>
      </c>
      <c r="K566" s="106">
        <f>IF(D566="CAESARSTONE LTD",VLOOKUP(H566,'[2]GIA CA'!G:H,2,0),IF(OR(D566="STONE FACINGS LIMITED",D566="NORDIA SA",D566="INVICTUS STONE COUNTERTOPS INC",D566="QUARTZTOP LLC"),VLOOKUP(H566,'[2] Giá ngoài Mỹ - SI-GR'!$B$5:$AZ$84,51,0),IF(OR(D566="HYUNDAI L&amp;C CANADA INC",D566="Hyundai L&amp; C USA LLC"),VLOOKUP(H566,'[2]GIA HS'!A:D,4,0),IF(Y566="Mỹ",VLOOKUP(H566,'[2]giá mỹ từ 6.8.2025'!B:I,2,0),VLOOKUP(H566,'[2]giá ngoài mỹ 6.8.2025 (final)'!B:BP,51,0)))))</f>
        <v>68.75</v>
      </c>
      <c r="L566" s="106">
        <v>72</v>
      </c>
      <c r="M566" s="106">
        <f t="shared" si="35"/>
        <v>3.25</v>
      </c>
      <c r="N566" s="106">
        <v>72</v>
      </c>
      <c r="O566" s="106">
        <v>5096.16</v>
      </c>
      <c r="P566" s="107">
        <v>26110</v>
      </c>
      <c r="Q566" s="107">
        <v>133060738</v>
      </c>
      <c r="R566" s="102" t="s">
        <v>30</v>
      </c>
      <c r="S566" s="108"/>
      <c r="T566" s="109"/>
      <c r="U566" s="109"/>
      <c r="V566" s="102"/>
      <c r="W566" s="109"/>
      <c r="X566" s="109"/>
      <c r="Y566" s="110" t="s">
        <v>31</v>
      </c>
      <c r="Z566" s="111" t="str">
        <f>MID(E566,4,2)</f>
        <v>CA</v>
      </c>
    </row>
    <row r="567" spans="1:26" s="111" customFormat="1" x14ac:dyDescent="0.2">
      <c r="A567" s="101">
        <v>46241</v>
      </c>
      <c r="B567" s="91" t="s">
        <v>775</v>
      </c>
      <c r="C567" s="102" t="s">
        <v>776</v>
      </c>
      <c r="D567" s="103" t="s">
        <v>26</v>
      </c>
      <c r="E567" s="91" t="s">
        <v>777</v>
      </c>
      <c r="F567" s="91" t="s">
        <v>408</v>
      </c>
      <c r="G567" s="91" t="s">
        <v>384</v>
      </c>
      <c r="H567" s="104" t="str">
        <f t="shared" si="36"/>
        <v>C5141J30</v>
      </c>
      <c r="I567" s="104"/>
      <c r="J567" s="105">
        <v>5.45</v>
      </c>
      <c r="K567" s="106">
        <f>IF(D567="CAESARSTONE LTD",VLOOKUP(H567,'[2]GIA CA'!G:H,2,0),IF(OR(D567="STONE FACINGS LIMITED",D567="NORDIA SA",D567="INVICTUS STONE COUNTERTOPS INC",D567="QUARTZTOP LLC"),VLOOKUP(H567,'[2] Giá ngoài Mỹ - SI-GR'!$B$5:$AZ$84,51,0),IF(OR(D567="HYUNDAI L&amp;C CANADA INC",D567="Hyundai L&amp; C USA LLC"),VLOOKUP(H567,'[2]GIA HS'!A:D,4,0),IF(Y567="Mỹ",VLOOKUP(H567,'[2]giá mỹ từ 6.8.2025'!B:I,2,0),VLOOKUP(H567,'[2]giá ngoài mỹ 6.8.2025 (final)'!B:BP,51,0)))))</f>
        <v>68.75</v>
      </c>
      <c r="L567" s="106">
        <v>72</v>
      </c>
      <c r="M567" s="106">
        <f t="shared" si="35"/>
        <v>3.25</v>
      </c>
      <c r="N567" s="106">
        <v>72</v>
      </c>
      <c r="O567" s="106">
        <v>392.4</v>
      </c>
      <c r="P567" s="107">
        <v>26110</v>
      </c>
      <c r="Q567" s="107">
        <v>10245564</v>
      </c>
      <c r="R567" s="102" t="s">
        <v>30</v>
      </c>
      <c r="S567" s="108"/>
      <c r="T567" s="109"/>
      <c r="U567" s="109"/>
      <c r="V567" s="102"/>
      <c r="W567" s="109"/>
      <c r="X567" s="109"/>
      <c r="Y567" s="110" t="s">
        <v>31</v>
      </c>
      <c r="Z567" s="111" t="str">
        <f>MID(E567,4,2)</f>
        <v>CA</v>
      </c>
    </row>
    <row r="568" spans="1:26" s="111" customFormat="1" x14ac:dyDescent="0.2">
      <c r="A568" s="101">
        <v>46241</v>
      </c>
      <c r="B568" s="91" t="s">
        <v>775</v>
      </c>
      <c r="C568" s="102" t="s">
        <v>776</v>
      </c>
      <c r="D568" s="103" t="s">
        <v>26</v>
      </c>
      <c r="E568" s="91" t="s">
        <v>777</v>
      </c>
      <c r="F568" s="91" t="s">
        <v>72</v>
      </c>
      <c r="G568" s="91" t="s">
        <v>73</v>
      </c>
      <c r="H568" s="104" t="str">
        <f t="shared" si="36"/>
        <v>C5143J30</v>
      </c>
      <c r="I568" s="104"/>
      <c r="J568" s="105">
        <v>16.329999999999998</v>
      </c>
      <c r="K568" s="106">
        <f>IF(D568="CAESARSTONE LTD",VLOOKUP(H568,'[2]GIA CA'!G:H,2,0),IF(OR(D568="STONE FACINGS LIMITED",D568="NORDIA SA",D568="INVICTUS STONE COUNTERTOPS INC",D568="QUARTZTOP LLC"),VLOOKUP(H568,'[2] Giá ngoài Mỹ - SI-GR'!$B$5:$AZ$84,51,0),IF(OR(D568="HYUNDAI L&amp;C CANADA INC",D568="Hyundai L&amp; C USA LLC"),VLOOKUP(H568,'[2]GIA HS'!A:D,4,0),IF(Y568="Mỹ",VLOOKUP(H568,'[2]giá mỹ từ 6.8.2025'!B:I,2,0),VLOOKUP(H568,'[2]giá ngoài mỹ 6.8.2025 (final)'!B:BP,51,0)))))</f>
        <v>73.75</v>
      </c>
      <c r="L568" s="106">
        <v>77.790000000000006</v>
      </c>
      <c r="M568" s="106">
        <f t="shared" si="35"/>
        <v>4.0400000000000063</v>
      </c>
      <c r="N568" s="106">
        <v>77.790000000000006</v>
      </c>
      <c r="O568" s="106">
        <v>1270.32</v>
      </c>
      <c r="P568" s="107">
        <v>26110</v>
      </c>
      <c r="Q568" s="107">
        <v>33168055</v>
      </c>
      <c r="R568" s="102" t="s">
        <v>30</v>
      </c>
      <c r="S568" s="108"/>
      <c r="T568" s="109"/>
      <c r="U568" s="109"/>
      <c r="V568" s="102"/>
      <c r="W568" s="109"/>
      <c r="X568" s="109"/>
      <c r="Y568" s="110" t="s">
        <v>31</v>
      </c>
      <c r="Z568" s="111" t="str">
        <f>MID(E568,4,2)</f>
        <v>CA</v>
      </c>
    </row>
    <row r="569" spans="1:26" s="111" customFormat="1" x14ac:dyDescent="0.2">
      <c r="A569" s="101">
        <v>46241</v>
      </c>
      <c r="B569" s="91" t="s">
        <v>775</v>
      </c>
      <c r="C569" s="102" t="s">
        <v>776</v>
      </c>
      <c r="D569" s="103" t="s">
        <v>26</v>
      </c>
      <c r="E569" s="91" t="s">
        <v>777</v>
      </c>
      <c r="F569" s="91" t="s">
        <v>237</v>
      </c>
      <c r="G569" s="91" t="s">
        <v>73</v>
      </c>
      <c r="H569" s="104" t="str">
        <f t="shared" si="36"/>
        <v>C5143J30</v>
      </c>
      <c r="I569" s="104"/>
      <c r="J569" s="105">
        <v>59.9</v>
      </c>
      <c r="K569" s="106">
        <f>IF(D569="CAESARSTONE LTD",VLOOKUP(H569,'[2]GIA CA'!G:H,2,0),IF(OR(D569="STONE FACINGS LIMITED",D569="NORDIA SA",D569="INVICTUS STONE COUNTERTOPS INC",D569="QUARTZTOP LLC"),VLOOKUP(H569,'[2] Giá ngoài Mỹ - SI-GR'!$B$5:$AZ$84,51,0),IF(OR(D569="HYUNDAI L&amp;C CANADA INC",D569="Hyundai L&amp; C USA LLC"),VLOOKUP(H569,'[2]GIA HS'!A:D,4,0),IF(Y569="Mỹ",VLOOKUP(H569,'[2]giá mỹ từ 6.8.2025'!B:I,2,0),VLOOKUP(H569,'[2]giá ngoài mỹ 6.8.2025 (final)'!B:BP,51,0)))))</f>
        <v>73.75</v>
      </c>
      <c r="L569" s="106">
        <v>77.790000000000006</v>
      </c>
      <c r="M569" s="106">
        <f t="shared" si="35"/>
        <v>4.0400000000000063</v>
      </c>
      <c r="N569" s="106">
        <v>77.790000000000006</v>
      </c>
      <c r="O569" s="106">
        <v>4659.6400000000003</v>
      </c>
      <c r="P569" s="107">
        <v>26110</v>
      </c>
      <c r="Q569" s="107">
        <v>121663200</v>
      </c>
      <c r="R569" s="102" t="s">
        <v>30</v>
      </c>
      <c r="S569" s="108"/>
      <c r="T569" s="109"/>
      <c r="U569" s="109"/>
      <c r="V569" s="102"/>
      <c r="W569" s="109"/>
      <c r="X569" s="109"/>
      <c r="Y569" s="110" t="s">
        <v>31</v>
      </c>
      <c r="Z569" s="111" t="str">
        <f>MID(E569,4,2)</f>
        <v>CA</v>
      </c>
    </row>
    <row r="570" spans="1:26" s="111" customFormat="1" x14ac:dyDescent="0.2">
      <c r="A570" s="101">
        <v>46241</v>
      </c>
      <c r="B570" s="91" t="s">
        <v>775</v>
      </c>
      <c r="C570" s="102" t="s">
        <v>776</v>
      </c>
      <c r="D570" s="103" t="s">
        <v>26</v>
      </c>
      <c r="E570" s="91" t="s">
        <v>777</v>
      </c>
      <c r="F570" s="91" t="s">
        <v>778</v>
      </c>
      <c r="G570" s="91" t="s">
        <v>779</v>
      </c>
      <c r="H570" s="104" t="str">
        <f t="shared" si="36"/>
        <v>C6131J20</v>
      </c>
      <c r="I570" s="104"/>
      <c r="J570" s="105">
        <v>108.9</v>
      </c>
      <c r="K570" s="106">
        <f>IF(D570="CAESARSTONE LTD",VLOOKUP(H570,'[2]GIA CA'!G:H,2,0),IF(OR(D570="STONE FACINGS LIMITED",D570="NORDIA SA",D570="INVICTUS STONE COUNTERTOPS INC",D570="QUARTZTOP LLC"),VLOOKUP(H570,'[2] Giá ngoài Mỹ - SI-GR'!$B$5:$AZ$84,51,0),IF(OR(D570="HYUNDAI L&amp;C CANADA INC",D570="Hyundai L&amp; C USA LLC"),VLOOKUP(H570,'[2]GIA HS'!A:D,4,0),IF(Y570="Mỹ",VLOOKUP(H570,'[2]giá mỹ từ 6.8.2025'!B:I,2,0),VLOOKUP(H570,'[2]giá ngoài mỹ 6.8.2025 (final)'!B:BP,51,0)))))</f>
        <v>59</v>
      </c>
      <c r="L570" s="106">
        <v>62</v>
      </c>
      <c r="M570" s="106">
        <f t="shared" si="35"/>
        <v>3</v>
      </c>
      <c r="N570" s="106">
        <v>62</v>
      </c>
      <c r="O570" s="106">
        <v>6751.8</v>
      </c>
      <c r="P570" s="107">
        <v>26110</v>
      </c>
      <c r="Q570" s="107">
        <v>176289498</v>
      </c>
      <c r="R570" s="102" t="s">
        <v>30</v>
      </c>
      <c r="S570" s="108"/>
      <c r="T570" s="109"/>
      <c r="U570" s="109"/>
      <c r="V570" s="102"/>
      <c r="W570" s="109"/>
      <c r="X570" s="109"/>
      <c r="Y570" s="110" t="s">
        <v>31</v>
      </c>
      <c r="Z570" s="111" t="str">
        <f>MID(E570,4,2)</f>
        <v>CA</v>
      </c>
    </row>
    <row r="571" spans="1:26" s="111" customFormat="1" x14ac:dyDescent="0.2">
      <c r="A571" s="101">
        <v>46241</v>
      </c>
      <c r="B571" s="91" t="s">
        <v>775</v>
      </c>
      <c r="C571" s="102" t="s">
        <v>776</v>
      </c>
      <c r="D571" s="103" t="s">
        <v>26</v>
      </c>
      <c r="E571" s="91" t="s">
        <v>777</v>
      </c>
      <c r="F571" s="91" t="s">
        <v>270</v>
      </c>
      <c r="G571" s="91" t="s">
        <v>271</v>
      </c>
      <c r="H571" s="104" t="str">
        <f t="shared" si="36"/>
        <v>F4044J20</v>
      </c>
      <c r="I571" s="104"/>
      <c r="J571" s="105">
        <v>38.119999999999997</v>
      </c>
      <c r="K571" s="106">
        <f>+L571</f>
        <v>63</v>
      </c>
      <c r="L571" s="106">
        <v>63</v>
      </c>
      <c r="M571" s="106">
        <f t="shared" si="35"/>
        <v>0</v>
      </c>
      <c r="N571" s="106">
        <v>63</v>
      </c>
      <c r="O571" s="106">
        <v>2401.56</v>
      </c>
      <c r="P571" s="107">
        <v>26110</v>
      </c>
      <c r="Q571" s="107">
        <v>62704732</v>
      </c>
      <c r="R571" s="102" t="s">
        <v>30</v>
      </c>
      <c r="S571" s="108"/>
      <c r="T571" s="109"/>
      <c r="U571" s="109"/>
      <c r="V571" s="102"/>
      <c r="W571" s="109"/>
      <c r="X571" s="109"/>
      <c r="Y571" s="110" t="s">
        <v>31</v>
      </c>
      <c r="Z571" s="111" t="str">
        <f>MID(E571,4,2)</f>
        <v>CA</v>
      </c>
    </row>
    <row r="572" spans="1:26" s="111" customFormat="1" x14ac:dyDescent="0.2">
      <c r="A572" s="101">
        <v>46241</v>
      </c>
      <c r="B572" s="91" t="s">
        <v>775</v>
      </c>
      <c r="C572" s="102" t="s">
        <v>776</v>
      </c>
      <c r="D572" s="103" t="s">
        <v>26</v>
      </c>
      <c r="E572" s="91" t="s">
        <v>777</v>
      </c>
      <c r="F572" s="91" t="s">
        <v>780</v>
      </c>
      <c r="G572" s="91" t="s">
        <v>262</v>
      </c>
      <c r="H572" s="104" t="str">
        <f t="shared" si="36"/>
        <v>F5100J30</v>
      </c>
      <c r="I572" s="104"/>
      <c r="J572" s="105">
        <v>38.119999999999997</v>
      </c>
      <c r="K572" s="106">
        <f>IF(D572="CAESARSTONE LTD",VLOOKUP(H572,'[2]GIA CA'!G:H,2,0),IF(OR(D572="STONE FACINGS LIMITED",D572="NORDIA SA",D572="INVICTUS STONE COUNTERTOPS INC",D572="QUARTZTOP LLC"),VLOOKUP(H572,'[2] Giá ngoài Mỹ - SI-GR'!$B$5:$AZ$84,51,0),IF(OR(D572="HYUNDAI L&amp;C CANADA INC",D572="Hyundai L&amp; C USA LLC"),VLOOKUP(H572,'[2]GIA HS'!A:D,4,0),IF(Y572="Mỹ",VLOOKUP(H572,'[2]giá mỹ từ 6.8.2025'!B:I,2,0),VLOOKUP(H572,'[2]giá ngoài mỹ 6.8.2025 (final)'!B:BP,51,0)))))</f>
        <v>77.5</v>
      </c>
      <c r="L572" s="106">
        <v>81</v>
      </c>
      <c r="M572" s="106">
        <f t="shared" si="35"/>
        <v>3.5</v>
      </c>
      <c r="N572" s="106">
        <v>81</v>
      </c>
      <c r="O572" s="106">
        <v>3087.72</v>
      </c>
      <c r="P572" s="107">
        <v>26110</v>
      </c>
      <c r="Q572" s="107">
        <v>80620369</v>
      </c>
      <c r="R572" s="102" t="s">
        <v>30</v>
      </c>
      <c r="S572" s="108"/>
      <c r="T572" s="109"/>
      <c r="U572" s="109"/>
      <c r="V572" s="102"/>
      <c r="W572" s="109"/>
      <c r="X572" s="109"/>
      <c r="Y572" s="110" t="s">
        <v>31</v>
      </c>
      <c r="Z572" s="111" t="str">
        <f>MID(E572,4,2)</f>
        <v>CA</v>
      </c>
    </row>
    <row r="573" spans="1:26" s="111" customFormat="1" x14ac:dyDescent="0.2">
      <c r="A573" s="101">
        <v>46242</v>
      </c>
      <c r="B573" s="91" t="s">
        <v>781</v>
      </c>
      <c r="C573" s="102" t="s">
        <v>782</v>
      </c>
      <c r="D573" s="103" t="s">
        <v>26</v>
      </c>
      <c r="E573" s="91" t="s">
        <v>783</v>
      </c>
      <c r="F573" s="91" t="s">
        <v>778</v>
      </c>
      <c r="G573" s="91" t="s">
        <v>779</v>
      </c>
      <c r="H573" s="104" t="str">
        <f t="shared" si="36"/>
        <v>C6131J20</v>
      </c>
      <c r="I573" s="104"/>
      <c r="J573" s="105">
        <v>435.6</v>
      </c>
      <c r="K573" s="106">
        <f>IF(D573="CAESARSTONE LTD",VLOOKUP(H573,'[2]GIA CA'!G:H,2,0),IF(OR(D573="STONE FACINGS LIMITED",D573="NORDIA SA",D573="INVICTUS STONE COUNTERTOPS INC",D573="QUARTZTOP LLC"),VLOOKUP(H573,'[2] Giá ngoài Mỹ - SI-GR'!$B$5:$AZ$84,51,0),IF(OR(D573="HYUNDAI L&amp;C CANADA INC",D573="Hyundai L&amp; C USA LLC"),VLOOKUP(H573,'[2]GIA HS'!A:D,4,0),IF(Y573="Mỹ",VLOOKUP(H573,'[2]giá mỹ từ 6.8.2025'!B:I,2,0),VLOOKUP(H573,'[2]giá ngoài mỹ 6.8.2025 (final)'!B:BP,51,0)))))</f>
        <v>59</v>
      </c>
      <c r="L573" s="106">
        <v>62</v>
      </c>
      <c r="M573" s="106">
        <f t="shared" si="35"/>
        <v>3</v>
      </c>
      <c r="N573" s="106">
        <v>62</v>
      </c>
      <c r="O573" s="106">
        <v>27007.200000000001</v>
      </c>
      <c r="P573" s="107">
        <v>26110</v>
      </c>
      <c r="Q573" s="107">
        <v>705157992</v>
      </c>
      <c r="R573" s="102" t="s">
        <v>30</v>
      </c>
      <c r="S573" s="108"/>
      <c r="T573" s="109"/>
      <c r="U573" s="109"/>
      <c r="V573" s="102"/>
      <c r="W573" s="109"/>
      <c r="X573" s="109"/>
      <c r="Y573" s="110" t="s">
        <v>132</v>
      </c>
      <c r="Z573" s="111" t="str">
        <f>MID(E573,4,2)</f>
        <v>CA</v>
      </c>
    </row>
    <row r="574" spans="1:26" s="111" customFormat="1" x14ac:dyDescent="0.2">
      <c r="A574" s="101">
        <v>46242</v>
      </c>
      <c r="B574" s="91" t="s">
        <v>784</v>
      </c>
      <c r="C574" s="102" t="s">
        <v>785</v>
      </c>
      <c r="D574" s="103" t="s">
        <v>215</v>
      </c>
      <c r="E574" s="91" t="s">
        <v>786</v>
      </c>
      <c r="F574" s="91" t="s">
        <v>787</v>
      </c>
      <c r="G574" s="91" t="s">
        <v>788</v>
      </c>
      <c r="H574" s="104" t="str">
        <f t="shared" si="36"/>
        <v>C5233J20</v>
      </c>
      <c r="I574" s="104"/>
      <c r="J574" s="105">
        <v>1.94</v>
      </c>
      <c r="K574" s="106"/>
      <c r="L574" s="106">
        <v>0</v>
      </c>
      <c r="M574" s="106">
        <f t="shared" si="35"/>
        <v>0</v>
      </c>
      <c r="N574" s="106">
        <v>86</v>
      </c>
      <c r="O574" s="106">
        <v>166.84</v>
      </c>
      <c r="P574" s="107">
        <v>26110</v>
      </c>
      <c r="Q574" s="107">
        <v>4356192</v>
      </c>
      <c r="R574" s="102"/>
      <c r="S574" s="108"/>
      <c r="T574" s="109"/>
      <c r="U574" s="109" t="s">
        <v>30</v>
      </c>
      <c r="V574" s="102"/>
      <c r="W574" s="109"/>
      <c r="X574" s="109"/>
      <c r="Y574" s="110" t="s">
        <v>31</v>
      </c>
      <c r="Z574" s="111" t="str">
        <f>MID(E574,4,2)</f>
        <v>DM</v>
      </c>
    </row>
    <row r="575" spans="1:26" s="111" customFormat="1" x14ac:dyDescent="0.2">
      <c r="A575" s="101">
        <v>46242</v>
      </c>
      <c r="B575" s="91" t="s">
        <v>784</v>
      </c>
      <c r="C575" s="102" t="s">
        <v>785</v>
      </c>
      <c r="D575" s="103" t="s">
        <v>215</v>
      </c>
      <c r="E575" s="91" t="s">
        <v>786</v>
      </c>
      <c r="F575" s="91" t="s">
        <v>789</v>
      </c>
      <c r="G575" s="91" t="s">
        <v>790</v>
      </c>
      <c r="H575" s="104" t="str">
        <f t="shared" si="36"/>
        <v>C5233J30</v>
      </c>
      <c r="I575" s="104"/>
      <c r="J575" s="105">
        <v>299.48</v>
      </c>
      <c r="K575" s="106">
        <f>IF(D575="CAESARSTONE LTD",VLOOKUP(H575,'[2]GIA CA'!G:H,2,0),IF(OR(D575="STONE FACINGS LIMITED",D575="NORDIA SA",D575="INVICTUS STONE COUNTERTOPS INC",D575="QUARTZTOP LLC"),VLOOKUP(H575,'[2] Giá ngoài Mỹ - SI-GR'!$B$5:$AZ$84,51,0),IF(OR(D575="HYUNDAI L&amp;C CANADA INC",D575="Hyundai L&amp; C USA LLC"),VLOOKUP(H575,'[2]GIA HS'!A:D,4,0),IF(Y575="Mỹ",VLOOKUP(H575,'[2]giá mỹ từ 6.8.2025'!B:I,2,0),VLOOKUP(H575,'[2]giá ngoài mỹ 6.8.2025 (final)'!B:BP,51,0)))))</f>
        <v>95</v>
      </c>
      <c r="L575" s="106">
        <v>100.24</v>
      </c>
      <c r="M575" s="106">
        <f t="shared" si="35"/>
        <v>5.2399999999999949</v>
      </c>
      <c r="N575" s="106">
        <v>100.24</v>
      </c>
      <c r="O575" s="106">
        <v>30020.74</v>
      </c>
      <c r="P575" s="107">
        <v>26110</v>
      </c>
      <c r="Q575" s="107">
        <v>783841521</v>
      </c>
      <c r="R575" s="102" t="s">
        <v>30</v>
      </c>
      <c r="S575" s="108"/>
      <c r="T575" s="109"/>
      <c r="U575" s="109"/>
      <c r="V575" s="102"/>
      <c r="W575" s="109"/>
      <c r="X575" s="109"/>
      <c r="Y575" s="110" t="s">
        <v>31</v>
      </c>
      <c r="Z575" s="111" t="str">
        <f>MID(E575,4,2)</f>
        <v>DM</v>
      </c>
    </row>
    <row r="576" spans="1:26" s="111" customFormat="1" x14ac:dyDescent="0.2">
      <c r="A576" s="101">
        <v>46242</v>
      </c>
      <c r="B576" s="91" t="s">
        <v>791</v>
      </c>
      <c r="C576" s="102" t="s">
        <v>792</v>
      </c>
      <c r="D576" s="103" t="s">
        <v>215</v>
      </c>
      <c r="E576" s="91" t="s">
        <v>793</v>
      </c>
      <c r="F576" s="91" t="s">
        <v>787</v>
      </c>
      <c r="G576" s="91" t="s">
        <v>788</v>
      </c>
      <c r="H576" s="104" t="str">
        <f t="shared" si="36"/>
        <v>C5233J20</v>
      </c>
      <c r="I576" s="104"/>
      <c r="J576" s="105">
        <v>1.94</v>
      </c>
      <c r="K576" s="106"/>
      <c r="L576" s="106">
        <v>0</v>
      </c>
      <c r="M576" s="106">
        <f t="shared" si="35"/>
        <v>0</v>
      </c>
      <c r="N576" s="106">
        <v>86</v>
      </c>
      <c r="O576" s="106">
        <v>166.84</v>
      </c>
      <c r="P576" s="107">
        <v>26110</v>
      </c>
      <c r="Q576" s="107">
        <v>4356192</v>
      </c>
      <c r="R576" s="102"/>
      <c r="S576" s="108"/>
      <c r="T576" s="109"/>
      <c r="U576" s="109" t="s">
        <v>30</v>
      </c>
      <c r="V576" s="102"/>
      <c r="W576" s="109"/>
      <c r="X576" s="109"/>
      <c r="Y576" s="110" t="s">
        <v>31</v>
      </c>
      <c r="Z576" s="111" t="str">
        <f>MID(E576,4,2)</f>
        <v>DM</v>
      </c>
    </row>
    <row r="577" spans="1:26" s="111" customFormat="1" x14ac:dyDescent="0.2">
      <c r="A577" s="101">
        <v>46242</v>
      </c>
      <c r="B577" s="91" t="s">
        <v>791</v>
      </c>
      <c r="C577" s="102" t="s">
        <v>792</v>
      </c>
      <c r="D577" s="103" t="s">
        <v>215</v>
      </c>
      <c r="E577" s="91" t="s">
        <v>793</v>
      </c>
      <c r="F577" s="91" t="s">
        <v>789</v>
      </c>
      <c r="G577" s="91" t="s">
        <v>790</v>
      </c>
      <c r="H577" s="104" t="str">
        <f t="shared" si="36"/>
        <v>C5233J30</v>
      </c>
      <c r="I577" s="104"/>
      <c r="J577" s="105">
        <v>43.56</v>
      </c>
      <c r="K577" s="106">
        <f>IF(D577="CAESARSTONE LTD",VLOOKUP(H577,'[2]GIA CA'!G:H,2,0),IF(OR(D577="STONE FACINGS LIMITED",D577="NORDIA SA",D577="INVICTUS STONE COUNTERTOPS INC",D577="QUARTZTOP LLC"),VLOOKUP(H577,'[2] Giá ngoài Mỹ - SI-GR'!$B$5:$AZ$84,51,0),IF(OR(D577="HYUNDAI L&amp;C CANADA INC",D577="Hyundai L&amp; C USA LLC"),VLOOKUP(H577,'[2]GIA HS'!A:D,4,0),IF(Y577="Mỹ",VLOOKUP(H577,'[2]giá mỹ từ 6.8.2025'!B:I,2,0),VLOOKUP(H577,'[2]giá ngoài mỹ 6.8.2025 (final)'!B:BP,51,0)))))</f>
        <v>95</v>
      </c>
      <c r="L577" s="106">
        <v>100.24</v>
      </c>
      <c r="M577" s="106">
        <f t="shared" si="35"/>
        <v>5.2399999999999949</v>
      </c>
      <c r="N577" s="106">
        <v>100.24</v>
      </c>
      <c r="O577" s="106">
        <v>4366.58</v>
      </c>
      <c r="P577" s="107">
        <v>26110</v>
      </c>
      <c r="Q577" s="107">
        <v>114011404</v>
      </c>
      <c r="R577" s="102" t="s">
        <v>30</v>
      </c>
      <c r="S577" s="108"/>
      <c r="T577" s="109"/>
      <c r="U577" s="109"/>
      <c r="V577" s="102"/>
      <c r="W577" s="109"/>
      <c r="X577" s="109"/>
      <c r="Y577" s="110" t="s">
        <v>31</v>
      </c>
      <c r="Z577" s="111" t="str">
        <f>MID(E577,4,2)</f>
        <v>DM</v>
      </c>
    </row>
    <row r="578" spans="1:26" s="111" customFormat="1" x14ac:dyDescent="0.2">
      <c r="A578" s="101">
        <v>46242</v>
      </c>
      <c r="B578" s="91" t="s">
        <v>791</v>
      </c>
      <c r="C578" s="102" t="s">
        <v>792</v>
      </c>
      <c r="D578" s="103" t="s">
        <v>215</v>
      </c>
      <c r="E578" s="91" t="s">
        <v>793</v>
      </c>
      <c r="F578" s="91" t="s">
        <v>794</v>
      </c>
      <c r="G578" s="91" t="s">
        <v>790</v>
      </c>
      <c r="H578" s="104" t="str">
        <f t="shared" si="36"/>
        <v>C5233J30</v>
      </c>
      <c r="I578" s="104"/>
      <c r="J578" s="105">
        <v>255.92</v>
      </c>
      <c r="K578" s="106">
        <f>IF(D578="CAESARSTONE LTD",VLOOKUP(H578,'[2]GIA CA'!G:H,2,0),IF(OR(D578="STONE FACINGS LIMITED",D578="NORDIA SA",D578="INVICTUS STONE COUNTERTOPS INC",D578="QUARTZTOP LLC"),VLOOKUP(H578,'[2] Giá ngoài Mỹ - SI-GR'!$B$5:$AZ$84,51,0),IF(OR(D578="HYUNDAI L&amp;C CANADA INC",D578="Hyundai L&amp; C USA LLC"),VLOOKUP(H578,'[2]GIA HS'!A:D,4,0),IF(Y578="Mỹ",VLOOKUP(H578,'[2]giá mỹ từ 6.8.2025'!B:I,2,0),VLOOKUP(H578,'[2]giá ngoài mỹ 6.8.2025 (final)'!B:BP,51,0)))))</f>
        <v>95</v>
      </c>
      <c r="L578" s="106">
        <v>100.24</v>
      </c>
      <c r="M578" s="106">
        <f t="shared" si="35"/>
        <v>5.2399999999999949</v>
      </c>
      <c r="N578" s="106">
        <v>100.24</v>
      </c>
      <c r="O578" s="106">
        <v>25654.16</v>
      </c>
      <c r="P578" s="107">
        <v>26110</v>
      </c>
      <c r="Q578" s="107">
        <v>669830118</v>
      </c>
      <c r="R578" s="102" t="s">
        <v>30</v>
      </c>
      <c r="S578" s="108"/>
      <c r="T578" s="109"/>
      <c r="U578" s="109"/>
      <c r="V578" s="102"/>
      <c r="W578" s="109"/>
      <c r="X578" s="109"/>
      <c r="Y578" s="110" t="s">
        <v>31</v>
      </c>
      <c r="Z578" s="111" t="str">
        <f>MID(E578,4,2)</f>
        <v>DM</v>
      </c>
    </row>
    <row r="579" spans="1:26" s="111" customFormat="1" x14ac:dyDescent="0.2">
      <c r="A579" s="101">
        <v>46242</v>
      </c>
      <c r="B579" s="91" t="s">
        <v>795</v>
      </c>
      <c r="C579" s="102" t="s">
        <v>796</v>
      </c>
      <c r="D579" s="103" t="s">
        <v>47</v>
      </c>
      <c r="E579" s="91" t="s">
        <v>797</v>
      </c>
      <c r="F579" s="91" t="s">
        <v>479</v>
      </c>
      <c r="G579" s="91" t="s">
        <v>480</v>
      </c>
      <c r="H579" s="104" t="str">
        <f t="shared" si="36"/>
        <v>C4342J30</v>
      </c>
      <c r="I579" s="104"/>
      <c r="J579" s="105">
        <v>315.81</v>
      </c>
      <c r="K579" s="106"/>
      <c r="L579" s="106">
        <v>0</v>
      </c>
      <c r="M579" s="106">
        <f t="shared" si="35"/>
        <v>0</v>
      </c>
      <c r="N579" s="106">
        <v>83.09</v>
      </c>
      <c r="O579" s="106">
        <v>26240.36</v>
      </c>
      <c r="P579" s="107">
        <v>26110</v>
      </c>
      <c r="Q579" s="107">
        <v>685135800</v>
      </c>
      <c r="R579" s="102" t="s">
        <v>30</v>
      </c>
      <c r="S579" s="108"/>
      <c r="T579" s="109"/>
      <c r="U579" s="109"/>
      <c r="V579" s="102"/>
      <c r="W579" s="109"/>
      <c r="X579" s="109"/>
      <c r="Y579" s="110" t="s">
        <v>31</v>
      </c>
      <c r="Z579" s="111" t="str">
        <f>MID(E579,4,2)</f>
        <v>AT</v>
      </c>
    </row>
    <row r="580" spans="1:26" s="111" customFormat="1" x14ac:dyDescent="0.2">
      <c r="A580" s="101">
        <v>46242</v>
      </c>
      <c r="B580" s="91" t="s">
        <v>798</v>
      </c>
      <c r="C580" s="102" t="s">
        <v>799</v>
      </c>
      <c r="D580" s="103" t="s">
        <v>26</v>
      </c>
      <c r="E580" s="91" t="s">
        <v>800</v>
      </c>
      <c r="F580" s="91" t="s">
        <v>801</v>
      </c>
      <c r="G580" s="91" t="s">
        <v>802</v>
      </c>
      <c r="H580" s="104" t="str">
        <f t="shared" si="36"/>
        <v>F5130J30</v>
      </c>
      <c r="I580" s="104"/>
      <c r="J580" s="105">
        <v>87.12</v>
      </c>
      <c r="K580" s="106">
        <f>IF(D580="CAESARSTONE LTD",VLOOKUP(H580,'[2]GIA CA'!G:H,2,0),IF(OR(D580="STONE FACINGS LIMITED",D580="NORDIA SA",D580="INVICTUS STONE COUNTERTOPS INC",D580="QUARTZTOP LLC"),VLOOKUP(H580,'[2] Giá ngoài Mỹ - SI-GR'!$B$5:$AZ$84,51,0),IF(OR(D580="HYUNDAI L&amp;C CANADA INC",D580="Hyundai L&amp; C USA LLC"),VLOOKUP(H580,'[2]GIA HS'!A:D,4,0),IF(Y580="Mỹ",VLOOKUP(H580,'[2]giá mỹ từ 6.8.2025'!B:I,2,0),VLOOKUP(H580,'[2]giá ngoài mỹ 6.8.2025 (final)'!B:BP,51,0)))))</f>
        <v>77.5</v>
      </c>
      <c r="L580" s="106">
        <v>81.400000000000006</v>
      </c>
      <c r="M580" s="106">
        <f t="shared" si="35"/>
        <v>3.9000000000000057</v>
      </c>
      <c r="N580" s="106">
        <v>81.400000000000006</v>
      </c>
      <c r="O580" s="107">
        <v>7091.52</v>
      </c>
      <c r="P580" s="107">
        <v>26110</v>
      </c>
      <c r="Q580" s="107">
        <v>185159587</v>
      </c>
      <c r="R580" s="102" t="s">
        <v>30</v>
      </c>
      <c r="S580" s="108"/>
      <c r="T580" s="109"/>
      <c r="U580" s="109"/>
      <c r="V580" s="102"/>
      <c r="W580" s="109"/>
      <c r="X580" s="109"/>
      <c r="Y580" s="110" t="s">
        <v>803</v>
      </c>
      <c r="Z580" s="111" t="str">
        <f>MID(E580,4,2)</f>
        <v>CA</v>
      </c>
    </row>
    <row r="581" spans="1:26" s="111" customFormat="1" x14ac:dyDescent="0.2">
      <c r="A581" s="101">
        <v>46242</v>
      </c>
      <c r="B581" s="91" t="s">
        <v>798</v>
      </c>
      <c r="C581" s="102" t="s">
        <v>799</v>
      </c>
      <c r="D581" s="103" t="s">
        <v>26</v>
      </c>
      <c r="E581" s="91" t="s">
        <v>800</v>
      </c>
      <c r="F581" s="91" t="s">
        <v>456</v>
      </c>
      <c r="G581" s="91" t="s">
        <v>457</v>
      </c>
      <c r="H581" s="104" t="str">
        <f t="shared" si="36"/>
        <v>F5131J30</v>
      </c>
      <c r="I581" s="104"/>
      <c r="J581" s="105">
        <v>152.46</v>
      </c>
      <c r="K581" s="106">
        <f>IF(D581="CAESARSTONE LTD",VLOOKUP(H581,'[2]GIA CA'!G:H,2,0),IF(OR(D581="STONE FACINGS LIMITED",D581="NORDIA SA",D581="INVICTUS STONE COUNTERTOPS INC",D581="QUARTZTOP LLC"),VLOOKUP(H581,'[2] Giá ngoài Mỹ - SI-GR'!$B$5:$AZ$84,51,0),IF(OR(D581="HYUNDAI L&amp;C CANADA INC",D581="Hyundai L&amp; C USA LLC"),VLOOKUP(H581,'[2]GIA HS'!A:D,4,0),IF(Y581="Mỹ",VLOOKUP(H581,'[2]giá mỹ từ 6.8.2025'!B:I,2,0),VLOOKUP(H581,'[2]giá ngoài mỹ 6.8.2025 (final)'!B:BP,51,0)))))</f>
        <v>75</v>
      </c>
      <c r="L581" s="106">
        <v>78.8</v>
      </c>
      <c r="M581" s="106">
        <f t="shared" si="35"/>
        <v>3.7999999999999972</v>
      </c>
      <c r="N581" s="106">
        <v>78.8</v>
      </c>
      <c r="O581" s="107">
        <v>12013.96</v>
      </c>
      <c r="P581" s="107">
        <v>26110</v>
      </c>
      <c r="Q581" s="107">
        <v>313684496</v>
      </c>
      <c r="R581" s="102" t="s">
        <v>30</v>
      </c>
      <c r="S581" s="108"/>
      <c r="T581" s="109"/>
      <c r="U581" s="109"/>
      <c r="V581" s="102"/>
      <c r="W581" s="109"/>
      <c r="X581" s="109"/>
      <c r="Y581" s="110" t="s">
        <v>803</v>
      </c>
      <c r="Z581" s="111" t="str">
        <f>MID(E581,4,2)</f>
        <v>CA</v>
      </c>
    </row>
    <row r="582" spans="1:26" s="111" customFormat="1" x14ac:dyDescent="0.2">
      <c r="A582" s="101">
        <v>46242</v>
      </c>
      <c r="B582" s="91" t="s">
        <v>798</v>
      </c>
      <c r="C582" s="102" t="s">
        <v>799</v>
      </c>
      <c r="D582" s="103" t="s">
        <v>26</v>
      </c>
      <c r="E582" s="91" t="s">
        <v>800</v>
      </c>
      <c r="F582" s="91" t="s">
        <v>90</v>
      </c>
      <c r="G582" s="91" t="s">
        <v>91</v>
      </c>
      <c r="H582" s="104" t="str">
        <f t="shared" si="36"/>
        <v>F6131J30</v>
      </c>
      <c r="I582" s="104"/>
      <c r="J582" s="105">
        <v>76.23</v>
      </c>
      <c r="K582" s="106">
        <f>IF(D582="CAESARSTONE LTD",VLOOKUP(H582,'[2]GIA CA'!G:H,2,0),IF(OR(D582="STONE FACINGS LIMITED",D582="NORDIA SA",D582="INVICTUS STONE COUNTERTOPS INC",D582="QUARTZTOP LLC"),VLOOKUP(H582,'[2] Giá ngoài Mỹ - SI-GR'!$B$5:$AZ$84,51,0),IF(OR(D582="HYUNDAI L&amp;C CANADA INC",D582="Hyundai L&amp; C USA LLC"),VLOOKUP(H582,'[2]GIA HS'!A:D,4,0),IF(Y582="Mỹ",VLOOKUP(H582,'[2]giá mỹ từ 6.8.2025'!B:I,2,0),VLOOKUP(H582,'[2]giá ngoài mỹ 6.8.2025 (final)'!B:BP,51,0)))))</f>
        <v>77.5</v>
      </c>
      <c r="L582" s="106">
        <v>81.400000000000006</v>
      </c>
      <c r="M582" s="106">
        <f t="shared" si="35"/>
        <v>3.9000000000000057</v>
      </c>
      <c r="N582" s="106">
        <v>81.400000000000006</v>
      </c>
      <c r="O582" s="107">
        <v>6205.08</v>
      </c>
      <c r="P582" s="107">
        <v>26110</v>
      </c>
      <c r="Q582" s="107">
        <v>162014639</v>
      </c>
      <c r="R582" s="102" t="s">
        <v>30</v>
      </c>
      <c r="S582" s="108"/>
      <c r="T582" s="109"/>
      <c r="U582" s="109"/>
      <c r="V582" s="102"/>
      <c r="W582" s="109"/>
      <c r="X582" s="109"/>
      <c r="Y582" s="110" t="s">
        <v>803</v>
      </c>
      <c r="Z582" s="111" t="str">
        <f>MID(E582,4,2)</f>
        <v>CA</v>
      </c>
    </row>
    <row r="583" spans="1:26" s="111" customFormat="1" x14ac:dyDescent="0.2">
      <c r="A583" s="101">
        <v>46242</v>
      </c>
      <c r="B583" s="91" t="s">
        <v>804</v>
      </c>
      <c r="C583" s="102" t="s">
        <v>805</v>
      </c>
      <c r="D583" s="103" t="s">
        <v>26</v>
      </c>
      <c r="E583" s="91" t="s">
        <v>806</v>
      </c>
      <c r="F583" s="91" t="s">
        <v>807</v>
      </c>
      <c r="G583" s="91" t="s">
        <v>808</v>
      </c>
      <c r="H583" s="104" t="str">
        <f t="shared" si="36"/>
        <v>C4003J20</v>
      </c>
      <c r="I583" s="104"/>
      <c r="J583" s="105">
        <v>21.78</v>
      </c>
      <c r="K583" s="106">
        <f>IF(D583="CAESARSTONE LTD",VLOOKUP(H583,'[2]GIA CA'!G:H,2,0),IF(OR(D583="STONE FACINGS LIMITED",D583="NORDIA SA",D583="INVICTUS STONE COUNTERTOPS INC",D583="QUARTZTOP LLC"),VLOOKUP(H583,'[2] Giá ngoài Mỹ - SI-GR'!$B$5:$AZ$84,51,0),IF(OR(D583="HYUNDAI L&amp;C CANADA INC",D583="Hyundai L&amp; C USA LLC"),VLOOKUP(H583,'[2]GIA HS'!A:D,4,0),IF(Y583="Mỹ",VLOOKUP(H583,'[2]giá mỹ từ 6.8.2025'!B:I,2,0),VLOOKUP(H583,'[2]giá ngoài mỹ 6.8.2025 (final)'!B:BP,51,0)))))</f>
        <v>55</v>
      </c>
      <c r="L583" s="106">
        <v>57.74</v>
      </c>
      <c r="M583" s="106">
        <f t="shared" si="35"/>
        <v>2.740000000000002</v>
      </c>
      <c r="N583" s="106">
        <v>57.74</v>
      </c>
      <c r="O583" s="107">
        <v>1257.51</v>
      </c>
      <c r="P583" s="107">
        <v>26110</v>
      </c>
      <c r="Q583" s="107">
        <v>32833586</v>
      </c>
      <c r="R583" s="102" t="s">
        <v>30</v>
      </c>
      <c r="S583" s="108"/>
      <c r="T583" s="109"/>
      <c r="U583" s="109"/>
      <c r="V583" s="102"/>
      <c r="W583" s="109"/>
      <c r="X583" s="109"/>
      <c r="Y583" s="110" t="s">
        <v>31</v>
      </c>
      <c r="Z583" s="111" t="str">
        <f>MID(E583,4,2)</f>
        <v>CA</v>
      </c>
    </row>
    <row r="584" spans="1:26" s="111" customFormat="1" x14ac:dyDescent="0.2">
      <c r="A584" s="101">
        <v>46242</v>
      </c>
      <c r="B584" s="91" t="s">
        <v>804</v>
      </c>
      <c r="C584" s="102" t="s">
        <v>805</v>
      </c>
      <c r="D584" s="103" t="s">
        <v>26</v>
      </c>
      <c r="E584" s="91" t="s">
        <v>806</v>
      </c>
      <c r="F584" s="91" t="s">
        <v>809</v>
      </c>
      <c r="G584" s="91" t="s">
        <v>808</v>
      </c>
      <c r="H584" s="104" t="str">
        <f t="shared" si="36"/>
        <v>C4003J20</v>
      </c>
      <c r="I584" s="104"/>
      <c r="J584" s="105">
        <v>32.67</v>
      </c>
      <c r="K584" s="106">
        <f>IF(D584="CAESARSTONE LTD",VLOOKUP(H584,'[2]GIA CA'!G:H,2,0),IF(OR(D584="STONE FACINGS LIMITED",D584="NORDIA SA",D584="INVICTUS STONE COUNTERTOPS INC",D584="QUARTZTOP LLC"),VLOOKUP(H584,'[2] Giá ngoài Mỹ - SI-GR'!$B$5:$AZ$84,51,0),IF(OR(D584="HYUNDAI L&amp;C CANADA INC",D584="Hyundai L&amp; C USA LLC"),VLOOKUP(H584,'[2]GIA HS'!A:D,4,0),IF(Y584="Mỹ",VLOOKUP(H584,'[2]giá mỹ từ 6.8.2025'!B:I,2,0),VLOOKUP(H584,'[2]giá ngoài mỹ 6.8.2025 (final)'!B:BP,51,0)))))</f>
        <v>55</v>
      </c>
      <c r="L584" s="106">
        <v>57.74</v>
      </c>
      <c r="M584" s="106">
        <f t="shared" si="35"/>
        <v>2.740000000000002</v>
      </c>
      <c r="N584" s="106">
        <v>57.74</v>
      </c>
      <c r="O584" s="107">
        <v>1886.26</v>
      </c>
      <c r="P584" s="107">
        <v>26110</v>
      </c>
      <c r="Q584" s="107">
        <v>49250249</v>
      </c>
      <c r="R584" s="102" t="s">
        <v>30</v>
      </c>
      <c r="S584" s="108"/>
      <c r="T584" s="109"/>
      <c r="U584" s="109"/>
      <c r="V584" s="102"/>
      <c r="W584" s="109"/>
      <c r="X584" s="109"/>
      <c r="Y584" s="110" t="s">
        <v>31</v>
      </c>
      <c r="Z584" s="111" t="str">
        <f>MID(E584,4,2)</f>
        <v>CA</v>
      </c>
    </row>
    <row r="585" spans="1:26" s="111" customFormat="1" x14ac:dyDescent="0.2">
      <c r="A585" s="101">
        <v>46242</v>
      </c>
      <c r="B585" s="91" t="s">
        <v>804</v>
      </c>
      <c r="C585" s="102" t="s">
        <v>805</v>
      </c>
      <c r="D585" s="103" t="s">
        <v>26</v>
      </c>
      <c r="E585" s="91" t="s">
        <v>806</v>
      </c>
      <c r="F585" s="91" t="s">
        <v>86</v>
      </c>
      <c r="G585" s="91" t="s">
        <v>87</v>
      </c>
      <c r="H585" s="104" t="str">
        <f t="shared" si="36"/>
        <v>C4033J30</v>
      </c>
      <c r="I585" s="104"/>
      <c r="J585" s="105">
        <v>76.239999999999995</v>
      </c>
      <c r="K585" s="106">
        <f>+L585</f>
        <v>75</v>
      </c>
      <c r="L585" s="106">
        <v>75</v>
      </c>
      <c r="M585" s="106">
        <f t="shared" si="35"/>
        <v>0</v>
      </c>
      <c r="N585" s="106">
        <v>75</v>
      </c>
      <c r="O585" s="107">
        <v>5718</v>
      </c>
      <c r="P585" s="107">
        <v>26110</v>
      </c>
      <c r="Q585" s="107">
        <v>149296980</v>
      </c>
      <c r="R585" s="102" t="s">
        <v>30</v>
      </c>
      <c r="S585" s="108"/>
      <c r="T585" s="109"/>
      <c r="U585" s="109"/>
      <c r="V585" s="102"/>
      <c r="W585" s="109"/>
      <c r="X585" s="109"/>
      <c r="Y585" s="110" t="s">
        <v>31</v>
      </c>
      <c r="Z585" s="111" t="str">
        <f>MID(E585,4,2)</f>
        <v>CA</v>
      </c>
    </row>
    <row r="586" spans="1:26" s="111" customFormat="1" x14ac:dyDescent="0.2">
      <c r="A586" s="101">
        <v>46242</v>
      </c>
      <c r="B586" s="91" t="s">
        <v>804</v>
      </c>
      <c r="C586" s="102" t="s">
        <v>805</v>
      </c>
      <c r="D586" s="103" t="s">
        <v>26</v>
      </c>
      <c r="E586" s="91" t="s">
        <v>806</v>
      </c>
      <c r="F586" s="91" t="s">
        <v>237</v>
      </c>
      <c r="G586" s="91" t="s">
        <v>73</v>
      </c>
      <c r="H586" s="104" t="str">
        <f t="shared" si="36"/>
        <v>C5143J30</v>
      </c>
      <c r="I586" s="104"/>
      <c r="J586" s="105">
        <v>38.119999999999997</v>
      </c>
      <c r="K586" s="106">
        <f>IF(D586="CAESARSTONE LTD",VLOOKUP(H586,'[2]GIA CA'!G:H,2,0),IF(OR(D586="STONE FACINGS LIMITED",D586="NORDIA SA",D586="INVICTUS STONE COUNTERTOPS INC",D586="QUARTZTOP LLC"),VLOOKUP(H586,'[2] Giá ngoài Mỹ - SI-GR'!$B$5:$AZ$84,51,0),IF(OR(D586="HYUNDAI L&amp;C CANADA INC",D586="Hyundai L&amp; C USA LLC"),VLOOKUP(H586,'[2]GIA HS'!A:D,4,0),IF(Y586="Mỹ",VLOOKUP(H586,'[2]giá mỹ từ 6.8.2025'!B:I,2,0),VLOOKUP(H586,'[2]giá ngoài mỹ 6.8.2025 (final)'!B:BP,51,0)))))</f>
        <v>73.75</v>
      </c>
      <c r="L586" s="106">
        <v>77</v>
      </c>
      <c r="M586" s="106">
        <f t="shared" si="35"/>
        <v>3.25</v>
      </c>
      <c r="N586" s="106">
        <v>77</v>
      </c>
      <c r="O586" s="107">
        <v>2935.24</v>
      </c>
      <c r="P586" s="107">
        <v>26110</v>
      </c>
      <c r="Q586" s="107">
        <v>76639116</v>
      </c>
      <c r="R586" s="102" t="s">
        <v>30</v>
      </c>
      <c r="S586" s="108"/>
      <c r="T586" s="109"/>
      <c r="U586" s="109"/>
      <c r="V586" s="102"/>
      <c r="W586" s="109"/>
      <c r="X586" s="109"/>
      <c r="Y586" s="110" t="s">
        <v>31</v>
      </c>
      <c r="Z586" s="111" t="str">
        <f>MID(E586,4,2)</f>
        <v>CA</v>
      </c>
    </row>
    <row r="587" spans="1:26" s="111" customFormat="1" x14ac:dyDescent="0.2">
      <c r="A587" s="101">
        <v>46242</v>
      </c>
      <c r="B587" s="91" t="s">
        <v>804</v>
      </c>
      <c r="C587" s="102" t="s">
        <v>805</v>
      </c>
      <c r="D587" s="103" t="s">
        <v>26</v>
      </c>
      <c r="E587" s="91" t="s">
        <v>806</v>
      </c>
      <c r="F587" s="91" t="s">
        <v>28</v>
      </c>
      <c r="G587" s="91" t="s">
        <v>29</v>
      </c>
      <c r="H587" s="104" t="str">
        <f t="shared" si="36"/>
        <v>F4001J20</v>
      </c>
      <c r="I587" s="104"/>
      <c r="J587" s="105">
        <v>76.23</v>
      </c>
      <c r="K587" s="106">
        <f>IF(D587="CAESARSTONE LTD",VLOOKUP(H587,'[2]GIA CA'!G:H,2,0),IF(OR(D587="STONE FACINGS LIMITED",D587="NORDIA SA",D587="INVICTUS STONE COUNTERTOPS INC",D587="QUARTZTOP LLC"),VLOOKUP(H587,'[2] Giá ngoài Mỹ - SI-GR'!$B$5:$AZ$84,51,0),IF(OR(D587="HYUNDAI L&amp;C CANADA INC",D587="Hyundai L&amp; C USA LLC"),VLOOKUP(H587,'[2]GIA HS'!A:D,4,0),IF(Y587="Mỹ",VLOOKUP(H587,'[2]giá mỹ từ 6.8.2025'!B:I,2,0),VLOOKUP(H587,'[2]giá ngoài mỹ 6.8.2025 (final)'!B:BP,51,0)))))</f>
        <v>58</v>
      </c>
      <c r="L587" s="106">
        <v>61</v>
      </c>
      <c r="M587" s="106">
        <f t="shared" si="35"/>
        <v>3</v>
      </c>
      <c r="N587" s="106">
        <v>61</v>
      </c>
      <c r="O587" s="107">
        <v>4650.03</v>
      </c>
      <c r="P587" s="107">
        <v>26110</v>
      </c>
      <c r="Q587" s="107">
        <v>121412283</v>
      </c>
      <c r="R587" s="102" t="s">
        <v>30</v>
      </c>
      <c r="S587" s="108"/>
      <c r="T587" s="109"/>
      <c r="U587" s="109"/>
      <c r="V587" s="102"/>
      <c r="W587" s="109"/>
      <c r="X587" s="109"/>
      <c r="Y587" s="110" t="s">
        <v>31</v>
      </c>
      <c r="Z587" s="111" t="str">
        <f>MID(E587,4,2)</f>
        <v>CA</v>
      </c>
    </row>
    <row r="588" spans="1:26" s="111" customFormat="1" x14ac:dyDescent="0.2">
      <c r="A588" s="101">
        <v>46242</v>
      </c>
      <c r="B588" s="91" t="s">
        <v>804</v>
      </c>
      <c r="C588" s="102" t="s">
        <v>805</v>
      </c>
      <c r="D588" s="103" t="s">
        <v>26</v>
      </c>
      <c r="E588" s="91" t="s">
        <v>806</v>
      </c>
      <c r="F588" s="91" t="s">
        <v>810</v>
      </c>
      <c r="G588" s="91" t="s">
        <v>29</v>
      </c>
      <c r="H588" s="104" t="str">
        <f t="shared" si="36"/>
        <v>F4001J20</v>
      </c>
      <c r="I588" s="104"/>
      <c r="J588" s="105">
        <v>32.67</v>
      </c>
      <c r="K588" s="106">
        <f>IF(D588="CAESARSTONE LTD",VLOOKUP(H588,'[2]GIA CA'!G:H,2,0),IF(OR(D588="STONE FACINGS LIMITED",D588="NORDIA SA",D588="INVICTUS STONE COUNTERTOPS INC",D588="QUARTZTOP LLC"),VLOOKUP(H588,'[2] Giá ngoài Mỹ - SI-GR'!$B$5:$AZ$84,51,0),IF(OR(D588="HYUNDAI L&amp;C CANADA INC",D588="Hyundai L&amp; C USA LLC"),VLOOKUP(H588,'[2]GIA HS'!A:D,4,0),IF(Y588="Mỹ",VLOOKUP(H588,'[2]giá mỹ từ 6.8.2025'!B:I,2,0),VLOOKUP(H588,'[2]giá ngoài mỹ 6.8.2025 (final)'!B:BP,51,0)))))</f>
        <v>58</v>
      </c>
      <c r="L588" s="106">
        <v>61</v>
      </c>
      <c r="M588" s="106">
        <f t="shared" si="35"/>
        <v>3</v>
      </c>
      <c r="N588" s="106">
        <v>61</v>
      </c>
      <c r="O588" s="107">
        <v>1992.87</v>
      </c>
      <c r="P588" s="107">
        <v>26110</v>
      </c>
      <c r="Q588" s="107">
        <v>52033836</v>
      </c>
      <c r="R588" s="102" t="s">
        <v>30</v>
      </c>
      <c r="S588" s="108"/>
      <c r="T588" s="109"/>
      <c r="U588" s="109"/>
      <c r="V588" s="102"/>
      <c r="W588" s="109"/>
      <c r="X588" s="109"/>
      <c r="Y588" s="110" t="s">
        <v>31</v>
      </c>
      <c r="Z588" s="111" t="str">
        <f>MID(E588,4,2)</f>
        <v>CA</v>
      </c>
    </row>
    <row r="589" spans="1:26" s="111" customFormat="1" x14ac:dyDescent="0.2">
      <c r="A589" s="101">
        <v>46242</v>
      </c>
      <c r="B589" s="91" t="s">
        <v>804</v>
      </c>
      <c r="C589" s="102" t="s">
        <v>805</v>
      </c>
      <c r="D589" s="103" t="s">
        <v>26</v>
      </c>
      <c r="E589" s="91" t="s">
        <v>806</v>
      </c>
      <c r="F589" s="91" t="s">
        <v>32</v>
      </c>
      <c r="G589" s="91" t="s">
        <v>33</v>
      </c>
      <c r="H589" s="104" t="str">
        <f t="shared" si="36"/>
        <v>F4001J30</v>
      </c>
      <c r="I589" s="104"/>
      <c r="J589" s="105">
        <v>38.119999999999997</v>
      </c>
      <c r="K589" s="106">
        <f>IF(D589="CAESARSTONE LTD",VLOOKUP(H589,'[2]GIA CA'!G:H,2,0),IF(OR(D589="STONE FACINGS LIMITED",D589="NORDIA SA",D589="INVICTUS STONE COUNTERTOPS INC",D589="QUARTZTOP LLC"),VLOOKUP(H589,'[2] Giá ngoài Mỹ - SI-GR'!$B$5:$AZ$84,51,0),IF(OR(D589="HYUNDAI L&amp;C CANADA INC",D589="Hyundai L&amp; C USA LLC"),VLOOKUP(H589,'[2]GIA HS'!A:D,4,0),IF(Y589="Mỹ",VLOOKUP(H589,'[2]giá mỹ từ 6.8.2025'!B:I,2,0),VLOOKUP(H589,'[2]giá ngoài mỹ 6.8.2025 (final)'!B:BP,51,0)))))</f>
        <v>72.5</v>
      </c>
      <c r="L589" s="106">
        <v>76</v>
      </c>
      <c r="M589" s="106">
        <f t="shared" ref="M589:M652" si="38">L589-K589</f>
        <v>3.5</v>
      </c>
      <c r="N589" s="106">
        <v>76</v>
      </c>
      <c r="O589" s="107">
        <v>2897.12</v>
      </c>
      <c r="P589" s="107">
        <v>26110</v>
      </c>
      <c r="Q589" s="107">
        <v>75643803</v>
      </c>
      <c r="R589" s="102" t="s">
        <v>30</v>
      </c>
      <c r="S589" s="108"/>
      <c r="T589" s="109"/>
      <c r="U589" s="109"/>
      <c r="V589" s="102"/>
      <c r="W589" s="109"/>
      <c r="X589" s="109"/>
      <c r="Y589" s="110" t="s">
        <v>31</v>
      </c>
      <c r="Z589" s="111" t="str">
        <f>MID(E589,4,2)</f>
        <v>CA</v>
      </c>
    </row>
    <row r="590" spans="1:26" s="111" customFormat="1" x14ac:dyDescent="0.2">
      <c r="A590" s="101">
        <v>46242</v>
      </c>
      <c r="B590" s="91" t="s">
        <v>804</v>
      </c>
      <c r="C590" s="102" t="s">
        <v>805</v>
      </c>
      <c r="D590" s="103" t="s">
        <v>26</v>
      </c>
      <c r="E590" s="91" t="s">
        <v>806</v>
      </c>
      <c r="F590" s="91" t="s">
        <v>270</v>
      </c>
      <c r="G590" s="91" t="s">
        <v>271</v>
      </c>
      <c r="H590" s="104" t="str">
        <f t="shared" ref="H590:H653" si="39">IF(LEN(G590)=13,LEFT(G590,5)&amp;MID(G590,SEARCH("-J",G590)+1,3),LEFT(G590,5)&amp;"J20")</f>
        <v>F4044J20</v>
      </c>
      <c r="I590" s="104"/>
      <c r="J590" s="105">
        <v>38.119999999999997</v>
      </c>
      <c r="K590" s="106">
        <f>+L590</f>
        <v>63</v>
      </c>
      <c r="L590" s="106">
        <v>63</v>
      </c>
      <c r="M590" s="106">
        <f t="shared" si="38"/>
        <v>0</v>
      </c>
      <c r="N590" s="106">
        <v>63</v>
      </c>
      <c r="O590" s="107">
        <v>2401.56</v>
      </c>
      <c r="P590" s="107">
        <v>26110</v>
      </c>
      <c r="Q590" s="107">
        <v>62704732</v>
      </c>
      <c r="R590" s="102" t="s">
        <v>30</v>
      </c>
      <c r="S590" s="108"/>
      <c r="T590" s="109"/>
      <c r="U590" s="109"/>
      <c r="V590" s="102"/>
      <c r="W590" s="109"/>
      <c r="X590" s="109"/>
      <c r="Y590" s="110" t="s">
        <v>31</v>
      </c>
      <c r="Z590" s="111" t="str">
        <f>MID(E590,4,2)</f>
        <v>CA</v>
      </c>
    </row>
    <row r="591" spans="1:26" s="111" customFormat="1" x14ac:dyDescent="0.2">
      <c r="A591" s="101">
        <v>46242</v>
      </c>
      <c r="B591" s="91" t="s">
        <v>804</v>
      </c>
      <c r="C591" s="102" t="s">
        <v>805</v>
      </c>
      <c r="D591" s="103" t="s">
        <v>26</v>
      </c>
      <c r="E591" s="91" t="s">
        <v>806</v>
      </c>
      <c r="F591" s="91" t="s">
        <v>274</v>
      </c>
      <c r="G591" s="91" t="s">
        <v>273</v>
      </c>
      <c r="H591" s="104" t="str">
        <f t="shared" si="39"/>
        <v>F6313J20</v>
      </c>
      <c r="I591" s="104"/>
      <c r="J591" s="105">
        <v>54.45</v>
      </c>
      <c r="K591" s="106">
        <f>IF(D591="CAESARSTONE LTD",VLOOKUP(H591,'[2]GIA CA'!G:H,2,0),IF(OR(D591="STONE FACINGS LIMITED",D591="NORDIA SA",D591="INVICTUS STONE COUNTERTOPS INC",D591="QUARTZTOP LLC"),VLOOKUP(H591,'[2] Giá ngoài Mỹ - SI-GR'!$B$5:$AZ$84,51,0),IF(OR(D591="HYUNDAI L&amp;C CANADA INC",D591="Hyundai L&amp; C USA LLC"),VLOOKUP(H591,'[2]GIA HS'!A:D,4,0),IF(Y591="Mỹ",VLOOKUP(H591,'[2]giá mỹ từ 6.8.2025'!B:I,2,0),VLOOKUP(H591,'[2]giá ngoài mỹ 6.8.2025 (final)'!B:BP,51,0)))))</f>
        <v>62</v>
      </c>
      <c r="L591" s="106">
        <v>65</v>
      </c>
      <c r="M591" s="106">
        <f t="shared" si="38"/>
        <v>3</v>
      </c>
      <c r="N591" s="106">
        <v>65</v>
      </c>
      <c r="O591" s="106">
        <v>3539.25</v>
      </c>
      <c r="P591" s="107">
        <v>26110</v>
      </c>
      <c r="Q591" s="107">
        <v>92409818</v>
      </c>
      <c r="R591" s="102" t="s">
        <v>30</v>
      </c>
      <c r="S591" s="108"/>
      <c r="T591" s="109"/>
      <c r="U591" s="109"/>
      <c r="V591" s="102"/>
      <c r="W591" s="109"/>
      <c r="X591" s="109"/>
      <c r="Y591" s="110" t="s">
        <v>31</v>
      </c>
      <c r="Z591" s="111" t="str">
        <f>MID(E591,4,2)</f>
        <v>CA</v>
      </c>
    </row>
    <row r="592" spans="1:26" s="111" customFormat="1" x14ac:dyDescent="0.2">
      <c r="A592" s="101">
        <v>46242</v>
      </c>
      <c r="B592" s="91" t="s">
        <v>811</v>
      </c>
      <c r="C592" s="102" t="s">
        <v>812</v>
      </c>
      <c r="D592" s="103" t="s">
        <v>26</v>
      </c>
      <c r="E592" s="91" t="s">
        <v>813</v>
      </c>
      <c r="F592" s="91" t="s">
        <v>725</v>
      </c>
      <c r="G592" s="91" t="s">
        <v>726</v>
      </c>
      <c r="H592" s="104" t="str">
        <f t="shared" si="39"/>
        <v>C5151J13</v>
      </c>
      <c r="I592" s="104"/>
      <c r="J592" s="105">
        <v>76.23</v>
      </c>
      <c r="K592" s="106">
        <f>IF(D592="CAESARSTONE LTD",VLOOKUP(H592,'[2]GIA CA'!G:H,2,0),IF(OR(D592="STONE FACINGS LIMITED",D592="NORDIA SA",D592="INVICTUS STONE COUNTERTOPS INC",D592="QUARTZTOP LLC"),VLOOKUP(H592,'[2] Giá ngoài Mỹ - SI-GR'!$B$5:$AZ$84,51,0),IF(OR(D592="HYUNDAI L&amp;C CANADA INC",D592="Hyundai L&amp; C USA LLC"),VLOOKUP(H592,'[2]GIA HS'!A:D,4,0),IF(Y592="Mỹ",VLOOKUP(H592,'[2]giá mỹ từ 6.8.2025'!B:I,2,0),VLOOKUP(H592,'[2]giá ngoài mỹ 6.8.2025 (final)'!B:BP,51,0)))))</f>
        <v>55.25</v>
      </c>
      <c r="L592" s="106">
        <v>58.01</v>
      </c>
      <c r="M592" s="106">
        <f t="shared" si="38"/>
        <v>2.759999999999998</v>
      </c>
      <c r="N592" s="106">
        <v>58.01</v>
      </c>
      <c r="O592" s="107">
        <v>4422.04</v>
      </c>
      <c r="P592" s="107">
        <v>26110</v>
      </c>
      <c r="Q592" s="107">
        <v>115459464</v>
      </c>
      <c r="R592" s="102" t="s">
        <v>30</v>
      </c>
      <c r="S592" s="108"/>
      <c r="T592" s="109"/>
      <c r="U592" s="109"/>
      <c r="V592" s="102"/>
      <c r="W592" s="109"/>
      <c r="X592" s="109"/>
      <c r="Y592" s="110" t="s">
        <v>132</v>
      </c>
      <c r="Z592" s="111" t="str">
        <f>MID(E592,4,2)</f>
        <v>CA</v>
      </c>
    </row>
    <row r="593" spans="1:26" s="111" customFormat="1" x14ac:dyDescent="0.2">
      <c r="A593" s="101">
        <v>46242</v>
      </c>
      <c r="B593" s="91" t="s">
        <v>811</v>
      </c>
      <c r="C593" s="102" t="s">
        <v>812</v>
      </c>
      <c r="D593" s="103" t="s">
        <v>26</v>
      </c>
      <c r="E593" s="91" t="s">
        <v>813</v>
      </c>
      <c r="F593" s="91" t="s">
        <v>373</v>
      </c>
      <c r="G593" s="91" t="s">
        <v>374</v>
      </c>
      <c r="H593" s="104" t="str">
        <f t="shared" si="39"/>
        <v>C5212J13</v>
      </c>
      <c r="I593" s="104"/>
      <c r="J593" s="105">
        <v>228.69</v>
      </c>
      <c r="K593" s="106">
        <f>IF(D593="CAESARSTONE LTD",VLOOKUP(H593,'[2]GIA CA'!G:H,2,0),IF(OR(D593="STONE FACINGS LIMITED",D593="NORDIA SA",D593="INVICTUS STONE COUNTERTOPS INC",D593="QUARTZTOP LLC"),VLOOKUP(H593,'[2] Giá ngoài Mỹ - SI-GR'!$B$5:$AZ$84,51,0),IF(OR(D593="HYUNDAI L&amp;C CANADA INC",D593="Hyundai L&amp; C USA LLC"),VLOOKUP(H593,'[2]GIA HS'!A:D,4,0),IF(Y593="Mỹ",VLOOKUP(H593,'[2]giá mỹ từ 6.8.2025'!B:I,2,0),VLOOKUP(H593,'[2]giá ngoài mỹ 6.8.2025 (final)'!B:BP,51,0)))))</f>
        <v>50.15</v>
      </c>
      <c r="L593" s="106">
        <v>52.7</v>
      </c>
      <c r="M593" s="106">
        <f t="shared" si="38"/>
        <v>2.5500000000000043</v>
      </c>
      <c r="N593" s="106">
        <v>52.7</v>
      </c>
      <c r="O593" s="107">
        <v>12051.9</v>
      </c>
      <c r="P593" s="107">
        <v>26110</v>
      </c>
      <c r="Q593" s="107">
        <v>314675109</v>
      </c>
      <c r="R593" s="102" t="s">
        <v>30</v>
      </c>
      <c r="S593" s="108"/>
      <c r="T593" s="109"/>
      <c r="U593" s="109"/>
      <c r="V593" s="102"/>
      <c r="W593" s="109"/>
      <c r="X593" s="109"/>
      <c r="Y593" s="110" t="s">
        <v>132</v>
      </c>
      <c r="Z593" s="111" t="str">
        <f>MID(E593,4,2)</f>
        <v>CA</v>
      </c>
    </row>
    <row r="594" spans="1:26" s="111" customFormat="1" x14ac:dyDescent="0.2">
      <c r="A594" s="101">
        <v>46242</v>
      </c>
      <c r="B594" s="91" t="s">
        <v>811</v>
      </c>
      <c r="C594" s="102" t="s">
        <v>812</v>
      </c>
      <c r="D594" s="103" t="s">
        <v>26</v>
      </c>
      <c r="E594" s="91" t="s">
        <v>813</v>
      </c>
      <c r="F594" s="91" t="s">
        <v>124</v>
      </c>
      <c r="G594" s="91" t="s">
        <v>113</v>
      </c>
      <c r="H594" s="104" t="str">
        <f t="shared" si="39"/>
        <v>C5212J20</v>
      </c>
      <c r="I594" s="104"/>
      <c r="J594" s="105">
        <v>108.9</v>
      </c>
      <c r="K594" s="106">
        <f>IF(D594="CAESARSTONE LTD",VLOOKUP(H594,'[2]GIA CA'!G:H,2,0),IF(OR(D594="STONE FACINGS LIMITED",D594="NORDIA SA",D594="INVICTUS STONE COUNTERTOPS INC",D594="QUARTZTOP LLC"),VLOOKUP(H594,'[2] Giá ngoài Mỹ - SI-GR'!$B$5:$AZ$84,51,0),IF(OR(D594="HYUNDAI L&amp;C CANADA INC",D594="Hyundai L&amp; C USA LLC"),VLOOKUP(H594,'[2]GIA HS'!A:D,4,0),IF(Y594="Mỹ",VLOOKUP(H594,'[2]giá mỹ từ 6.8.2025'!B:I,2,0),VLOOKUP(H594,'[2]giá ngoài mỹ 6.8.2025 (final)'!B:BP,51,0)))))</f>
        <v>59</v>
      </c>
      <c r="L594" s="106">
        <v>62</v>
      </c>
      <c r="M594" s="106">
        <f t="shared" si="38"/>
        <v>3</v>
      </c>
      <c r="N594" s="106">
        <v>62</v>
      </c>
      <c r="O594" s="107">
        <v>6751.8</v>
      </c>
      <c r="P594" s="107">
        <v>26110</v>
      </c>
      <c r="Q594" s="107">
        <v>176289498</v>
      </c>
      <c r="R594" s="102" t="s">
        <v>30</v>
      </c>
      <c r="S594" s="108"/>
      <c r="T594" s="109"/>
      <c r="U594" s="109"/>
      <c r="V594" s="102"/>
      <c r="W594" s="109"/>
      <c r="X594" s="109"/>
      <c r="Y594" s="110" t="s">
        <v>132</v>
      </c>
      <c r="Z594" s="111" t="str">
        <f>MID(E594,4,2)</f>
        <v>CA</v>
      </c>
    </row>
    <row r="595" spans="1:26" s="111" customFormat="1" x14ac:dyDescent="0.2">
      <c r="A595" s="101">
        <v>46242</v>
      </c>
      <c r="B595" s="91" t="s">
        <v>811</v>
      </c>
      <c r="C595" s="102" t="s">
        <v>812</v>
      </c>
      <c r="D595" s="103" t="s">
        <v>26</v>
      </c>
      <c r="E595" s="91" t="s">
        <v>813</v>
      </c>
      <c r="F595" s="91" t="s">
        <v>379</v>
      </c>
      <c r="G595" s="91" t="s">
        <v>126</v>
      </c>
      <c r="H595" s="104" t="str">
        <f t="shared" si="39"/>
        <v>C6046J20</v>
      </c>
      <c r="I595" s="104"/>
      <c r="J595" s="105">
        <v>163.35</v>
      </c>
      <c r="K595" s="106">
        <f>IF(D595="CAESARSTONE LTD",VLOOKUP(H595,'[2]GIA CA'!G:H,2,0),IF(OR(D595="STONE FACINGS LIMITED",D595="NORDIA SA",D595="INVICTUS STONE COUNTERTOPS INC",D595="QUARTZTOP LLC"),VLOOKUP(H595,'[2] Giá ngoài Mỹ - SI-GR'!$B$5:$AZ$84,51,0),IF(OR(D595="HYUNDAI L&amp;C CANADA INC",D595="Hyundai L&amp; C USA LLC"),VLOOKUP(H595,'[2]GIA HS'!A:D,4,0),IF(Y595="Mỹ",VLOOKUP(H595,'[2]giá mỹ từ 6.8.2025'!B:I,2,0),VLOOKUP(H595,'[2]giá ngoài mỹ 6.8.2025 (final)'!B:BP,51,0)))))</f>
        <v>59</v>
      </c>
      <c r="L595" s="106">
        <v>62</v>
      </c>
      <c r="M595" s="106">
        <f t="shared" si="38"/>
        <v>3</v>
      </c>
      <c r="N595" s="106">
        <v>62</v>
      </c>
      <c r="O595" s="106">
        <v>10127.700000000001</v>
      </c>
      <c r="P595" s="107">
        <v>26110</v>
      </c>
      <c r="Q595" s="107">
        <v>264434247</v>
      </c>
      <c r="R595" s="102" t="s">
        <v>30</v>
      </c>
      <c r="S595" s="108"/>
      <c r="T595" s="109"/>
      <c r="U595" s="109"/>
      <c r="V595" s="102"/>
      <c r="W595" s="109"/>
      <c r="X595" s="109"/>
      <c r="Y595" s="110" t="s">
        <v>132</v>
      </c>
      <c r="Z595" s="111" t="str">
        <f>MID(E595,4,2)</f>
        <v>CA</v>
      </c>
    </row>
    <row r="596" spans="1:26" s="111" customFormat="1" x14ac:dyDescent="0.2">
      <c r="A596" s="101">
        <v>46242</v>
      </c>
      <c r="B596" s="91" t="s">
        <v>814</v>
      </c>
      <c r="C596" s="102" t="s">
        <v>815</v>
      </c>
      <c r="D596" s="103" t="s">
        <v>490</v>
      </c>
      <c r="E596" s="91" t="s">
        <v>816</v>
      </c>
      <c r="F596" s="91" t="s">
        <v>817</v>
      </c>
      <c r="G596" s="91" t="s">
        <v>818</v>
      </c>
      <c r="H596" s="104" t="str">
        <f t="shared" si="39"/>
        <v>C1102J30</v>
      </c>
      <c r="I596" s="104"/>
      <c r="J596" s="105">
        <v>27.23</v>
      </c>
      <c r="K596" s="106">
        <v>20</v>
      </c>
      <c r="L596" s="106">
        <v>20</v>
      </c>
      <c r="M596" s="106">
        <f t="shared" si="38"/>
        <v>0</v>
      </c>
      <c r="N596" s="106">
        <v>20</v>
      </c>
      <c r="O596" s="107">
        <v>544.6</v>
      </c>
      <c r="P596" s="107">
        <v>26110</v>
      </c>
      <c r="Q596" s="107">
        <v>14219506</v>
      </c>
      <c r="R596" s="102" t="s">
        <v>30</v>
      </c>
      <c r="S596" s="108"/>
      <c r="T596" s="109"/>
      <c r="U596" s="109"/>
      <c r="V596" s="102"/>
      <c r="W596" s="109"/>
      <c r="X596" s="109"/>
      <c r="Y596" s="110" t="s">
        <v>494</v>
      </c>
      <c r="Z596" s="111" t="str">
        <f>MID(E596,4,2)</f>
        <v>JO</v>
      </c>
    </row>
    <row r="597" spans="1:26" s="111" customFormat="1" x14ac:dyDescent="0.2">
      <c r="A597" s="101">
        <v>46242</v>
      </c>
      <c r="B597" s="91" t="s">
        <v>814</v>
      </c>
      <c r="C597" s="102" t="s">
        <v>815</v>
      </c>
      <c r="D597" s="103" t="s">
        <v>490</v>
      </c>
      <c r="E597" s="91" t="s">
        <v>816</v>
      </c>
      <c r="F597" s="91" t="s">
        <v>819</v>
      </c>
      <c r="G597" s="91" t="s">
        <v>820</v>
      </c>
      <c r="H597" s="104" t="str">
        <f t="shared" si="39"/>
        <v>C1102J30</v>
      </c>
      <c r="I597" s="104"/>
      <c r="J597" s="105">
        <v>49</v>
      </c>
      <c r="K597" s="106">
        <v>20</v>
      </c>
      <c r="L597" s="106">
        <v>20.36</v>
      </c>
      <c r="M597" s="106">
        <f t="shared" si="38"/>
        <v>0.35999999999999943</v>
      </c>
      <c r="N597" s="106">
        <v>20.36</v>
      </c>
      <c r="O597" s="107">
        <v>997.42</v>
      </c>
      <c r="P597" s="107">
        <v>26110</v>
      </c>
      <c r="Q597" s="107">
        <v>26042636</v>
      </c>
      <c r="R597" s="102" t="s">
        <v>30</v>
      </c>
      <c r="S597" s="108"/>
      <c r="T597" s="109"/>
      <c r="U597" s="109"/>
      <c r="V597" s="102"/>
      <c r="W597" s="109"/>
      <c r="X597" s="109"/>
      <c r="Y597" s="110" t="s">
        <v>494</v>
      </c>
      <c r="Z597" s="111" t="str">
        <f>MID(E597,4,2)</f>
        <v>JO</v>
      </c>
    </row>
    <row r="598" spans="1:26" s="111" customFormat="1" x14ac:dyDescent="0.2">
      <c r="A598" s="101">
        <v>46242</v>
      </c>
      <c r="B598" s="91" t="s">
        <v>814</v>
      </c>
      <c r="C598" s="102" t="s">
        <v>815</v>
      </c>
      <c r="D598" s="103" t="s">
        <v>490</v>
      </c>
      <c r="E598" s="91" t="s">
        <v>816</v>
      </c>
      <c r="F598" s="91" t="s">
        <v>821</v>
      </c>
      <c r="G598" s="91" t="s">
        <v>822</v>
      </c>
      <c r="H598" s="104" t="str">
        <f t="shared" si="39"/>
        <v>C1102J20</v>
      </c>
      <c r="I598" s="104"/>
      <c r="J598" s="105">
        <v>5.45</v>
      </c>
      <c r="K598" s="106">
        <v>30</v>
      </c>
      <c r="L598" s="106">
        <v>31</v>
      </c>
      <c r="M598" s="106">
        <f t="shared" si="38"/>
        <v>1</v>
      </c>
      <c r="N598" s="106">
        <v>31</v>
      </c>
      <c r="O598" s="107">
        <v>168.95</v>
      </c>
      <c r="P598" s="107">
        <v>26110</v>
      </c>
      <c r="Q598" s="107">
        <v>4411285</v>
      </c>
      <c r="R598" s="102" t="s">
        <v>30</v>
      </c>
      <c r="S598" s="108"/>
      <c r="T598" s="109"/>
      <c r="U598" s="109"/>
      <c r="V598" s="102"/>
      <c r="W598" s="109"/>
      <c r="X598" s="109"/>
      <c r="Y598" s="110" t="s">
        <v>494</v>
      </c>
      <c r="Z598" s="111" t="str">
        <f>MID(E598,4,2)</f>
        <v>JO</v>
      </c>
    </row>
    <row r="599" spans="1:26" s="111" customFormat="1" x14ac:dyDescent="0.2">
      <c r="A599" s="101">
        <v>46242</v>
      </c>
      <c r="B599" s="91" t="s">
        <v>814</v>
      </c>
      <c r="C599" s="102" t="s">
        <v>815</v>
      </c>
      <c r="D599" s="103" t="s">
        <v>490</v>
      </c>
      <c r="E599" s="91" t="s">
        <v>816</v>
      </c>
      <c r="F599" s="91" t="s">
        <v>823</v>
      </c>
      <c r="G599" s="91" t="s">
        <v>820</v>
      </c>
      <c r="H599" s="104" t="str">
        <f t="shared" si="39"/>
        <v>C1102J30</v>
      </c>
      <c r="I599" s="104"/>
      <c r="J599" s="105">
        <v>196.02</v>
      </c>
      <c r="K599" s="106">
        <v>20</v>
      </c>
      <c r="L599" s="106">
        <v>20.36</v>
      </c>
      <c r="M599" s="106">
        <f t="shared" si="38"/>
        <v>0.35999999999999943</v>
      </c>
      <c r="N599" s="106">
        <v>20.36</v>
      </c>
      <c r="O599" s="107">
        <v>3990.09</v>
      </c>
      <c r="P599" s="107">
        <v>26110</v>
      </c>
      <c r="Q599" s="107">
        <v>104181250</v>
      </c>
      <c r="R599" s="102" t="s">
        <v>30</v>
      </c>
      <c r="S599" s="108"/>
      <c r="T599" s="109"/>
      <c r="U599" s="109"/>
      <c r="V599" s="102"/>
      <c r="W599" s="109"/>
      <c r="X599" s="109"/>
      <c r="Y599" s="110" t="s">
        <v>494</v>
      </c>
      <c r="Z599" s="111" t="str">
        <f>MID(E599,4,2)</f>
        <v>JO</v>
      </c>
    </row>
    <row r="600" spans="1:26" s="111" customFormat="1" x14ac:dyDescent="0.2">
      <c r="A600" s="101">
        <v>46242</v>
      </c>
      <c r="B600" s="91" t="s">
        <v>814</v>
      </c>
      <c r="C600" s="102" t="s">
        <v>815</v>
      </c>
      <c r="D600" s="103" t="s">
        <v>490</v>
      </c>
      <c r="E600" s="91" t="s">
        <v>816</v>
      </c>
      <c r="F600" s="91" t="s">
        <v>824</v>
      </c>
      <c r="G600" s="91" t="s">
        <v>822</v>
      </c>
      <c r="H600" s="104" t="str">
        <f t="shared" si="39"/>
        <v>C1102J20</v>
      </c>
      <c r="I600" s="104"/>
      <c r="J600" s="105">
        <v>38.11</v>
      </c>
      <c r="K600" s="106">
        <v>30</v>
      </c>
      <c r="L600" s="106">
        <v>31</v>
      </c>
      <c r="M600" s="106">
        <f t="shared" si="38"/>
        <v>1</v>
      </c>
      <c r="N600" s="106">
        <v>31</v>
      </c>
      <c r="O600" s="107">
        <v>1181.4100000000001</v>
      </c>
      <c r="P600" s="107">
        <v>26110</v>
      </c>
      <c r="Q600" s="107">
        <v>30846615</v>
      </c>
      <c r="R600" s="102" t="s">
        <v>30</v>
      </c>
      <c r="S600" s="108"/>
      <c r="T600" s="109"/>
      <c r="U600" s="109"/>
      <c r="V600" s="102"/>
      <c r="W600" s="109"/>
      <c r="X600" s="109"/>
      <c r="Y600" s="110" t="s">
        <v>494</v>
      </c>
      <c r="Z600" s="111" t="str">
        <f>MID(E600,4,2)</f>
        <v>JO</v>
      </c>
    </row>
    <row r="601" spans="1:26" s="111" customFormat="1" x14ac:dyDescent="0.2">
      <c r="A601" s="101">
        <v>46242</v>
      </c>
      <c r="B601" s="91" t="s">
        <v>814</v>
      </c>
      <c r="C601" s="102" t="s">
        <v>815</v>
      </c>
      <c r="D601" s="103" t="s">
        <v>490</v>
      </c>
      <c r="E601" s="91" t="s">
        <v>816</v>
      </c>
      <c r="F601" s="91" t="s">
        <v>825</v>
      </c>
      <c r="G601" s="91" t="s">
        <v>820</v>
      </c>
      <c r="H601" s="104" t="str">
        <f t="shared" si="39"/>
        <v>C1102J30</v>
      </c>
      <c r="I601" s="104"/>
      <c r="J601" s="105">
        <v>10.89</v>
      </c>
      <c r="K601" s="106">
        <v>20</v>
      </c>
      <c r="L601" s="106">
        <v>20.36</v>
      </c>
      <c r="M601" s="106">
        <f t="shared" si="38"/>
        <v>0.35999999999999943</v>
      </c>
      <c r="N601" s="106">
        <v>20.36</v>
      </c>
      <c r="O601" s="107">
        <v>221.67</v>
      </c>
      <c r="P601" s="107">
        <v>26110</v>
      </c>
      <c r="Q601" s="107">
        <v>5787804</v>
      </c>
      <c r="R601" s="102" t="s">
        <v>30</v>
      </c>
      <c r="S601" s="108"/>
      <c r="T601" s="109"/>
      <c r="U601" s="109"/>
      <c r="V601" s="102"/>
      <c r="W601" s="109"/>
      <c r="X601" s="109"/>
      <c r="Y601" s="110" t="s">
        <v>494</v>
      </c>
      <c r="Z601" s="111" t="str">
        <f>MID(E601,4,2)</f>
        <v>JO</v>
      </c>
    </row>
    <row r="602" spans="1:26" s="111" customFormat="1" x14ac:dyDescent="0.2">
      <c r="A602" s="101">
        <v>46242</v>
      </c>
      <c r="B602" s="91" t="s">
        <v>814</v>
      </c>
      <c r="C602" s="102" t="s">
        <v>815</v>
      </c>
      <c r="D602" s="103" t="s">
        <v>490</v>
      </c>
      <c r="E602" s="91" t="s">
        <v>816</v>
      </c>
      <c r="F602" s="91" t="s">
        <v>826</v>
      </c>
      <c r="G602" s="91" t="s">
        <v>820</v>
      </c>
      <c r="H602" s="104" t="str">
        <f t="shared" si="39"/>
        <v>C1102J30</v>
      </c>
      <c r="I602" s="104"/>
      <c r="J602" s="105">
        <v>10.89</v>
      </c>
      <c r="K602" s="106">
        <v>20</v>
      </c>
      <c r="L602" s="106">
        <v>20.36</v>
      </c>
      <c r="M602" s="106">
        <f t="shared" si="38"/>
        <v>0.35999999999999943</v>
      </c>
      <c r="N602" s="106">
        <v>20.36</v>
      </c>
      <c r="O602" s="107">
        <v>221.67</v>
      </c>
      <c r="P602" s="107">
        <v>26110</v>
      </c>
      <c r="Q602" s="107">
        <v>5787804</v>
      </c>
      <c r="R602" s="102" t="s">
        <v>30</v>
      </c>
      <c r="S602" s="108"/>
      <c r="T602" s="109"/>
      <c r="U602" s="109"/>
      <c r="V602" s="102"/>
      <c r="W602" s="109"/>
      <c r="X602" s="109"/>
      <c r="Y602" s="110" t="s">
        <v>494</v>
      </c>
      <c r="Z602" s="111" t="str">
        <f>MID(E602,4,2)</f>
        <v>JO</v>
      </c>
    </row>
    <row r="603" spans="1:26" s="111" customFormat="1" x14ac:dyDescent="0.2">
      <c r="A603" s="101">
        <v>46242</v>
      </c>
      <c r="B603" s="91" t="s">
        <v>814</v>
      </c>
      <c r="C603" s="102" t="s">
        <v>815</v>
      </c>
      <c r="D603" s="103" t="s">
        <v>490</v>
      </c>
      <c r="E603" s="91" t="s">
        <v>816</v>
      </c>
      <c r="F603" s="91" t="s">
        <v>827</v>
      </c>
      <c r="G603" s="91" t="s">
        <v>820</v>
      </c>
      <c r="H603" s="104" t="str">
        <f t="shared" si="39"/>
        <v>C1102J30</v>
      </c>
      <c r="I603" s="104"/>
      <c r="J603" s="105">
        <v>10.89</v>
      </c>
      <c r="K603" s="106">
        <v>20</v>
      </c>
      <c r="L603" s="106">
        <v>20.36</v>
      </c>
      <c r="M603" s="106">
        <f t="shared" si="38"/>
        <v>0.35999999999999943</v>
      </c>
      <c r="N603" s="106">
        <v>20.36</v>
      </c>
      <c r="O603" s="107">
        <v>221.67</v>
      </c>
      <c r="P603" s="107">
        <v>26110</v>
      </c>
      <c r="Q603" s="107">
        <v>5787804</v>
      </c>
      <c r="R603" s="102" t="s">
        <v>30</v>
      </c>
      <c r="S603" s="108"/>
      <c r="T603" s="109"/>
      <c r="U603" s="109"/>
      <c r="V603" s="102"/>
      <c r="W603" s="109"/>
      <c r="X603" s="109"/>
      <c r="Y603" s="110" t="s">
        <v>494</v>
      </c>
      <c r="Z603" s="111" t="str">
        <f>MID(E603,4,2)</f>
        <v>JO</v>
      </c>
    </row>
    <row r="604" spans="1:26" s="111" customFormat="1" x14ac:dyDescent="0.2">
      <c r="A604" s="101">
        <v>46242</v>
      </c>
      <c r="B604" s="91" t="s">
        <v>814</v>
      </c>
      <c r="C604" s="102" t="s">
        <v>815</v>
      </c>
      <c r="D604" s="103" t="s">
        <v>490</v>
      </c>
      <c r="E604" s="91" t="s">
        <v>816</v>
      </c>
      <c r="F604" s="91" t="s">
        <v>828</v>
      </c>
      <c r="G604" s="91" t="s">
        <v>822</v>
      </c>
      <c r="H604" s="104" t="str">
        <f t="shared" si="39"/>
        <v>C1102J20</v>
      </c>
      <c r="I604" s="104"/>
      <c r="J604" s="105">
        <v>16.34</v>
      </c>
      <c r="K604" s="106">
        <v>30</v>
      </c>
      <c r="L604" s="106">
        <v>31</v>
      </c>
      <c r="M604" s="106">
        <f t="shared" si="38"/>
        <v>1</v>
      </c>
      <c r="N604" s="106">
        <v>31</v>
      </c>
      <c r="O604" s="107">
        <v>506.54</v>
      </c>
      <c r="P604" s="107">
        <v>26110</v>
      </c>
      <c r="Q604" s="107">
        <v>13225759</v>
      </c>
      <c r="R604" s="102" t="s">
        <v>30</v>
      </c>
      <c r="S604" s="108"/>
      <c r="T604" s="109"/>
      <c r="U604" s="109"/>
      <c r="V604" s="102"/>
      <c r="W604" s="109"/>
      <c r="X604" s="109"/>
      <c r="Y604" s="110" t="s">
        <v>494</v>
      </c>
      <c r="Z604" s="111" t="str">
        <f>MID(E604,4,2)</f>
        <v>JO</v>
      </c>
    </row>
    <row r="605" spans="1:26" s="111" customFormat="1" x14ac:dyDescent="0.2">
      <c r="A605" s="101">
        <v>46242</v>
      </c>
      <c r="B605" s="91" t="s">
        <v>814</v>
      </c>
      <c r="C605" s="102" t="s">
        <v>815</v>
      </c>
      <c r="D605" s="103" t="s">
        <v>490</v>
      </c>
      <c r="E605" s="91" t="s">
        <v>816</v>
      </c>
      <c r="F605" s="91" t="s">
        <v>829</v>
      </c>
      <c r="G605" s="91" t="s">
        <v>820</v>
      </c>
      <c r="H605" s="104" t="str">
        <f t="shared" si="39"/>
        <v>C1102J30</v>
      </c>
      <c r="I605" s="104"/>
      <c r="J605" s="105">
        <v>16.34</v>
      </c>
      <c r="K605" s="106">
        <v>20</v>
      </c>
      <c r="L605" s="106">
        <v>20.36</v>
      </c>
      <c r="M605" s="106">
        <f t="shared" si="38"/>
        <v>0.35999999999999943</v>
      </c>
      <c r="N605" s="106">
        <v>20.36</v>
      </c>
      <c r="O605" s="107">
        <v>332.62</v>
      </c>
      <c r="P605" s="107">
        <v>26110</v>
      </c>
      <c r="Q605" s="107">
        <v>8684708</v>
      </c>
      <c r="R605" s="102" t="s">
        <v>30</v>
      </c>
      <c r="S605" s="108"/>
      <c r="T605" s="109"/>
      <c r="U605" s="109"/>
      <c r="V605" s="102"/>
      <c r="W605" s="109"/>
      <c r="X605" s="109"/>
      <c r="Y605" s="110" t="s">
        <v>494</v>
      </c>
      <c r="Z605" s="111" t="str">
        <f>MID(E605,4,2)</f>
        <v>JO</v>
      </c>
    </row>
    <row r="606" spans="1:26" s="111" customFormat="1" x14ac:dyDescent="0.2">
      <c r="A606" s="101">
        <v>46242</v>
      </c>
      <c r="B606" s="91" t="s">
        <v>830</v>
      </c>
      <c r="C606" s="102" t="s">
        <v>831</v>
      </c>
      <c r="D606" s="103" t="s">
        <v>26</v>
      </c>
      <c r="E606" s="91" t="s">
        <v>832</v>
      </c>
      <c r="F606" s="91" t="s">
        <v>86</v>
      </c>
      <c r="G606" s="91" t="s">
        <v>87</v>
      </c>
      <c r="H606" s="104" t="str">
        <f t="shared" si="39"/>
        <v>C4033J30</v>
      </c>
      <c r="I606" s="104"/>
      <c r="J606" s="105">
        <v>38.119999999999997</v>
      </c>
      <c r="K606" s="106">
        <f>+L606</f>
        <v>75.77</v>
      </c>
      <c r="L606" s="106">
        <v>75.77</v>
      </c>
      <c r="M606" s="106">
        <f t="shared" si="38"/>
        <v>0</v>
      </c>
      <c r="N606" s="106">
        <v>75.77</v>
      </c>
      <c r="O606" s="107">
        <v>2888.39</v>
      </c>
      <c r="P606" s="107">
        <v>26110</v>
      </c>
      <c r="Q606" s="107">
        <v>75415863</v>
      </c>
      <c r="R606" s="102" t="s">
        <v>30</v>
      </c>
      <c r="S606" s="108"/>
      <c r="T606" s="109"/>
      <c r="U606" s="109"/>
      <c r="V606" s="102"/>
      <c r="W606" s="109"/>
      <c r="X606" s="109"/>
      <c r="Y606" s="110" t="s">
        <v>31</v>
      </c>
      <c r="Z606" s="111" t="str">
        <f>MID(E606,4,2)</f>
        <v>CA</v>
      </c>
    </row>
    <row r="607" spans="1:26" s="111" customFormat="1" x14ac:dyDescent="0.2">
      <c r="A607" s="101">
        <v>46242</v>
      </c>
      <c r="B607" s="91" t="s">
        <v>830</v>
      </c>
      <c r="C607" s="102" t="s">
        <v>831</v>
      </c>
      <c r="D607" s="103" t="s">
        <v>26</v>
      </c>
      <c r="E607" s="91" t="s">
        <v>832</v>
      </c>
      <c r="F607" s="91" t="s">
        <v>462</v>
      </c>
      <c r="G607" s="91" t="s">
        <v>463</v>
      </c>
      <c r="H607" s="104" t="str">
        <f t="shared" si="39"/>
        <v>C5141J20</v>
      </c>
      <c r="I607" s="104"/>
      <c r="J607" s="105">
        <v>5.45</v>
      </c>
      <c r="K607" s="106">
        <f>IF(D607="CAESARSTONE LTD",VLOOKUP(H607,'[2]GIA CA'!G:H,2,0),IF(OR(D607="STONE FACINGS LIMITED",D607="NORDIA SA",D607="INVICTUS STONE COUNTERTOPS INC",D607="QUARTZTOP LLC"),VLOOKUP(H607,'[2] Giá ngoài Mỹ - SI-GR'!$B$5:$AZ$84,51,0),IF(OR(D607="HYUNDAI L&amp;C CANADA INC",D607="Hyundai L&amp; C USA LLC"),VLOOKUP(H607,'[2]GIA HS'!A:D,4,0),IF(Y607="Mỹ",VLOOKUP(H607,'[2]giá mỹ từ 6.8.2025'!B:I,2,0),VLOOKUP(H607,'[2]giá ngoài mỹ 6.8.2025 (final)'!B:BP,51,0)))))</f>
        <v>55</v>
      </c>
      <c r="L607" s="106">
        <v>58</v>
      </c>
      <c r="M607" s="106">
        <f t="shared" si="38"/>
        <v>3</v>
      </c>
      <c r="N607" s="106">
        <v>58</v>
      </c>
      <c r="O607" s="107">
        <v>316.10000000000002</v>
      </c>
      <c r="P607" s="107">
        <v>26110</v>
      </c>
      <c r="Q607" s="107">
        <v>8253371</v>
      </c>
      <c r="R607" s="102" t="s">
        <v>30</v>
      </c>
      <c r="S607" s="108"/>
      <c r="T607" s="109"/>
      <c r="U607" s="109"/>
      <c r="V607" s="102"/>
      <c r="W607" s="109"/>
      <c r="X607" s="109"/>
      <c r="Y607" s="110" t="s">
        <v>31</v>
      </c>
      <c r="Z607" s="111" t="str">
        <f>MID(E607,4,2)</f>
        <v>CA</v>
      </c>
    </row>
    <row r="608" spans="1:26" s="111" customFormat="1" x14ac:dyDescent="0.2">
      <c r="A608" s="101">
        <v>46242</v>
      </c>
      <c r="B608" s="91" t="s">
        <v>830</v>
      </c>
      <c r="C608" s="102" t="s">
        <v>831</v>
      </c>
      <c r="D608" s="103" t="s">
        <v>26</v>
      </c>
      <c r="E608" s="91" t="s">
        <v>832</v>
      </c>
      <c r="F608" s="91" t="s">
        <v>383</v>
      </c>
      <c r="G608" s="91" t="s">
        <v>384</v>
      </c>
      <c r="H608" s="104" t="str">
        <f t="shared" si="39"/>
        <v>C5141J30</v>
      </c>
      <c r="I608" s="104"/>
      <c r="J608" s="105">
        <v>27.23</v>
      </c>
      <c r="K608" s="106">
        <f>IF(D608="CAESARSTONE LTD",VLOOKUP(H608,'[2]GIA CA'!G:H,2,0),IF(OR(D608="STONE FACINGS LIMITED",D608="NORDIA SA",D608="INVICTUS STONE COUNTERTOPS INC",D608="QUARTZTOP LLC"),VLOOKUP(H608,'[2] Giá ngoài Mỹ - SI-GR'!$B$5:$AZ$84,51,0),IF(OR(D608="HYUNDAI L&amp;C CANADA INC",D608="Hyundai L&amp; C USA LLC"),VLOOKUP(H608,'[2]GIA HS'!A:D,4,0),IF(Y608="Mỹ",VLOOKUP(H608,'[2]giá mỹ từ 6.8.2025'!B:I,2,0),VLOOKUP(H608,'[2]giá ngoài mỹ 6.8.2025 (final)'!B:BP,51,0)))))</f>
        <v>68.75</v>
      </c>
      <c r="L608" s="106">
        <v>72</v>
      </c>
      <c r="M608" s="106">
        <f t="shared" si="38"/>
        <v>3.25</v>
      </c>
      <c r="N608" s="106">
        <v>72</v>
      </c>
      <c r="O608" s="107">
        <v>1960.56</v>
      </c>
      <c r="P608" s="107">
        <v>26110</v>
      </c>
      <c r="Q608" s="107">
        <v>51190222</v>
      </c>
      <c r="R608" s="102" t="s">
        <v>30</v>
      </c>
      <c r="S608" s="108"/>
      <c r="T608" s="109"/>
      <c r="U608" s="109"/>
      <c r="V608" s="102"/>
      <c r="W608" s="109"/>
      <c r="X608" s="109"/>
      <c r="Y608" s="110" t="s">
        <v>31</v>
      </c>
      <c r="Z608" s="111" t="str">
        <f>MID(E608,4,2)</f>
        <v>CA</v>
      </c>
    </row>
    <row r="609" spans="1:26" s="111" customFormat="1" x14ac:dyDescent="0.2">
      <c r="A609" s="101">
        <v>46242</v>
      </c>
      <c r="B609" s="91" t="s">
        <v>830</v>
      </c>
      <c r="C609" s="102" t="s">
        <v>831</v>
      </c>
      <c r="D609" s="103" t="s">
        <v>26</v>
      </c>
      <c r="E609" s="91" t="s">
        <v>832</v>
      </c>
      <c r="F609" s="91" t="s">
        <v>124</v>
      </c>
      <c r="G609" s="91" t="s">
        <v>113</v>
      </c>
      <c r="H609" s="104" t="str">
        <f t="shared" si="39"/>
        <v>C5212J20</v>
      </c>
      <c r="I609" s="104"/>
      <c r="J609" s="105">
        <v>108.9</v>
      </c>
      <c r="K609" s="106">
        <f>IF(D609="CAESARSTONE LTD",VLOOKUP(H609,'[2]GIA CA'!G:H,2,0),IF(OR(D609="STONE FACINGS LIMITED",D609="NORDIA SA",D609="INVICTUS STONE COUNTERTOPS INC",D609="QUARTZTOP LLC"),VLOOKUP(H609,'[2] Giá ngoài Mỹ - SI-GR'!$B$5:$AZ$84,51,0),IF(OR(D609="HYUNDAI L&amp;C CANADA INC",D609="Hyundai L&amp; C USA LLC"),VLOOKUP(H609,'[2]GIA HS'!A:D,4,0),IF(Y609="Mỹ",VLOOKUP(H609,'[2]giá mỹ từ 6.8.2025'!B:I,2,0),VLOOKUP(H609,'[2]giá ngoài mỹ 6.8.2025 (final)'!B:BP,51,0)))))</f>
        <v>59</v>
      </c>
      <c r="L609" s="106">
        <v>62</v>
      </c>
      <c r="M609" s="106">
        <f t="shared" si="38"/>
        <v>3</v>
      </c>
      <c r="N609" s="106">
        <v>62</v>
      </c>
      <c r="O609" s="107">
        <v>6751.8</v>
      </c>
      <c r="P609" s="107">
        <v>26110</v>
      </c>
      <c r="Q609" s="107">
        <v>176289498</v>
      </c>
      <c r="R609" s="102" t="s">
        <v>30</v>
      </c>
      <c r="S609" s="108"/>
      <c r="T609" s="109"/>
      <c r="U609" s="109"/>
      <c r="V609" s="102"/>
      <c r="W609" s="109"/>
      <c r="X609" s="109"/>
      <c r="Y609" s="110" t="s">
        <v>31</v>
      </c>
      <c r="Z609" s="111" t="str">
        <f>MID(E609,4,2)</f>
        <v>CA</v>
      </c>
    </row>
    <row r="610" spans="1:26" s="111" customFormat="1" x14ac:dyDescent="0.2">
      <c r="A610" s="101">
        <v>46242</v>
      </c>
      <c r="B610" s="91" t="s">
        <v>830</v>
      </c>
      <c r="C610" s="102" t="s">
        <v>831</v>
      </c>
      <c r="D610" s="103" t="s">
        <v>26</v>
      </c>
      <c r="E610" s="91" t="s">
        <v>832</v>
      </c>
      <c r="F610" s="91" t="s">
        <v>77</v>
      </c>
      <c r="G610" s="91" t="s">
        <v>78</v>
      </c>
      <c r="H610" s="104" t="str">
        <f t="shared" si="39"/>
        <v>C5212J30</v>
      </c>
      <c r="I610" s="104"/>
      <c r="J610" s="105">
        <v>38.119999999999997</v>
      </c>
      <c r="K610" s="106">
        <f>IF(D610="CAESARSTONE LTD",VLOOKUP(H610,'[2]GIA CA'!G:H,2,0),IF(OR(D610="STONE FACINGS LIMITED",D610="NORDIA SA",D610="INVICTUS STONE COUNTERTOPS INC",D610="QUARTZTOP LLC"),VLOOKUP(H610,'[2] Giá ngoài Mỹ - SI-GR'!$B$5:$AZ$84,51,0),IF(OR(D610="HYUNDAI L&amp;C CANADA INC",D610="Hyundai L&amp; C USA LLC"),VLOOKUP(H610,'[2]GIA HS'!A:D,4,0),IF(Y610="Mỹ",VLOOKUP(H610,'[2]giá mỹ từ 6.8.2025'!B:I,2,0),VLOOKUP(H610,'[2]giá ngoài mỹ 6.8.2025 (final)'!B:BP,51,0)))))</f>
        <v>73.75</v>
      </c>
      <c r="L610" s="106">
        <v>77</v>
      </c>
      <c r="M610" s="106">
        <f t="shared" si="38"/>
        <v>3.25</v>
      </c>
      <c r="N610" s="106">
        <v>77</v>
      </c>
      <c r="O610" s="107">
        <v>2935.24</v>
      </c>
      <c r="P610" s="107">
        <v>26110</v>
      </c>
      <c r="Q610" s="107">
        <v>76639116</v>
      </c>
      <c r="R610" s="102" t="s">
        <v>30</v>
      </c>
      <c r="S610" s="108"/>
      <c r="T610" s="109"/>
      <c r="U610" s="109"/>
      <c r="V610" s="102"/>
      <c r="W610" s="109"/>
      <c r="X610" s="109"/>
      <c r="Y610" s="110" t="s">
        <v>31</v>
      </c>
      <c r="Z610" s="111" t="str">
        <f>MID(E610,4,2)</f>
        <v>CA</v>
      </c>
    </row>
    <row r="611" spans="1:26" s="111" customFormat="1" x14ac:dyDescent="0.2">
      <c r="A611" s="101">
        <v>46242</v>
      </c>
      <c r="B611" s="91" t="s">
        <v>830</v>
      </c>
      <c r="C611" s="102" t="s">
        <v>831</v>
      </c>
      <c r="D611" s="103" t="s">
        <v>26</v>
      </c>
      <c r="E611" s="91" t="s">
        <v>832</v>
      </c>
      <c r="F611" s="91" t="s">
        <v>451</v>
      </c>
      <c r="G611" s="91" t="s">
        <v>452</v>
      </c>
      <c r="H611" s="104" t="str">
        <f t="shared" si="39"/>
        <v>F5143J20</v>
      </c>
      <c r="I611" s="104"/>
      <c r="J611" s="105">
        <v>21.78</v>
      </c>
      <c r="K611" s="106">
        <f>IF(D611="CAESARSTONE LTD",VLOOKUP(H611,'[2]GIA CA'!G:H,2,0),IF(OR(D611="STONE FACINGS LIMITED",D611="NORDIA SA",D611="INVICTUS STONE COUNTERTOPS INC",D611="QUARTZTOP LLC"),VLOOKUP(H611,'[2] Giá ngoài Mỹ - SI-GR'!$B$5:$AZ$84,51,0),IF(OR(D611="HYUNDAI L&amp;C CANADA INC",D611="Hyundai L&amp; C USA LLC"),VLOOKUP(H611,'[2]GIA HS'!A:D,4,0),IF(Y611="Mỹ",VLOOKUP(H611,'[2]giá mỹ từ 6.8.2025'!B:I,2,0),VLOOKUP(H611,'[2]giá ngoài mỹ 6.8.2025 (final)'!B:BP,51,0)))))</f>
        <v>62</v>
      </c>
      <c r="L611" s="106">
        <v>65</v>
      </c>
      <c r="M611" s="106">
        <f t="shared" si="38"/>
        <v>3</v>
      </c>
      <c r="N611" s="106">
        <v>65</v>
      </c>
      <c r="O611" s="107">
        <v>1415.7</v>
      </c>
      <c r="P611" s="107">
        <v>26110</v>
      </c>
      <c r="Q611" s="107">
        <v>36963927</v>
      </c>
      <c r="R611" s="102" t="s">
        <v>30</v>
      </c>
      <c r="S611" s="108"/>
      <c r="T611" s="109"/>
      <c r="U611" s="109"/>
      <c r="V611" s="102"/>
      <c r="W611" s="109"/>
      <c r="X611" s="109"/>
      <c r="Y611" s="110" t="s">
        <v>31</v>
      </c>
      <c r="Z611" s="111" t="str">
        <f>MID(E611,4,2)</f>
        <v>CA</v>
      </c>
    </row>
    <row r="612" spans="1:26" s="111" customFormat="1" x14ac:dyDescent="0.2">
      <c r="A612" s="101">
        <v>46242</v>
      </c>
      <c r="B612" s="91" t="s">
        <v>830</v>
      </c>
      <c r="C612" s="102" t="s">
        <v>831</v>
      </c>
      <c r="D612" s="103" t="s">
        <v>26</v>
      </c>
      <c r="E612" s="91" t="s">
        <v>832</v>
      </c>
      <c r="F612" s="91" t="s">
        <v>833</v>
      </c>
      <c r="G612" s="91" t="s">
        <v>452</v>
      </c>
      <c r="H612" s="104" t="str">
        <f t="shared" si="39"/>
        <v>F5143J20</v>
      </c>
      <c r="I612" s="104"/>
      <c r="J612" s="105">
        <v>5.45</v>
      </c>
      <c r="K612" s="106">
        <f>IF(D612="CAESARSTONE LTD",VLOOKUP(H612,'[2]GIA CA'!G:H,2,0),IF(OR(D612="STONE FACINGS LIMITED",D612="NORDIA SA",D612="INVICTUS STONE COUNTERTOPS INC",D612="QUARTZTOP LLC"),VLOOKUP(H612,'[2] Giá ngoài Mỹ - SI-GR'!$B$5:$AZ$84,51,0),IF(OR(D612="HYUNDAI L&amp;C CANADA INC",D612="Hyundai L&amp; C USA LLC"),VLOOKUP(H612,'[2]GIA HS'!A:D,4,0),IF(Y612="Mỹ",VLOOKUP(H612,'[2]giá mỹ từ 6.8.2025'!B:I,2,0),VLOOKUP(H612,'[2]giá ngoài mỹ 6.8.2025 (final)'!B:BP,51,0)))))</f>
        <v>62</v>
      </c>
      <c r="L612" s="106">
        <v>65</v>
      </c>
      <c r="M612" s="106">
        <f t="shared" si="38"/>
        <v>3</v>
      </c>
      <c r="N612" s="106">
        <v>65</v>
      </c>
      <c r="O612" s="107">
        <v>354.25</v>
      </c>
      <c r="P612" s="107">
        <v>26110</v>
      </c>
      <c r="Q612" s="107">
        <v>9249468</v>
      </c>
      <c r="R612" s="102" t="s">
        <v>30</v>
      </c>
      <c r="S612" s="108"/>
      <c r="T612" s="109"/>
      <c r="U612" s="109"/>
      <c r="V612" s="102"/>
      <c r="W612" s="109"/>
      <c r="X612" s="109"/>
      <c r="Y612" s="110" t="s">
        <v>31</v>
      </c>
      <c r="Z612" s="111" t="str">
        <f>MID(E612,4,2)</f>
        <v>CA</v>
      </c>
    </row>
    <row r="613" spans="1:26" s="111" customFormat="1" x14ac:dyDescent="0.2">
      <c r="A613" s="101">
        <v>46242</v>
      </c>
      <c r="B613" s="91" t="s">
        <v>830</v>
      </c>
      <c r="C613" s="102" t="s">
        <v>831</v>
      </c>
      <c r="D613" s="103" t="s">
        <v>26</v>
      </c>
      <c r="E613" s="91" t="s">
        <v>832</v>
      </c>
      <c r="F613" s="91" t="s">
        <v>208</v>
      </c>
      <c r="G613" s="91" t="s">
        <v>209</v>
      </c>
      <c r="H613" s="104" t="str">
        <f t="shared" si="39"/>
        <v>F5151J30</v>
      </c>
      <c r="I613" s="104"/>
      <c r="J613" s="105">
        <v>76.23</v>
      </c>
      <c r="K613" s="106">
        <f>IF(D613="CAESARSTONE LTD",VLOOKUP(H613,'[2]GIA CA'!G:H,2,0),IF(OR(D613="STONE FACINGS LIMITED",D613="NORDIA SA",D613="INVICTUS STONE COUNTERTOPS INC",D613="QUARTZTOP LLC"),VLOOKUP(H613,'[2] Giá ngoài Mỹ - SI-GR'!$B$5:$AZ$84,51,0),IF(OR(D613="HYUNDAI L&amp;C CANADA INC",D613="Hyundai L&amp; C USA LLC"),VLOOKUP(H613,'[2]GIA HS'!A:D,4,0),IF(Y613="Mỹ",VLOOKUP(H613,'[2]giá mỹ từ 6.8.2025'!B:I,2,0),VLOOKUP(H613,'[2]giá ngoài mỹ 6.8.2025 (final)'!B:BP,51,0)))))</f>
        <v>85</v>
      </c>
      <c r="L613" s="106">
        <v>97</v>
      </c>
      <c r="M613" s="106">
        <f t="shared" si="38"/>
        <v>12</v>
      </c>
      <c r="N613" s="106">
        <v>97</v>
      </c>
      <c r="O613" s="107">
        <v>7394.31</v>
      </c>
      <c r="P613" s="107">
        <v>26110</v>
      </c>
      <c r="Q613" s="107">
        <v>193065434</v>
      </c>
      <c r="R613" s="102" t="s">
        <v>30</v>
      </c>
      <c r="S613" s="108"/>
      <c r="T613" s="109"/>
      <c r="U613" s="109"/>
      <c r="V613" s="102"/>
      <c r="W613" s="109"/>
      <c r="X613" s="109"/>
      <c r="Y613" s="110" t="s">
        <v>31</v>
      </c>
      <c r="Z613" s="111" t="str">
        <f>MID(E613,4,2)</f>
        <v>CA</v>
      </c>
    </row>
    <row r="614" spans="1:26" s="111" customFormat="1" x14ac:dyDescent="0.2">
      <c r="A614" s="101">
        <v>46242</v>
      </c>
      <c r="B614" s="91" t="s">
        <v>830</v>
      </c>
      <c r="C614" s="102" t="s">
        <v>831</v>
      </c>
      <c r="D614" s="103" t="s">
        <v>26</v>
      </c>
      <c r="E614" s="91" t="s">
        <v>832</v>
      </c>
      <c r="F614" s="91" t="s">
        <v>211</v>
      </c>
      <c r="G614" s="91" t="s">
        <v>212</v>
      </c>
      <c r="H614" s="104" t="str">
        <f t="shared" si="39"/>
        <v>F5444J30</v>
      </c>
      <c r="I614" s="104"/>
      <c r="J614" s="105">
        <v>38.119999999999997</v>
      </c>
      <c r="K614" s="106">
        <f>IF(D614="CAESARSTONE LTD",VLOOKUP(H614,'[2]GIA CA'!G:H,2,0),IF(OR(D614="STONE FACINGS LIMITED",D614="NORDIA SA",D614="INVICTUS STONE COUNTERTOPS INC",D614="QUARTZTOP LLC"),VLOOKUP(H614,'[2] Giá ngoài Mỹ - SI-GR'!$B$5:$AZ$84,51,0),IF(OR(D614="HYUNDAI L&amp;C CANADA INC",D614="Hyundai L&amp; C USA LLC"),VLOOKUP(H614,'[2]GIA HS'!A:D,4,0),IF(Y614="Mỹ",VLOOKUP(H614,'[2]giá mỹ từ 6.8.2025'!B:I,2,0),VLOOKUP(H614,'[2]giá ngoài mỹ 6.8.2025 (final)'!B:BP,51,0)))))</f>
        <v>92.5</v>
      </c>
      <c r="L614" s="106">
        <v>97</v>
      </c>
      <c r="M614" s="106">
        <f t="shared" si="38"/>
        <v>4.5</v>
      </c>
      <c r="N614" s="106">
        <v>97</v>
      </c>
      <c r="O614" s="107">
        <v>3697.64</v>
      </c>
      <c r="P614" s="107">
        <v>26110</v>
      </c>
      <c r="Q614" s="107">
        <v>96545380</v>
      </c>
      <c r="R614" s="102" t="s">
        <v>30</v>
      </c>
      <c r="S614" s="108"/>
      <c r="T614" s="109"/>
      <c r="U614" s="109"/>
      <c r="V614" s="102"/>
      <c r="W614" s="109"/>
      <c r="X614" s="109"/>
      <c r="Y614" s="110" t="s">
        <v>31</v>
      </c>
      <c r="Z614" s="111" t="str">
        <f>MID(E614,4,2)</f>
        <v>CA</v>
      </c>
    </row>
    <row r="615" spans="1:26" s="111" customFormat="1" x14ac:dyDescent="0.2">
      <c r="A615" s="101">
        <v>46242</v>
      </c>
      <c r="B615" s="91" t="s">
        <v>830</v>
      </c>
      <c r="C615" s="102" t="s">
        <v>831</v>
      </c>
      <c r="D615" s="103" t="s">
        <v>26</v>
      </c>
      <c r="E615" s="91" t="s">
        <v>832</v>
      </c>
      <c r="F615" s="91" t="s">
        <v>274</v>
      </c>
      <c r="G615" s="91" t="s">
        <v>273</v>
      </c>
      <c r="H615" s="104" t="str">
        <f t="shared" si="39"/>
        <v>F6313J20</v>
      </c>
      <c r="I615" s="104"/>
      <c r="J615" s="105">
        <v>54.45</v>
      </c>
      <c r="K615" s="106">
        <f>IF(D615="CAESARSTONE LTD",VLOOKUP(H615,'[2]GIA CA'!G:H,2,0),IF(OR(D615="STONE FACINGS LIMITED",D615="NORDIA SA",D615="INVICTUS STONE COUNTERTOPS INC",D615="QUARTZTOP LLC"),VLOOKUP(H615,'[2] Giá ngoài Mỹ - SI-GR'!$B$5:$AZ$84,51,0),IF(OR(D615="HYUNDAI L&amp;C CANADA INC",D615="Hyundai L&amp; C USA LLC"),VLOOKUP(H615,'[2]GIA HS'!A:D,4,0),IF(Y615="Mỹ",VLOOKUP(H615,'[2]giá mỹ từ 6.8.2025'!B:I,2,0),VLOOKUP(H615,'[2]giá ngoài mỹ 6.8.2025 (final)'!B:BP,51,0)))))</f>
        <v>62</v>
      </c>
      <c r="L615" s="106">
        <v>65</v>
      </c>
      <c r="M615" s="106">
        <f t="shared" si="38"/>
        <v>3</v>
      </c>
      <c r="N615" s="106">
        <v>65</v>
      </c>
      <c r="O615" s="107">
        <v>3539.25</v>
      </c>
      <c r="P615" s="107">
        <v>26110</v>
      </c>
      <c r="Q615" s="107">
        <v>92409818</v>
      </c>
      <c r="R615" s="102" t="s">
        <v>30</v>
      </c>
      <c r="S615" s="108"/>
      <c r="T615" s="109"/>
      <c r="U615" s="109"/>
      <c r="V615" s="102"/>
      <c r="W615" s="109"/>
      <c r="X615" s="109"/>
      <c r="Y615" s="110" t="s">
        <v>31</v>
      </c>
      <c r="Z615" s="111" t="str">
        <f>MID(E615,4,2)</f>
        <v>CA</v>
      </c>
    </row>
    <row r="616" spans="1:26" s="111" customFormat="1" x14ac:dyDescent="0.2">
      <c r="A616" s="101">
        <v>46242</v>
      </c>
      <c r="B616" s="91" t="s">
        <v>834</v>
      </c>
      <c r="C616" s="102" t="s">
        <v>835</v>
      </c>
      <c r="D616" s="103" t="s">
        <v>26</v>
      </c>
      <c r="E616" s="91" t="s">
        <v>836</v>
      </c>
      <c r="F616" s="91" t="s">
        <v>837</v>
      </c>
      <c r="G616" s="91" t="s">
        <v>838</v>
      </c>
      <c r="H616" s="104" t="str">
        <f t="shared" si="39"/>
        <v>C4033J20</v>
      </c>
      <c r="I616" s="104"/>
      <c r="J616" s="105">
        <v>1.18</v>
      </c>
      <c r="K616" s="106">
        <f>+L616</f>
        <v>95</v>
      </c>
      <c r="L616" s="106">
        <v>95</v>
      </c>
      <c r="M616" s="106">
        <f t="shared" si="38"/>
        <v>0</v>
      </c>
      <c r="N616" s="106">
        <v>95</v>
      </c>
      <c r="O616" s="107">
        <v>112.1</v>
      </c>
      <c r="P616" s="107">
        <v>26110</v>
      </c>
      <c r="Q616" s="107">
        <v>2926931</v>
      </c>
      <c r="R616" s="102"/>
      <c r="S616" s="108"/>
      <c r="T616" s="109" t="s">
        <v>30</v>
      </c>
      <c r="U616" s="109"/>
      <c r="V616" s="102"/>
      <c r="W616" s="109"/>
      <c r="X616" s="109"/>
      <c r="Y616" s="110" t="s">
        <v>31</v>
      </c>
      <c r="Z616" s="111" t="str">
        <f>MID(E616,4,2)</f>
        <v>CA</v>
      </c>
    </row>
    <row r="617" spans="1:26" s="111" customFormat="1" x14ac:dyDescent="0.2">
      <c r="A617" s="101">
        <v>46242</v>
      </c>
      <c r="B617" s="91" t="s">
        <v>834</v>
      </c>
      <c r="C617" s="102" t="s">
        <v>835</v>
      </c>
      <c r="D617" s="103" t="s">
        <v>26</v>
      </c>
      <c r="E617" s="91" t="s">
        <v>836</v>
      </c>
      <c r="F617" s="91" t="s">
        <v>839</v>
      </c>
      <c r="G617" s="91" t="s">
        <v>840</v>
      </c>
      <c r="H617" s="104" t="str">
        <f t="shared" si="39"/>
        <v>C4270J20</v>
      </c>
      <c r="I617" s="104"/>
      <c r="J617" s="105">
        <v>4.46</v>
      </c>
      <c r="K617" s="106">
        <f>IF(D617="CAESARSTONE LTD",VLOOKUP(H617,'[2]GIA CA'!G:H,2,0),IF(OR(D617="STONE FACINGS LIMITED",D617="NORDIA SA",D617="INVICTUS STONE COUNTERTOPS INC",D617="QUARTZTOP LLC"),VLOOKUP(H617,'[2] Giá ngoài Mỹ - SI-GR'!$B$5:$AZ$84,51,0),IF(OR(D617="HYUNDAI L&amp;C CANADA INC",D617="Hyundai L&amp; C USA LLC"),VLOOKUP(H617,'[2]GIA HS'!A:D,4,0),IF(Y617="Mỹ",VLOOKUP(H617,'[2]giá mỹ từ 6.8.2025'!B:I,2,0),VLOOKUP(H617,'[2]giá ngoài mỹ 6.8.2025 (final)'!B:BP,51,0)))))</f>
        <v>70.3</v>
      </c>
      <c r="L617" s="106">
        <v>96</v>
      </c>
      <c r="M617" s="106">
        <f t="shared" si="38"/>
        <v>25.700000000000003</v>
      </c>
      <c r="N617" s="106">
        <v>96</v>
      </c>
      <c r="O617" s="107">
        <v>428.16</v>
      </c>
      <c r="P617" s="107">
        <v>26110</v>
      </c>
      <c r="Q617" s="107">
        <v>11179258</v>
      </c>
      <c r="R617" s="102"/>
      <c r="S617" s="108"/>
      <c r="T617" s="109" t="s">
        <v>30</v>
      </c>
      <c r="U617" s="109"/>
      <c r="V617" s="102"/>
      <c r="W617" s="109"/>
      <c r="X617" s="109"/>
      <c r="Y617" s="110" t="s">
        <v>31</v>
      </c>
      <c r="Z617" s="111" t="str">
        <f>MID(E617,4,2)</f>
        <v>CA</v>
      </c>
    </row>
    <row r="618" spans="1:26" s="111" customFormat="1" x14ac:dyDescent="0.2">
      <c r="A618" s="101">
        <v>46242</v>
      </c>
      <c r="B618" s="91" t="s">
        <v>834</v>
      </c>
      <c r="C618" s="102" t="s">
        <v>835</v>
      </c>
      <c r="D618" s="103" t="s">
        <v>26</v>
      </c>
      <c r="E618" s="91" t="s">
        <v>836</v>
      </c>
      <c r="F618" s="91" t="s">
        <v>474</v>
      </c>
      <c r="G618" s="91" t="s">
        <v>475</v>
      </c>
      <c r="H618" s="104" t="str">
        <f t="shared" si="39"/>
        <v>C5100J20</v>
      </c>
      <c r="I618" s="104"/>
      <c r="J618" s="105">
        <v>4.46</v>
      </c>
      <c r="K618" s="106">
        <f>IF(D618="CAESARSTONE LTD",VLOOKUP(H618,'[2]GIA CA'!G:H,2,0),IF(OR(D618="STONE FACINGS LIMITED",D618="NORDIA SA",D618="INVICTUS STONE COUNTERTOPS INC",D618="QUARTZTOP LLC"),VLOOKUP(H618,'[2] Giá ngoài Mỹ - SI-GR'!$B$5:$AZ$84,51,0),IF(OR(D618="HYUNDAI L&amp;C CANADA INC",D618="Hyundai L&amp; C USA LLC"),VLOOKUP(H618,'[2]GIA HS'!A:D,4,0),IF(Y618="Mỹ",VLOOKUP(H618,'[2]giá mỹ từ 6.8.2025'!B:I,2,0),VLOOKUP(H618,'[2]giá ngoài mỹ 6.8.2025 (final)'!B:BP,51,0)))))</f>
        <v>59</v>
      </c>
      <c r="L618" s="106">
        <v>96</v>
      </c>
      <c r="M618" s="106">
        <f t="shared" si="38"/>
        <v>37</v>
      </c>
      <c r="N618" s="106">
        <v>96</v>
      </c>
      <c r="O618" s="107">
        <v>428.16</v>
      </c>
      <c r="P618" s="107">
        <v>26110</v>
      </c>
      <c r="Q618" s="107">
        <v>11179258</v>
      </c>
      <c r="R618" s="102"/>
      <c r="S618" s="108"/>
      <c r="T618" s="109" t="s">
        <v>30</v>
      </c>
      <c r="U618" s="109"/>
      <c r="V618" s="102"/>
      <c r="W618" s="109"/>
      <c r="X618" s="109"/>
      <c r="Y618" s="110" t="s">
        <v>31</v>
      </c>
      <c r="Z618" s="111" t="str">
        <f>MID(E618,4,2)</f>
        <v>CA</v>
      </c>
    </row>
    <row r="619" spans="1:26" s="111" customFormat="1" x14ac:dyDescent="0.2">
      <c r="A619" s="101">
        <v>46242</v>
      </c>
      <c r="B619" s="91" t="s">
        <v>834</v>
      </c>
      <c r="C619" s="102" t="s">
        <v>835</v>
      </c>
      <c r="D619" s="103" t="s">
        <v>26</v>
      </c>
      <c r="E619" s="91" t="s">
        <v>836</v>
      </c>
      <c r="F619" s="91" t="s">
        <v>841</v>
      </c>
      <c r="G619" s="91" t="s">
        <v>842</v>
      </c>
      <c r="H619" s="104" t="str">
        <f t="shared" si="39"/>
        <v>C5116J20</v>
      </c>
      <c r="I619" s="104"/>
      <c r="J619" s="105">
        <v>4.46</v>
      </c>
      <c r="K619" s="106">
        <f>IF(D619="CAESARSTONE LTD",VLOOKUP(H619,'[2]GIA CA'!G:H,2,0),IF(OR(D619="STONE FACINGS LIMITED",D619="NORDIA SA",D619="INVICTUS STONE COUNTERTOPS INC",D619="QUARTZTOP LLC"),VLOOKUP(H619,'[2] Giá ngoài Mỹ - SI-GR'!$B$5:$AZ$84,51,0),IF(OR(D619="HYUNDAI L&amp;C CANADA INC",D619="Hyundai L&amp; C USA LLC"),VLOOKUP(H619,'[2]GIA HS'!A:D,4,0),IF(Y619="Mỹ",VLOOKUP(H619,'[2]giá mỹ từ 6.8.2025'!B:I,2,0),VLOOKUP(H619,'[2]giá ngoài mỹ 6.8.2025 (final)'!B:BP,51,0)))))</f>
        <v>65</v>
      </c>
      <c r="L619" s="106">
        <v>131</v>
      </c>
      <c r="M619" s="106">
        <f t="shared" si="38"/>
        <v>66</v>
      </c>
      <c r="N619" s="106">
        <v>131</v>
      </c>
      <c r="O619" s="107">
        <v>584.26</v>
      </c>
      <c r="P619" s="107">
        <v>26110</v>
      </c>
      <c r="Q619" s="107">
        <v>15255029</v>
      </c>
      <c r="R619" s="102"/>
      <c r="S619" s="108"/>
      <c r="T619" s="109" t="s">
        <v>30</v>
      </c>
      <c r="U619" s="109"/>
      <c r="V619" s="102"/>
      <c r="W619" s="109"/>
      <c r="X619" s="109"/>
      <c r="Y619" s="110" t="s">
        <v>31</v>
      </c>
      <c r="Z619" s="111" t="str">
        <f>MID(E619,4,2)</f>
        <v>CA</v>
      </c>
    </row>
    <row r="620" spans="1:26" s="111" customFormat="1" x14ac:dyDescent="0.2">
      <c r="A620" s="101">
        <v>46242</v>
      </c>
      <c r="B620" s="91" t="s">
        <v>834</v>
      </c>
      <c r="C620" s="102" t="s">
        <v>835</v>
      </c>
      <c r="D620" s="103" t="s">
        <v>26</v>
      </c>
      <c r="E620" s="91" t="s">
        <v>836</v>
      </c>
      <c r="F620" s="91" t="s">
        <v>843</v>
      </c>
      <c r="G620" s="91" t="s">
        <v>844</v>
      </c>
      <c r="H620" s="104" t="str">
        <f t="shared" si="39"/>
        <v>C6046J20</v>
      </c>
      <c r="I620" s="104"/>
      <c r="J620" s="105">
        <v>3.68</v>
      </c>
      <c r="K620" s="106">
        <f>IF(D620="CAESARSTONE LTD",VLOOKUP(H620,'[2]GIA CA'!G:H,2,0),IF(OR(D620="STONE FACINGS LIMITED",D620="NORDIA SA",D620="INVICTUS STONE COUNTERTOPS INC",D620="QUARTZTOP LLC"),VLOOKUP(H620,'[2] Giá ngoài Mỹ - SI-GR'!$B$5:$AZ$84,51,0),IF(OR(D620="HYUNDAI L&amp;C CANADA INC",D620="Hyundai L&amp; C USA LLC"),VLOOKUP(H620,'[2]GIA HS'!A:D,4,0),IF(Y620="Mỹ",VLOOKUP(H620,'[2]giá mỹ từ 6.8.2025'!B:I,2,0),VLOOKUP(H620,'[2]giá ngoài mỹ 6.8.2025 (final)'!B:BP,51,0)))))</f>
        <v>59</v>
      </c>
      <c r="L620" s="106">
        <v>95</v>
      </c>
      <c r="M620" s="106">
        <f t="shared" si="38"/>
        <v>36</v>
      </c>
      <c r="N620" s="106">
        <v>95</v>
      </c>
      <c r="O620" s="107">
        <v>349.6</v>
      </c>
      <c r="P620" s="107">
        <v>26110</v>
      </c>
      <c r="Q620" s="107">
        <v>9128056</v>
      </c>
      <c r="R620" s="102"/>
      <c r="S620" s="108"/>
      <c r="T620" s="109" t="s">
        <v>30</v>
      </c>
      <c r="U620" s="109"/>
      <c r="V620" s="102"/>
      <c r="W620" s="109"/>
      <c r="X620" s="109"/>
      <c r="Y620" s="110" t="s">
        <v>31</v>
      </c>
      <c r="Z620" s="111" t="str">
        <f>MID(E620,4,2)</f>
        <v>CA</v>
      </c>
    </row>
    <row r="621" spans="1:26" s="111" customFormat="1" x14ac:dyDescent="0.2">
      <c r="A621" s="101">
        <v>46242</v>
      </c>
      <c r="B621" s="91" t="s">
        <v>834</v>
      </c>
      <c r="C621" s="102" t="s">
        <v>835</v>
      </c>
      <c r="D621" s="103" t="s">
        <v>26</v>
      </c>
      <c r="E621" s="91" t="s">
        <v>836</v>
      </c>
      <c r="F621" s="91" t="s">
        <v>845</v>
      </c>
      <c r="G621" s="91" t="s">
        <v>846</v>
      </c>
      <c r="H621" s="104" t="str">
        <f t="shared" si="39"/>
        <v>C6611J20</v>
      </c>
      <c r="I621" s="104"/>
      <c r="J621" s="105">
        <v>4.46</v>
      </c>
      <c r="K621" s="106">
        <f>IF(D621="CAESARSTONE LTD",VLOOKUP(H621,'[2]GIA CA'!G:H,2,0),IF(OR(D621="STONE FACINGS LIMITED",D621="NORDIA SA",D621="INVICTUS STONE COUNTERTOPS INC",D621="QUARTZTOP LLC"),VLOOKUP(H621,'[2] Giá ngoài Mỹ - SI-GR'!$B$5:$AZ$84,51,0),IF(OR(D621="HYUNDAI L&amp;C CANADA INC",D621="Hyundai L&amp; C USA LLC"),VLOOKUP(H621,'[2]GIA HS'!A:D,4,0),IF(Y621="Mỹ",VLOOKUP(H621,'[2]giá mỹ từ 6.8.2025'!B:I,2,0),VLOOKUP(H621,'[2]giá ngoài mỹ 6.8.2025 (final)'!B:BP,51,0)))))</f>
        <v>59</v>
      </c>
      <c r="L621" s="106">
        <v>96</v>
      </c>
      <c r="M621" s="106">
        <f t="shared" si="38"/>
        <v>37</v>
      </c>
      <c r="N621" s="106">
        <v>96</v>
      </c>
      <c r="O621" s="107">
        <v>428.16</v>
      </c>
      <c r="P621" s="107">
        <v>26110</v>
      </c>
      <c r="Q621" s="107">
        <v>11179258</v>
      </c>
      <c r="R621" s="102"/>
      <c r="S621" s="108"/>
      <c r="T621" s="109" t="s">
        <v>30</v>
      </c>
      <c r="U621" s="109"/>
      <c r="V621" s="102"/>
      <c r="W621" s="109"/>
      <c r="X621" s="109"/>
      <c r="Y621" s="110" t="s">
        <v>31</v>
      </c>
      <c r="Z621" s="111" t="str">
        <f>MID(E621,4,2)</f>
        <v>CA</v>
      </c>
    </row>
    <row r="622" spans="1:26" s="111" customFormat="1" x14ac:dyDescent="0.2">
      <c r="A622" s="101">
        <v>46242</v>
      </c>
      <c r="B622" s="91" t="s">
        <v>834</v>
      </c>
      <c r="C622" s="102" t="s">
        <v>835</v>
      </c>
      <c r="D622" s="103" t="s">
        <v>26</v>
      </c>
      <c r="E622" s="91" t="s">
        <v>836</v>
      </c>
      <c r="F622" s="91" t="s">
        <v>847</v>
      </c>
      <c r="G622" s="91" t="s">
        <v>848</v>
      </c>
      <c r="H622" s="104" t="str">
        <f t="shared" si="39"/>
        <v>F5444J20</v>
      </c>
      <c r="I622" s="104"/>
      <c r="J622" s="105">
        <v>12.74</v>
      </c>
      <c r="K622" s="106">
        <f>IF(D622="CAESARSTONE LTD",VLOOKUP(H622,'[2]GIA CA'!G:H,2,0),IF(OR(D622="STONE FACINGS LIMITED",D622="NORDIA SA",D622="INVICTUS STONE COUNTERTOPS INC",D622="QUARTZTOP LLC"),VLOOKUP(H622,'[2] Giá ngoài Mỹ - SI-GR'!$B$5:$AZ$84,51,0),IF(OR(D622="HYUNDAI L&amp;C CANADA INC",D622="Hyundai L&amp; C USA LLC"),VLOOKUP(H622,'[2]GIA HS'!A:D,4,0),IF(Y622="Mỹ",VLOOKUP(H622,'[2]giá mỹ từ 6.8.2025'!B:I,2,0),VLOOKUP(H622,'[2]giá ngoài mỹ 6.8.2025 (final)'!B:BP,51,0)))))</f>
        <v>74</v>
      </c>
      <c r="L622" s="106">
        <v>142</v>
      </c>
      <c r="M622" s="106">
        <f t="shared" si="38"/>
        <v>68</v>
      </c>
      <c r="N622" s="106">
        <v>142</v>
      </c>
      <c r="O622" s="107">
        <v>1809.08</v>
      </c>
      <c r="P622" s="107">
        <v>26110</v>
      </c>
      <c r="Q622" s="107">
        <v>47235079</v>
      </c>
      <c r="R622" s="102"/>
      <c r="S622" s="108"/>
      <c r="T622" s="109" t="s">
        <v>30</v>
      </c>
      <c r="U622" s="109"/>
      <c r="V622" s="102"/>
      <c r="W622" s="109"/>
      <c r="X622" s="109"/>
      <c r="Y622" s="110" t="s">
        <v>31</v>
      </c>
      <c r="Z622" s="111" t="str">
        <f>MID(E622,4,2)</f>
        <v>CA</v>
      </c>
    </row>
    <row r="623" spans="1:26" s="111" customFormat="1" x14ac:dyDescent="0.2">
      <c r="A623" s="101">
        <v>46242</v>
      </c>
      <c r="B623" s="91" t="s">
        <v>834</v>
      </c>
      <c r="C623" s="102" t="s">
        <v>835</v>
      </c>
      <c r="D623" s="103" t="s">
        <v>26</v>
      </c>
      <c r="E623" s="91" t="s">
        <v>836</v>
      </c>
      <c r="F623" s="91" t="s">
        <v>849</v>
      </c>
      <c r="G623" s="91" t="s">
        <v>850</v>
      </c>
      <c r="H623" s="104" t="str">
        <f t="shared" si="39"/>
        <v>C5212J20</v>
      </c>
      <c r="I623" s="104"/>
      <c r="J623" s="105">
        <v>3.68</v>
      </c>
      <c r="K623" s="106">
        <f>IF(D623="CAESARSTONE LTD",VLOOKUP(H623,'[2]GIA CA'!G:H,2,0),IF(OR(D623="STONE FACINGS LIMITED",D623="NORDIA SA",D623="INVICTUS STONE COUNTERTOPS INC",D623="QUARTZTOP LLC"),VLOOKUP(H623,'[2] Giá ngoài Mỹ - SI-GR'!$B$5:$AZ$84,51,0),IF(OR(D623="HYUNDAI L&amp;C CANADA INC",D623="Hyundai L&amp; C USA LLC"),VLOOKUP(H623,'[2]GIA HS'!A:D,4,0),IF(Y623="Mỹ",VLOOKUP(H623,'[2]giá mỹ từ 6.8.2025'!B:I,2,0),VLOOKUP(H623,'[2]giá ngoài mỹ 6.8.2025 (final)'!B:BP,51,0)))))</f>
        <v>59</v>
      </c>
      <c r="L623" s="106">
        <v>95</v>
      </c>
      <c r="M623" s="106">
        <f t="shared" si="38"/>
        <v>36</v>
      </c>
      <c r="N623" s="106">
        <v>95</v>
      </c>
      <c r="O623" s="107">
        <v>349.6</v>
      </c>
      <c r="P623" s="107">
        <v>26110</v>
      </c>
      <c r="Q623" s="107">
        <v>9128056</v>
      </c>
      <c r="R623" s="102"/>
      <c r="S623" s="108"/>
      <c r="T623" s="109" t="s">
        <v>30</v>
      </c>
      <c r="U623" s="109"/>
      <c r="V623" s="102"/>
      <c r="W623" s="109"/>
      <c r="X623" s="109"/>
      <c r="Y623" s="110" t="s">
        <v>31</v>
      </c>
      <c r="Z623" s="111" t="str">
        <f>MID(E623,4,2)</f>
        <v>CA</v>
      </c>
    </row>
    <row r="624" spans="1:26" s="111" customFormat="1" x14ac:dyDescent="0.2">
      <c r="A624" s="101">
        <v>46242</v>
      </c>
      <c r="B624" s="91" t="s">
        <v>834</v>
      </c>
      <c r="C624" s="102" t="s">
        <v>835</v>
      </c>
      <c r="D624" s="103" t="s">
        <v>26</v>
      </c>
      <c r="E624" s="91" t="s">
        <v>836</v>
      </c>
      <c r="F624" s="91" t="s">
        <v>251</v>
      </c>
      <c r="G624" s="91" t="s">
        <v>252</v>
      </c>
      <c r="H624" s="104" t="str">
        <f t="shared" si="39"/>
        <v>F5105J20</v>
      </c>
      <c r="I624" s="104"/>
      <c r="J624" s="105">
        <v>4.46</v>
      </c>
      <c r="K624" s="106">
        <f>IF(D624="CAESARSTONE LTD",VLOOKUP(H624,'[2]GIA CA'!G:H,2,0),IF(OR(D624="STONE FACINGS LIMITED",D624="NORDIA SA",D624="INVICTUS STONE COUNTERTOPS INC",D624="QUARTZTOP LLC"),VLOOKUP(H624,'[2] Giá ngoài Mỹ - SI-GR'!$B$5:$AZ$84,51,0),IF(OR(D624="HYUNDAI L&amp;C CANADA INC",D624="Hyundai L&amp; C USA LLC"),VLOOKUP(H624,'[2]GIA HS'!A:D,4,0),IF(Y624="Mỹ",VLOOKUP(H624,'[2]giá mỹ từ 6.8.2025'!B:I,2,0),VLOOKUP(H624,'[2]giá ngoài mỹ 6.8.2025 (final)'!B:BP,51,0)))))</f>
        <v>68</v>
      </c>
      <c r="L624" s="106">
        <v>131</v>
      </c>
      <c r="M624" s="106">
        <f t="shared" si="38"/>
        <v>63</v>
      </c>
      <c r="N624" s="106">
        <v>131</v>
      </c>
      <c r="O624" s="107">
        <v>584.26</v>
      </c>
      <c r="P624" s="107">
        <v>26110</v>
      </c>
      <c r="Q624" s="107">
        <v>15255029</v>
      </c>
      <c r="R624" s="102"/>
      <c r="S624" s="108"/>
      <c r="T624" s="109" t="s">
        <v>30</v>
      </c>
      <c r="U624" s="109"/>
      <c r="V624" s="102"/>
      <c r="W624" s="109"/>
      <c r="X624" s="109"/>
      <c r="Y624" s="110" t="s">
        <v>31</v>
      </c>
      <c r="Z624" s="111" t="str">
        <f>MID(E624,4,2)</f>
        <v>CA</v>
      </c>
    </row>
    <row r="625" spans="1:26" s="111" customFormat="1" x14ac:dyDescent="0.2">
      <c r="A625" s="101">
        <v>46242</v>
      </c>
      <c r="B625" s="91" t="s">
        <v>834</v>
      </c>
      <c r="C625" s="102" t="s">
        <v>835</v>
      </c>
      <c r="D625" s="103" t="s">
        <v>26</v>
      </c>
      <c r="E625" s="91" t="s">
        <v>836</v>
      </c>
      <c r="F625" s="91" t="s">
        <v>205</v>
      </c>
      <c r="G625" s="91" t="s">
        <v>206</v>
      </c>
      <c r="H625" s="104" t="str">
        <f t="shared" si="39"/>
        <v>F5141J20</v>
      </c>
      <c r="I625" s="104"/>
      <c r="J625" s="105">
        <v>119.79</v>
      </c>
      <c r="K625" s="106">
        <f>IF(D625="CAESARSTONE LTD",VLOOKUP(H625,'[2]GIA CA'!G:H,2,0),IF(OR(D625="STONE FACINGS LIMITED",D625="NORDIA SA",D625="INVICTUS STONE COUNTERTOPS INC",D625="QUARTZTOP LLC"),VLOOKUP(H625,'[2] Giá ngoài Mỹ - SI-GR'!$B$5:$AZ$84,51,0),IF(OR(D625="HYUNDAI L&amp;C CANADA INC",D625="Hyundai L&amp; C USA LLC"),VLOOKUP(H625,'[2]GIA HS'!A:D,4,0),IF(Y625="Mỹ",VLOOKUP(H625,'[2]giá mỹ từ 6.8.2025'!B:I,2,0),VLOOKUP(H625,'[2]giá ngoài mỹ 6.8.2025 (final)'!B:BP,51,0)))))</f>
        <v>58</v>
      </c>
      <c r="L625" s="106">
        <v>60.91</v>
      </c>
      <c r="M625" s="106">
        <f t="shared" si="38"/>
        <v>2.9099999999999966</v>
      </c>
      <c r="N625" s="106">
        <v>60.91</v>
      </c>
      <c r="O625" s="107">
        <v>7296.58</v>
      </c>
      <c r="P625" s="107">
        <v>26110</v>
      </c>
      <c r="Q625" s="107">
        <v>190513704</v>
      </c>
      <c r="R625" s="102" t="s">
        <v>30</v>
      </c>
      <c r="S625" s="108"/>
      <c r="T625" s="109"/>
      <c r="U625" s="109"/>
      <c r="V625" s="102"/>
      <c r="W625" s="109"/>
      <c r="X625" s="109"/>
      <c r="Y625" s="110" t="s">
        <v>31</v>
      </c>
      <c r="Z625" s="111" t="str">
        <f>MID(E625,4,2)</f>
        <v>CA</v>
      </c>
    </row>
    <row r="626" spans="1:26" s="111" customFormat="1" x14ac:dyDescent="0.2">
      <c r="A626" s="101">
        <v>46242</v>
      </c>
      <c r="B626" s="91" t="s">
        <v>834</v>
      </c>
      <c r="C626" s="102" t="s">
        <v>835</v>
      </c>
      <c r="D626" s="103" t="s">
        <v>26</v>
      </c>
      <c r="E626" s="91" t="s">
        <v>836</v>
      </c>
      <c r="F626" s="91" t="s">
        <v>207</v>
      </c>
      <c r="G626" s="91" t="s">
        <v>206</v>
      </c>
      <c r="H626" s="104" t="str">
        <f t="shared" si="39"/>
        <v>F5141J20</v>
      </c>
      <c r="I626" s="104"/>
      <c r="J626" s="105">
        <v>87.12</v>
      </c>
      <c r="K626" s="106">
        <f>IF(D626="CAESARSTONE LTD",VLOOKUP(H626,'[2]GIA CA'!G:H,2,0),IF(OR(D626="STONE FACINGS LIMITED",D626="NORDIA SA",D626="INVICTUS STONE COUNTERTOPS INC",D626="QUARTZTOP LLC"),VLOOKUP(H626,'[2] Giá ngoài Mỹ - SI-GR'!$B$5:$AZ$84,51,0),IF(OR(D626="HYUNDAI L&amp;C CANADA INC",D626="Hyundai L&amp; C USA LLC"),VLOOKUP(H626,'[2]GIA HS'!A:D,4,0),IF(Y626="Mỹ",VLOOKUP(H626,'[2]giá mỹ từ 6.8.2025'!B:I,2,0),VLOOKUP(H626,'[2]giá ngoài mỹ 6.8.2025 (final)'!B:BP,51,0)))))</f>
        <v>58</v>
      </c>
      <c r="L626" s="106">
        <v>60.91</v>
      </c>
      <c r="M626" s="106">
        <f t="shared" si="38"/>
        <v>2.9099999999999966</v>
      </c>
      <c r="N626" s="106">
        <v>60.91</v>
      </c>
      <c r="O626" s="107">
        <v>5306.61</v>
      </c>
      <c r="P626" s="107">
        <v>26110</v>
      </c>
      <c r="Q626" s="107">
        <v>138555587</v>
      </c>
      <c r="R626" s="102" t="s">
        <v>30</v>
      </c>
      <c r="S626" s="108"/>
      <c r="T626" s="109"/>
      <c r="U626" s="109"/>
      <c r="V626" s="102"/>
      <c r="W626" s="109"/>
      <c r="X626" s="109"/>
      <c r="Y626" s="110" t="s">
        <v>31</v>
      </c>
      <c r="Z626" s="111" t="str">
        <f>MID(E626,4,2)</f>
        <v>CA</v>
      </c>
    </row>
    <row r="627" spans="1:26" s="111" customFormat="1" x14ac:dyDescent="0.2">
      <c r="A627" s="101">
        <v>46242</v>
      </c>
      <c r="B627" s="91" t="s">
        <v>834</v>
      </c>
      <c r="C627" s="102" t="s">
        <v>835</v>
      </c>
      <c r="D627" s="103" t="s">
        <v>26</v>
      </c>
      <c r="E627" s="91" t="s">
        <v>836</v>
      </c>
      <c r="F627" s="91" t="s">
        <v>38</v>
      </c>
      <c r="G627" s="91" t="s">
        <v>39</v>
      </c>
      <c r="H627" s="104" t="str">
        <f t="shared" si="39"/>
        <v>F5143J30</v>
      </c>
      <c r="I627" s="104"/>
      <c r="J627" s="105">
        <v>114.35</v>
      </c>
      <c r="K627" s="106">
        <f>IF(D627="CAESARSTONE LTD",VLOOKUP(H627,'[2]GIA CA'!G:H,2,0),IF(OR(D627="STONE FACINGS LIMITED",D627="NORDIA SA",D627="INVICTUS STONE COUNTERTOPS INC",D627="QUARTZTOP LLC"),VLOOKUP(H627,'[2] Giá ngoài Mỹ - SI-GR'!$B$5:$AZ$84,51,0),IF(OR(D627="HYUNDAI L&amp;C CANADA INC",D627="Hyundai L&amp; C USA LLC"),VLOOKUP(H627,'[2]GIA HS'!A:D,4,0),IF(Y627="Mỹ",VLOOKUP(H627,'[2]giá mỹ từ 6.8.2025'!B:I,2,0),VLOOKUP(H627,'[2]giá ngoài mỹ 6.8.2025 (final)'!B:BP,51,0)))))</f>
        <v>77.5</v>
      </c>
      <c r="L627" s="106">
        <v>81</v>
      </c>
      <c r="M627" s="106">
        <f t="shared" si="38"/>
        <v>3.5</v>
      </c>
      <c r="N627" s="106">
        <v>81</v>
      </c>
      <c r="O627" s="107">
        <v>9262.35</v>
      </c>
      <c r="P627" s="107">
        <v>26110</v>
      </c>
      <c r="Q627" s="107">
        <v>241839959</v>
      </c>
      <c r="R627" s="102" t="s">
        <v>30</v>
      </c>
      <c r="S627" s="108"/>
      <c r="T627" s="109"/>
      <c r="U627" s="109"/>
      <c r="V627" s="102"/>
      <c r="W627" s="109"/>
      <c r="X627" s="109"/>
      <c r="Y627" s="110" t="s">
        <v>31</v>
      </c>
      <c r="Z627" s="111" t="str">
        <f>MID(E627,4,2)</f>
        <v>CA</v>
      </c>
    </row>
    <row r="628" spans="1:26" s="111" customFormat="1" x14ac:dyDescent="0.2">
      <c r="A628" s="101">
        <v>46242</v>
      </c>
      <c r="B628" s="91" t="s">
        <v>834</v>
      </c>
      <c r="C628" s="102" t="s">
        <v>835</v>
      </c>
      <c r="D628" s="103" t="s">
        <v>26</v>
      </c>
      <c r="E628" s="91" t="s">
        <v>836</v>
      </c>
      <c r="F628" s="91" t="s">
        <v>453</v>
      </c>
      <c r="G628" s="91" t="s">
        <v>454</v>
      </c>
      <c r="H628" s="104" t="str">
        <f t="shared" si="39"/>
        <v>F5151J20</v>
      </c>
      <c r="I628" s="104"/>
      <c r="J628" s="105">
        <v>81.67</v>
      </c>
      <c r="K628" s="106">
        <f>IF(D628="CAESARSTONE LTD",VLOOKUP(H628,'[2]GIA CA'!G:H,2,0),IF(OR(D628="STONE FACINGS LIMITED",D628="NORDIA SA",D628="INVICTUS STONE COUNTERTOPS INC",D628="QUARTZTOP LLC"),VLOOKUP(H628,'[2] Giá ngoài Mỹ - SI-GR'!$B$5:$AZ$84,51,0),IF(OR(D628="HYUNDAI L&amp;C CANADA INC",D628="Hyundai L&amp; C USA LLC"),VLOOKUP(H628,'[2]GIA HS'!A:D,4,0),IF(Y628="Mỹ",VLOOKUP(H628,'[2]giá mỹ từ 6.8.2025'!B:I,2,0),VLOOKUP(H628,'[2]giá ngoài mỹ 6.8.2025 (final)'!B:BP,51,0)))))</f>
        <v>68</v>
      </c>
      <c r="L628" s="106">
        <v>78</v>
      </c>
      <c r="M628" s="106">
        <f t="shared" si="38"/>
        <v>10</v>
      </c>
      <c r="N628" s="106">
        <v>78</v>
      </c>
      <c r="O628" s="106">
        <v>6370.26</v>
      </c>
      <c r="P628" s="107">
        <v>26110</v>
      </c>
      <c r="Q628" s="107">
        <v>166327489</v>
      </c>
      <c r="R628" s="102" t="s">
        <v>30</v>
      </c>
      <c r="S628" s="108"/>
      <c r="T628" s="109"/>
      <c r="U628" s="109"/>
      <c r="V628" s="102"/>
      <c r="W628" s="109"/>
      <c r="X628" s="109"/>
      <c r="Y628" s="110" t="s">
        <v>31</v>
      </c>
      <c r="Z628" s="111" t="str">
        <f>MID(E628,4,2)</f>
        <v>CA</v>
      </c>
    </row>
    <row r="629" spans="1:26" s="111" customFormat="1" x14ac:dyDescent="0.2">
      <c r="A629" s="101">
        <v>46242</v>
      </c>
      <c r="B629" s="91" t="s">
        <v>834</v>
      </c>
      <c r="C629" s="102" t="s">
        <v>835</v>
      </c>
      <c r="D629" s="103" t="s">
        <v>26</v>
      </c>
      <c r="E629" s="91" t="s">
        <v>836</v>
      </c>
      <c r="F629" s="91" t="s">
        <v>851</v>
      </c>
      <c r="G629" s="91" t="s">
        <v>454</v>
      </c>
      <c r="H629" s="104" t="str">
        <f t="shared" si="39"/>
        <v>F5151J20</v>
      </c>
      <c r="I629" s="104"/>
      <c r="J629" s="105">
        <v>27.23</v>
      </c>
      <c r="K629" s="106">
        <f>IF(D629="CAESARSTONE LTD",VLOOKUP(H629,'[2]GIA CA'!G:H,2,0),IF(OR(D629="STONE FACINGS LIMITED",D629="NORDIA SA",D629="INVICTUS STONE COUNTERTOPS INC",D629="QUARTZTOP LLC"),VLOOKUP(H629,'[2] Giá ngoài Mỹ - SI-GR'!$B$5:$AZ$84,51,0),IF(OR(D629="HYUNDAI L&amp;C CANADA INC",D629="Hyundai L&amp; C USA LLC"),VLOOKUP(H629,'[2]GIA HS'!A:D,4,0),IF(Y629="Mỹ",VLOOKUP(H629,'[2]giá mỹ từ 6.8.2025'!B:I,2,0),VLOOKUP(H629,'[2]giá ngoài mỹ 6.8.2025 (final)'!B:BP,51,0)))))</f>
        <v>68</v>
      </c>
      <c r="L629" s="106">
        <v>78</v>
      </c>
      <c r="M629" s="106">
        <f t="shared" si="38"/>
        <v>10</v>
      </c>
      <c r="N629" s="106">
        <v>78</v>
      </c>
      <c r="O629" s="106">
        <v>2123.94</v>
      </c>
      <c r="P629" s="107">
        <v>26110</v>
      </c>
      <c r="Q629" s="107">
        <v>55456073</v>
      </c>
      <c r="R629" s="102" t="s">
        <v>30</v>
      </c>
      <c r="S629" s="108"/>
      <c r="T629" s="109"/>
      <c r="U629" s="109"/>
      <c r="V629" s="102"/>
      <c r="W629" s="109"/>
      <c r="X629" s="109"/>
      <c r="Y629" s="110" t="s">
        <v>31</v>
      </c>
      <c r="Z629" s="111" t="str">
        <f>MID(E629,4,2)</f>
        <v>CA</v>
      </c>
    </row>
    <row r="630" spans="1:26" s="111" customFormat="1" x14ac:dyDescent="0.2">
      <c r="A630" s="101">
        <v>46242</v>
      </c>
      <c r="B630" s="91" t="s">
        <v>852</v>
      </c>
      <c r="C630" s="102" t="s">
        <v>853</v>
      </c>
      <c r="D630" s="103" t="s">
        <v>26</v>
      </c>
      <c r="E630" s="91" t="s">
        <v>854</v>
      </c>
      <c r="F630" s="91" t="s">
        <v>855</v>
      </c>
      <c r="G630" s="91" t="s">
        <v>856</v>
      </c>
      <c r="H630" s="104" t="str">
        <f t="shared" si="39"/>
        <v>F4004J20</v>
      </c>
      <c r="I630" s="104"/>
      <c r="J630" s="105">
        <v>3.13</v>
      </c>
      <c r="K630" s="106">
        <f>IF(D630="CAESARSTONE LTD",VLOOKUP(H630,'[2]GIA CA'!G:H,2,0),IF(OR(D630="STONE FACINGS LIMITED",D630="NORDIA SA",D630="INVICTUS STONE COUNTERTOPS INC",D630="QUARTZTOP LLC"),VLOOKUP(H630,'[2] Giá ngoài Mỹ - SI-GR'!$B$5:$AZ$84,51,0),IF(OR(D630="HYUNDAI L&amp;C CANADA INC",D630="Hyundai L&amp; C USA LLC"),VLOOKUP(H630,'[2]GIA HS'!A:D,4,0),IF(Y630="Mỹ",VLOOKUP(H630,'[2]giá mỹ từ 6.8.2025'!B:I,2,0),VLOOKUP(H630,'[2]giá ngoài mỹ 6.8.2025 (final)'!B:BP,51,0)))))</f>
        <v>58</v>
      </c>
      <c r="L630" s="106">
        <v>94.57</v>
      </c>
      <c r="M630" s="106">
        <f t="shared" si="38"/>
        <v>36.569999999999993</v>
      </c>
      <c r="N630" s="106">
        <v>94.57</v>
      </c>
      <c r="O630" s="106">
        <v>296</v>
      </c>
      <c r="P630" s="107">
        <v>26110</v>
      </c>
      <c r="Q630" s="107">
        <v>7728560</v>
      </c>
      <c r="R630" s="102"/>
      <c r="S630" s="108"/>
      <c r="T630" s="109" t="s">
        <v>30</v>
      </c>
      <c r="U630" s="109"/>
      <c r="V630" s="102"/>
      <c r="W630" s="109"/>
      <c r="X630" s="109"/>
      <c r="Y630" s="110" t="s">
        <v>358</v>
      </c>
      <c r="Z630" s="111" t="str">
        <f>MID(E630,4,2)</f>
        <v>CA</v>
      </c>
    </row>
    <row r="631" spans="1:26" s="111" customFormat="1" x14ac:dyDescent="0.2">
      <c r="A631" s="101">
        <v>46242</v>
      </c>
      <c r="B631" s="91" t="s">
        <v>852</v>
      </c>
      <c r="C631" s="102" t="s">
        <v>853</v>
      </c>
      <c r="D631" s="103" t="s">
        <v>26</v>
      </c>
      <c r="E631" s="91" t="s">
        <v>854</v>
      </c>
      <c r="F631" s="91" t="s">
        <v>855</v>
      </c>
      <c r="G631" s="91" t="s">
        <v>856</v>
      </c>
      <c r="H631" s="104" t="str">
        <f t="shared" si="39"/>
        <v>F4004J20</v>
      </c>
      <c r="I631" s="104"/>
      <c r="J631" s="105">
        <v>3.13</v>
      </c>
      <c r="K631" s="106">
        <f>IF(D631="CAESARSTONE LTD",VLOOKUP(H631,'[2]GIA CA'!G:H,2,0),IF(OR(D631="STONE FACINGS LIMITED",D631="NORDIA SA",D631="INVICTUS STONE COUNTERTOPS INC",D631="QUARTZTOP LLC"),VLOOKUP(H631,'[2] Giá ngoài Mỹ - SI-GR'!$B$5:$AZ$84,51,0),IF(OR(D631="HYUNDAI L&amp;C CANADA INC",D631="Hyundai L&amp; C USA LLC"),VLOOKUP(H631,'[2]GIA HS'!A:D,4,0),IF(Y631="Mỹ",VLOOKUP(H631,'[2]giá mỹ từ 6.8.2025'!B:I,2,0),VLOOKUP(H631,'[2]giá ngoài mỹ 6.8.2025 (final)'!B:BP,51,0)))))</f>
        <v>58</v>
      </c>
      <c r="L631" s="106">
        <v>94.57</v>
      </c>
      <c r="M631" s="106">
        <f t="shared" si="38"/>
        <v>36.569999999999993</v>
      </c>
      <c r="N631" s="106">
        <v>94.57</v>
      </c>
      <c r="O631" s="106">
        <v>296</v>
      </c>
      <c r="P631" s="107">
        <v>26110</v>
      </c>
      <c r="Q631" s="107">
        <v>7728560</v>
      </c>
      <c r="R631" s="102"/>
      <c r="S631" s="108"/>
      <c r="T631" s="109" t="s">
        <v>30</v>
      </c>
      <c r="U631" s="109"/>
      <c r="V631" s="102"/>
      <c r="W631" s="109"/>
      <c r="X631" s="109"/>
      <c r="Y631" s="110" t="s">
        <v>358</v>
      </c>
      <c r="Z631" s="111" t="str">
        <f>MID(E631,4,2)</f>
        <v>CA</v>
      </c>
    </row>
    <row r="632" spans="1:26" s="111" customFormat="1" x14ac:dyDescent="0.2">
      <c r="A632" s="101">
        <v>46242</v>
      </c>
      <c r="B632" s="91" t="s">
        <v>852</v>
      </c>
      <c r="C632" s="102" t="s">
        <v>853</v>
      </c>
      <c r="D632" s="103" t="s">
        <v>26</v>
      </c>
      <c r="E632" s="91" t="s">
        <v>854</v>
      </c>
      <c r="F632" s="91" t="s">
        <v>857</v>
      </c>
      <c r="G632" s="91" t="s">
        <v>858</v>
      </c>
      <c r="H632" s="104" t="str">
        <f t="shared" si="39"/>
        <v>C5820J20</v>
      </c>
      <c r="I632" s="104"/>
      <c r="J632" s="105">
        <v>2.5499999999999998</v>
      </c>
      <c r="K632" s="106">
        <f>+L632</f>
        <v>95.53</v>
      </c>
      <c r="L632" s="106">
        <v>95.53</v>
      </c>
      <c r="M632" s="106">
        <f t="shared" si="38"/>
        <v>0</v>
      </c>
      <c r="N632" s="106">
        <v>95.53</v>
      </c>
      <c r="O632" s="107">
        <v>243.6</v>
      </c>
      <c r="P632" s="107">
        <v>26110</v>
      </c>
      <c r="Q632" s="107">
        <v>6360396</v>
      </c>
      <c r="R632" s="102"/>
      <c r="S632" s="108"/>
      <c r="T632" s="109" t="s">
        <v>30</v>
      </c>
      <c r="U632" s="109"/>
      <c r="V632" s="102"/>
      <c r="W632" s="109"/>
      <c r="X632" s="109"/>
      <c r="Y632" s="110" t="s">
        <v>358</v>
      </c>
      <c r="Z632" s="111" t="str">
        <f>MID(E632,4,2)</f>
        <v>CA</v>
      </c>
    </row>
    <row r="633" spans="1:26" s="111" customFormat="1" x14ac:dyDescent="0.2">
      <c r="A633" s="101">
        <v>46242</v>
      </c>
      <c r="B633" s="91" t="s">
        <v>852</v>
      </c>
      <c r="C633" s="102" t="s">
        <v>853</v>
      </c>
      <c r="D633" s="103" t="s">
        <v>26</v>
      </c>
      <c r="E633" s="91" t="s">
        <v>854</v>
      </c>
      <c r="F633" s="91" t="s">
        <v>859</v>
      </c>
      <c r="G633" s="91" t="s">
        <v>860</v>
      </c>
      <c r="H633" s="104" t="str">
        <f t="shared" si="39"/>
        <v>F5152J20</v>
      </c>
      <c r="I633" s="104"/>
      <c r="J633" s="105">
        <v>2.5499999999999998</v>
      </c>
      <c r="K633" s="106">
        <f>IF(D633="CAESARSTONE LTD",VLOOKUP(H633,'[2]GIA CA'!G:H,2,0),IF(OR(D633="STONE FACINGS LIMITED",D633="NORDIA SA",D633="INVICTUS STONE COUNTERTOPS INC",D633="QUARTZTOP LLC"),VLOOKUP(H633,'[2] Giá ngoài Mỹ - SI-GR'!$B$5:$AZ$84,51,0),IF(OR(D633="HYUNDAI L&amp;C CANADA INC",D633="Hyundai L&amp; C USA LLC"),VLOOKUP(H633,'[2]GIA HS'!A:D,4,0),IF(Y633="Mỹ",VLOOKUP(H633,'[2]giá mỹ từ 6.8.2025'!B:I,2,0),VLOOKUP(H633,'[2]giá ngoài mỹ 6.8.2025 (final)'!B:BP,51,0)))))</f>
        <v>62</v>
      </c>
      <c r="L633" s="106">
        <v>130.66999999999999</v>
      </c>
      <c r="M633" s="106">
        <f t="shared" si="38"/>
        <v>68.669999999999987</v>
      </c>
      <c r="N633" s="106">
        <v>130.66999999999999</v>
      </c>
      <c r="O633" s="107">
        <v>333.2</v>
      </c>
      <c r="P633" s="107">
        <v>26110</v>
      </c>
      <c r="Q633" s="107">
        <v>8699852</v>
      </c>
      <c r="R633" s="102"/>
      <c r="S633" s="108"/>
      <c r="T633" s="109" t="s">
        <v>30</v>
      </c>
      <c r="U633" s="109"/>
      <c r="V633" s="102"/>
      <c r="W633" s="109"/>
      <c r="X633" s="109"/>
      <c r="Y633" s="110" t="s">
        <v>358</v>
      </c>
      <c r="Z633" s="111" t="str">
        <f>MID(E633,4,2)</f>
        <v>CA</v>
      </c>
    </row>
    <row r="634" spans="1:26" s="111" customFormat="1" x14ac:dyDescent="0.2">
      <c r="A634" s="101">
        <v>46242</v>
      </c>
      <c r="B634" s="91" t="s">
        <v>852</v>
      </c>
      <c r="C634" s="102" t="s">
        <v>853</v>
      </c>
      <c r="D634" s="103" t="s">
        <v>26</v>
      </c>
      <c r="E634" s="91" t="s">
        <v>854</v>
      </c>
      <c r="F634" s="91" t="s">
        <v>861</v>
      </c>
      <c r="G634" s="91" t="s">
        <v>862</v>
      </c>
      <c r="H634" s="104" t="str">
        <f t="shared" si="39"/>
        <v>F5310J20</v>
      </c>
      <c r="I634" s="104"/>
      <c r="J634" s="105">
        <v>2.5499999999999998</v>
      </c>
      <c r="K634" s="106">
        <f>IF(D634="CAESARSTONE LTD",VLOOKUP(H634,'[2]GIA CA'!G:H,2,0),IF(OR(D634="STONE FACINGS LIMITED",D634="NORDIA SA",D634="INVICTUS STONE COUNTERTOPS INC",D634="QUARTZTOP LLC"),VLOOKUP(H634,'[2] Giá ngoài Mỹ - SI-GR'!$B$5:$AZ$84,51,0),IF(OR(D634="HYUNDAI L&amp;C CANADA INC",D634="Hyundai L&amp; C USA LLC"),VLOOKUP(H634,'[2]GIA HS'!A:D,4,0),IF(Y634="Mỹ",VLOOKUP(H634,'[2]giá mỹ từ 6.8.2025'!B:I,2,0),VLOOKUP(H634,'[2]giá ngoài mỹ 6.8.2025 (final)'!B:BP,51,0)))))</f>
        <v>62</v>
      </c>
      <c r="L634" s="106">
        <v>130.66999999999999</v>
      </c>
      <c r="M634" s="106">
        <f t="shared" si="38"/>
        <v>68.669999999999987</v>
      </c>
      <c r="N634" s="106">
        <v>130.66999999999999</v>
      </c>
      <c r="O634" s="107">
        <v>333.2</v>
      </c>
      <c r="P634" s="107">
        <v>26110</v>
      </c>
      <c r="Q634" s="107">
        <v>8699852</v>
      </c>
      <c r="R634" s="102"/>
      <c r="S634" s="108"/>
      <c r="T634" s="109" t="s">
        <v>30</v>
      </c>
      <c r="U634" s="109"/>
      <c r="V634" s="102"/>
      <c r="W634" s="109"/>
      <c r="X634" s="109"/>
      <c r="Y634" s="110" t="s">
        <v>358</v>
      </c>
      <c r="Z634" s="111" t="str">
        <f>MID(E634,4,2)</f>
        <v>CA</v>
      </c>
    </row>
    <row r="635" spans="1:26" s="111" customFormat="1" x14ac:dyDescent="0.2">
      <c r="A635" s="101">
        <v>46242</v>
      </c>
      <c r="B635" s="91" t="s">
        <v>852</v>
      </c>
      <c r="C635" s="102" t="s">
        <v>853</v>
      </c>
      <c r="D635" s="103" t="s">
        <v>26</v>
      </c>
      <c r="E635" s="91" t="s">
        <v>854</v>
      </c>
      <c r="F635" s="91" t="s">
        <v>95</v>
      </c>
      <c r="G635" s="91" t="s">
        <v>96</v>
      </c>
      <c r="H635" s="104" t="str">
        <f t="shared" si="39"/>
        <v>C5212J20</v>
      </c>
      <c r="I635" s="104"/>
      <c r="J635" s="105">
        <v>3.75</v>
      </c>
      <c r="K635" s="106">
        <f>IF(D635="CAESARSTONE LTD",VLOOKUP(H635,'[2]GIA CA'!G:H,2,0),IF(OR(D635="STONE FACINGS LIMITED",D635="NORDIA SA",D635="INVICTUS STONE COUNTERTOPS INC",D635="QUARTZTOP LLC"),VLOOKUP(H635,'[2] Giá ngoài Mỹ - SI-GR'!$B$5:$AZ$84,51,0),IF(OR(D635="HYUNDAI L&amp;C CANADA INC",D635="Hyundai L&amp; C USA LLC"),VLOOKUP(H635,'[2]GIA HS'!A:D,4,0),IF(Y635="Mỹ",VLOOKUP(H635,'[2]giá mỹ từ 6.8.2025'!B:I,2,0),VLOOKUP(H635,'[2]giá ngoài mỹ 6.8.2025 (final)'!B:BP,51,0)))))</f>
        <v>59</v>
      </c>
      <c r="L635" s="106">
        <v>94.72</v>
      </c>
      <c r="M635" s="106">
        <f t="shared" si="38"/>
        <v>35.72</v>
      </c>
      <c r="N635" s="106">
        <v>94.72</v>
      </c>
      <c r="O635" s="107">
        <v>355.2</v>
      </c>
      <c r="P635" s="107">
        <v>26110</v>
      </c>
      <c r="Q635" s="107">
        <v>9274272</v>
      </c>
      <c r="R635" s="102"/>
      <c r="S635" s="108"/>
      <c r="T635" s="109" t="s">
        <v>30</v>
      </c>
      <c r="U635" s="109"/>
      <c r="V635" s="102"/>
      <c r="W635" s="109"/>
      <c r="X635" s="109"/>
      <c r="Y635" s="110" t="s">
        <v>358</v>
      </c>
      <c r="Z635" s="111" t="str">
        <f>MID(E635,4,2)</f>
        <v>CA</v>
      </c>
    </row>
    <row r="636" spans="1:26" s="111" customFormat="1" x14ac:dyDescent="0.2">
      <c r="A636" s="101">
        <v>46242</v>
      </c>
      <c r="B636" s="91" t="s">
        <v>852</v>
      </c>
      <c r="C636" s="102" t="s">
        <v>853</v>
      </c>
      <c r="D636" s="103" t="s">
        <v>26</v>
      </c>
      <c r="E636" s="91" t="s">
        <v>854</v>
      </c>
      <c r="F636" s="91" t="s">
        <v>734</v>
      </c>
      <c r="G636" s="91" t="s">
        <v>735</v>
      </c>
      <c r="H636" s="104" t="str">
        <f t="shared" si="39"/>
        <v>F5171J20</v>
      </c>
      <c r="I636" s="104"/>
      <c r="J636" s="105">
        <v>3.13</v>
      </c>
      <c r="K636" s="106">
        <f>IF(D636="CAESARSTONE LTD",VLOOKUP(H636,'[2]GIA CA'!G:H,2,0),IF(OR(D636="STONE FACINGS LIMITED",D636="NORDIA SA",D636="INVICTUS STONE COUNTERTOPS INC",D636="QUARTZTOP LLC"),VLOOKUP(H636,'[2] Giá ngoài Mỹ - SI-GR'!$B$5:$AZ$84,51,0),IF(OR(D636="HYUNDAI L&amp;C CANADA INC",D636="Hyundai L&amp; C USA LLC"),VLOOKUP(H636,'[2]GIA HS'!A:D,4,0),IF(Y636="Mỹ",VLOOKUP(H636,'[2]giá mỹ từ 6.8.2025'!B:I,2,0),VLOOKUP(H636,'[2]giá ngoài mỹ 6.8.2025 (final)'!B:BP,51,0)))))</f>
        <v>62</v>
      </c>
      <c r="L636" s="106">
        <v>129.07</v>
      </c>
      <c r="M636" s="106">
        <f t="shared" si="38"/>
        <v>67.069999999999993</v>
      </c>
      <c r="N636" s="106">
        <v>129.07</v>
      </c>
      <c r="O636" s="107">
        <v>404</v>
      </c>
      <c r="P636" s="107">
        <v>26110</v>
      </c>
      <c r="Q636" s="107">
        <v>10548440</v>
      </c>
      <c r="R636" s="102"/>
      <c r="S636" s="108"/>
      <c r="T636" s="109" t="s">
        <v>30</v>
      </c>
      <c r="U636" s="109"/>
      <c r="V636" s="102"/>
      <c r="W636" s="109"/>
      <c r="X636" s="109"/>
      <c r="Y636" s="110" t="s">
        <v>358</v>
      </c>
      <c r="Z636" s="111" t="str">
        <f>MID(E636,4,2)</f>
        <v>CA</v>
      </c>
    </row>
    <row r="637" spans="1:26" s="111" customFormat="1" x14ac:dyDescent="0.2">
      <c r="A637" s="101">
        <v>46242</v>
      </c>
      <c r="B637" s="91" t="s">
        <v>852</v>
      </c>
      <c r="C637" s="102" t="s">
        <v>853</v>
      </c>
      <c r="D637" s="103" t="s">
        <v>26</v>
      </c>
      <c r="E637" s="91" t="s">
        <v>854</v>
      </c>
      <c r="F637" s="91" t="s">
        <v>734</v>
      </c>
      <c r="G637" s="91" t="s">
        <v>735</v>
      </c>
      <c r="H637" s="104" t="str">
        <f t="shared" si="39"/>
        <v>F5171J20</v>
      </c>
      <c r="I637" s="104"/>
      <c r="J637" s="105">
        <v>3.13</v>
      </c>
      <c r="K637" s="106">
        <f>IF(D637="CAESARSTONE LTD",VLOOKUP(H637,'[2]GIA CA'!G:H,2,0),IF(OR(D637="STONE FACINGS LIMITED",D637="NORDIA SA",D637="INVICTUS STONE COUNTERTOPS INC",D637="QUARTZTOP LLC"),VLOOKUP(H637,'[2] Giá ngoài Mỹ - SI-GR'!$B$5:$AZ$84,51,0),IF(OR(D637="HYUNDAI L&amp;C CANADA INC",D637="Hyundai L&amp; C USA LLC"),VLOOKUP(H637,'[2]GIA HS'!A:D,4,0),IF(Y637="Mỹ",VLOOKUP(H637,'[2]giá mỹ từ 6.8.2025'!B:I,2,0),VLOOKUP(H637,'[2]giá ngoài mỹ 6.8.2025 (final)'!B:BP,51,0)))))</f>
        <v>62</v>
      </c>
      <c r="L637" s="106">
        <v>129.07</v>
      </c>
      <c r="M637" s="106">
        <f t="shared" si="38"/>
        <v>67.069999999999993</v>
      </c>
      <c r="N637" s="106">
        <v>129.07</v>
      </c>
      <c r="O637" s="107">
        <v>404</v>
      </c>
      <c r="P637" s="107">
        <v>26110</v>
      </c>
      <c r="Q637" s="107">
        <v>10548440</v>
      </c>
      <c r="R637" s="102"/>
      <c r="S637" s="108"/>
      <c r="T637" s="109" t="s">
        <v>30</v>
      </c>
      <c r="U637" s="109"/>
      <c r="V637" s="102"/>
      <c r="W637" s="109"/>
      <c r="X637" s="109"/>
      <c r="Y637" s="110" t="s">
        <v>358</v>
      </c>
      <c r="Z637" s="111" t="str">
        <f>MID(E637,4,2)</f>
        <v>CA</v>
      </c>
    </row>
    <row r="638" spans="1:26" s="111" customFormat="1" x14ac:dyDescent="0.2">
      <c r="A638" s="101">
        <v>46242</v>
      </c>
      <c r="B638" s="91" t="s">
        <v>852</v>
      </c>
      <c r="C638" s="102" t="s">
        <v>853</v>
      </c>
      <c r="D638" s="103" t="s">
        <v>26</v>
      </c>
      <c r="E638" s="91" t="s">
        <v>854</v>
      </c>
      <c r="F638" s="91" t="s">
        <v>734</v>
      </c>
      <c r="G638" s="91" t="s">
        <v>735</v>
      </c>
      <c r="H638" s="104" t="str">
        <f t="shared" si="39"/>
        <v>F5171J20</v>
      </c>
      <c r="I638" s="104"/>
      <c r="J638" s="105">
        <v>3.13</v>
      </c>
      <c r="K638" s="106">
        <f>IF(D638="CAESARSTONE LTD",VLOOKUP(H638,'[2]GIA CA'!G:H,2,0),IF(OR(D638="STONE FACINGS LIMITED",D638="NORDIA SA",D638="INVICTUS STONE COUNTERTOPS INC",D638="QUARTZTOP LLC"),VLOOKUP(H638,'[2] Giá ngoài Mỹ - SI-GR'!$B$5:$AZ$84,51,0),IF(OR(D638="HYUNDAI L&amp;C CANADA INC",D638="Hyundai L&amp; C USA LLC"),VLOOKUP(H638,'[2]GIA HS'!A:D,4,0),IF(Y638="Mỹ",VLOOKUP(H638,'[2]giá mỹ từ 6.8.2025'!B:I,2,0),VLOOKUP(H638,'[2]giá ngoài mỹ 6.8.2025 (final)'!B:BP,51,0)))))</f>
        <v>62</v>
      </c>
      <c r="L638" s="106">
        <v>129.07</v>
      </c>
      <c r="M638" s="106">
        <f t="shared" si="38"/>
        <v>67.069999999999993</v>
      </c>
      <c r="N638" s="106">
        <v>129.07</v>
      </c>
      <c r="O638" s="107">
        <v>404</v>
      </c>
      <c r="P638" s="107">
        <v>26110</v>
      </c>
      <c r="Q638" s="107">
        <v>10548440</v>
      </c>
      <c r="R638" s="102"/>
      <c r="S638" s="108"/>
      <c r="T638" s="109" t="s">
        <v>30</v>
      </c>
      <c r="U638" s="109"/>
      <c r="V638" s="102"/>
      <c r="W638" s="109"/>
      <c r="X638" s="109"/>
      <c r="Y638" s="110" t="s">
        <v>358</v>
      </c>
      <c r="Z638" s="111" t="str">
        <f>MID(E638,4,2)</f>
        <v>CA</v>
      </c>
    </row>
    <row r="639" spans="1:26" s="111" customFormat="1" x14ac:dyDescent="0.2">
      <c r="A639" s="101">
        <v>46242</v>
      </c>
      <c r="B639" s="91" t="s">
        <v>852</v>
      </c>
      <c r="C639" s="102" t="s">
        <v>853</v>
      </c>
      <c r="D639" s="103" t="s">
        <v>26</v>
      </c>
      <c r="E639" s="91" t="s">
        <v>854</v>
      </c>
      <c r="F639" s="91" t="s">
        <v>863</v>
      </c>
      <c r="G639" s="91" t="s">
        <v>864</v>
      </c>
      <c r="H639" s="104" t="str">
        <f t="shared" si="39"/>
        <v>C5130J20</v>
      </c>
      <c r="I639" s="104"/>
      <c r="J639" s="105">
        <v>3.13</v>
      </c>
      <c r="K639" s="106">
        <f>IF(D639="CAESARSTONE LTD",VLOOKUP(H639,'[2]GIA CA'!G:H,2,0),IF(OR(D639="STONE FACINGS LIMITED",D639="NORDIA SA",D639="INVICTUS STONE COUNTERTOPS INC",D639="QUARTZTOP LLC"),VLOOKUP(H639,'[2] Giá ngoài Mỹ - SI-GR'!$B$5:$AZ$84,51,0),IF(OR(D639="HYUNDAI L&amp;C CANADA INC",D639="Hyundai L&amp; C USA LLC"),VLOOKUP(H639,'[2]GIA HS'!A:D,4,0),IF(Y639="Mỹ",VLOOKUP(H639,'[2]giá mỹ từ 6.8.2025'!B:I,2,0),VLOOKUP(H639,'[2]giá ngoài mỹ 6.8.2025 (final)'!B:BP,51,0)))))</f>
        <v>59</v>
      </c>
      <c r="L639" s="106">
        <v>94.57</v>
      </c>
      <c r="M639" s="106">
        <f t="shared" si="38"/>
        <v>35.569999999999993</v>
      </c>
      <c r="N639" s="106">
        <v>94.57</v>
      </c>
      <c r="O639" s="107">
        <v>296</v>
      </c>
      <c r="P639" s="107">
        <v>26110</v>
      </c>
      <c r="Q639" s="107">
        <v>7728560</v>
      </c>
      <c r="R639" s="102"/>
      <c r="S639" s="108"/>
      <c r="T639" s="109" t="s">
        <v>30</v>
      </c>
      <c r="U639" s="109"/>
      <c r="V639" s="102"/>
      <c r="W639" s="109"/>
      <c r="X639" s="109"/>
      <c r="Y639" s="110" t="s">
        <v>358</v>
      </c>
      <c r="Z639" s="111" t="str">
        <f>MID(E639,4,2)</f>
        <v>CA</v>
      </c>
    </row>
    <row r="640" spans="1:26" s="111" customFormat="1" x14ac:dyDescent="0.2">
      <c r="A640" s="101">
        <v>46242</v>
      </c>
      <c r="B640" s="91" t="s">
        <v>852</v>
      </c>
      <c r="C640" s="102" t="s">
        <v>853</v>
      </c>
      <c r="D640" s="103" t="s">
        <v>26</v>
      </c>
      <c r="E640" s="91" t="s">
        <v>854</v>
      </c>
      <c r="F640" s="91" t="s">
        <v>110</v>
      </c>
      <c r="G640" s="91" t="s">
        <v>111</v>
      </c>
      <c r="H640" s="104" t="str">
        <f t="shared" si="39"/>
        <v>C4023J20</v>
      </c>
      <c r="I640" s="104"/>
      <c r="J640" s="105">
        <v>152.46</v>
      </c>
      <c r="K640" s="106">
        <f t="shared" ref="K640:K642" si="40">+L640</f>
        <v>59.9</v>
      </c>
      <c r="L640" s="106">
        <v>59.9</v>
      </c>
      <c r="M640" s="106">
        <f t="shared" si="38"/>
        <v>0</v>
      </c>
      <c r="N640" s="106">
        <v>59.9</v>
      </c>
      <c r="O640" s="106">
        <v>9132.48</v>
      </c>
      <c r="P640" s="107">
        <v>26110</v>
      </c>
      <c r="Q640" s="107">
        <v>238449053</v>
      </c>
      <c r="R640" s="102" t="s">
        <v>30</v>
      </c>
      <c r="S640" s="108"/>
      <c r="T640" s="109"/>
      <c r="U640" s="109"/>
      <c r="V640" s="102"/>
      <c r="W640" s="109"/>
      <c r="X640" s="109"/>
      <c r="Y640" s="110" t="s">
        <v>358</v>
      </c>
      <c r="Z640" s="111" t="str">
        <f>MID(E640,4,2)</f>
        <v>CA</v>
      </c>
    </row>
    <row r="641" spans="1:26" s="111" customFormat="1" x14ac:dyDescent="0.2">
      <c r="A641" s="101">
        <v>46242</v>
      </c>
      <c r="B641" s="91" t="s">
        <v>852</v>
      </c>
      <c r="C641" s="102" t="s">
        <v>853</v>
      </c>
      <c r="D641" s="103" t="s">
        <v>26</v>
      </c>
      <c r="E641" s="91" t="s">
        <v>854</v>
      </c>
      <c r="F641" s="91" t="s">
        <v>865</v>
      </c>
      <c r="G641" s="91" t="s">
        <v>866</v>
      </c>
      <c r="H641" s="104" t="str">
        <f t="shared" si="39"/>
        <v>C4044J20</v>
      </c>
      <c r="I641" s="104"/>
      <c r="J641" s="105">
        <v>54.45</v>
      </c>
      <c r="K641" s="106">
        <f t="shared" si="40"/>
        <v>59.9</v>
      </c>
      <c r="L641" s="106">
        <v>59.9</v>
      </c>
      <c r="M641" s="106">
        <f t="shared" si="38"/>
        <v>0</v>
      </c>
      <c r="N641" s="106">
        <v>59.9</v>
      </c>
      <c r="O641" s="106">
        <v>3261.6</v>
      </c>
      <c r="P641" s="107">
        <v>26110</v>
      </c>
      <c r="Q641" s="107">
        <v>85160376</v>
      </c>
      <c r="R641" s="102" t="s">
        <v>30</v>
      </c>
      <c r="S641" s="108"/>
      <c r="T641" s="109"/>
      <c r="U641" s="109"/>
      <c r="V641" s="102"/>
      <c r="W641" s="109"/>
      <c r="X641" s="109"/>
      <c r="Y641" s="110" t="s">
        <v>358</v>
      </c>
      <c r="Z641" s="111" t="str">
        <f>MID(E641,4,2)</f>
        <v>CA</v>
      </c>
    </row>
    <row r="642" spans="1:26" s="111" customFormat="1" x14ac:dyDescent="0.2">
      <c r="A642" s="101">
        <v>46242</v>
      </c>
      <c r="B642" s="91" t="s">
        <v>852</v>
      </c>
      <c r="C642" s="102" t="s">
        <v>853</v>
      </c>
      <c r="D642" s="103" t="s">
        <v>26</v>
      </c>
      <c r="E642" s="91" t="s">
        <v>854</v>
      </c>
      <c r="F642" s="91" t="s">
        <v>867</v>
      </c>
      <c r="G642" s="91" t="s">
        <v>868</v>
      </c>
      <c r="H642" s="104" t="str">
        <f t="shared" si="39"/>
        <v>C5003J20</v>
      </c>
      <c r="I642" s="104"/>
      <c r="J642" s="105">
        <v>54.45</v>
      </c>
      <c r="K642" s="106">
        <f t="shared" si="40"/>
        <v>59.9</v>
      </c>
      <c r="L642" s="106">
        <v>59.9</v>
      </c>
      <c r="M642" s="106">
        <f t="shared" si="38"/>
        <v>0</v>
      </c>
      <c r="N642" s="106">
        <v>59.9</v>
      </c>
      <c r="O642" s="106">
        <v>3261.6</v>
      </c>
      <c r="P642" s="107">
        <v>26110</v>
      </c>
      <c r="Q642" s="107">
        <v>85160376</v>
      </c>
      <c r="R642" s="102" t="s">
        <v>30</v>
      </c>
      <c r="S642" s="108"/>
      <c r="T642" s="109"/>
      <c r="U642" s="109"/>
      <c r="V642" s="102"/>
      <c r="W642" s="109"/>
      <c r="X642" s="109"/>
      <c r="Y642" s="110" t="s">
        <v>358</v>
      </c>
      <c r="Z642" s="111" t="str">
        <f>MID(E642,4,2)</f>
        <v>CA</v>
      </c>
    </row>
    <row r="643" spans="1:26" s="111" customFormat="1" x14ac:dyDescent="0.2">
      <c r="A643" s="101">
        <v>46242</v>
      </c>
      <c r="B643" s="91" t="s">
        <v>852</v>
      </c>
      <c r="C643" s="102" t="s">
        <v>853</v>
      </c>
      <c r="D643" s="103" t="s">
        <v>26</v>
      </c>
      <c r="E643" s="91" t="s">
        <v>854</v>
      </c>
      <c r="F643" s="91" t="s">
        <v>74</v>
      </c>
      <c r="G643" s="91" t="s">
        <v>75</v>
      </c>
      <c r="H643" s="104" t="str">
        <f t="shared" si="39"/>
        <v>C5151J30</v>
      </c>
      <c r="I643" s="104"/>
      <c r="J643" s="105">
        <v>38.119999999999997</v>
      </c>
      <c r="K643" s="106">
        <f>IF(D643="CAESARSTONE LTD",VLOOKUP(H643,'[2]GIA CA'!G:H,2,0),IF(OR(D643="STONE FACINGS LIMITED",D643="NORDIA SA",D643="INVICTUS STONE COUNTERTOPS INC",D643="QUARTZTOP LLC"),VLOOKUP(H643,'[2] Giá ngoài Mỹ - SI-GR'!$B$5:$AZ$84,51,0),IF(OR(D643="HYUNDAI L&amp;C CANADA INC",D643="Hyundai L&amp; C USA LLC"),VLOOKUP(H643,'[2]GIA HS'!A:D,4,0),IF(Y643="Mỹ",VLOOKUP(H643,'[2]giá mỹ từ 6.8.2025'!B:I,2,0),VLOOKUP(H643,'[2]giá ngoài mỹ 6.8.2025 (final)'!B:BP,51,0)))))</f>
        <v>81.25</v>
      </c>
      <c r="L643" s="106">
        <v>81.239999999999995</v>
      </c>
      <c r="M643" s="106">
        <f t="shared" si="38"/>
        <v>-1.0000000000005116E-2</v>
      </c>
      <c r="N643" s="106">
        <v>81.239999999999995</v>
      </c>
      <c r="O643" s="106">
        <v>3096.87</v>
      </c>
      <c r="P643" s="107">
        <v>26110</v>
      </c>
      <c r="Q643" s="107">
        <v>80859276</v>
      </c>
      <c r="R643" s="102" t="s">
        <v>30</v>
      </c>
      <c r="S643" s="108"/>
      <c r="T643" s="109"/>
      <c r="U643" s="109"/>
      <c r="V643" s="102"/>
      <c r="W643" s="109"/>
      <c r="X643" s="109"/>
      <c r="Y643" s="110" t="s">
        <v>358</v>
      </c>
      <c r="Z643" s="111" t="str">
        <f>MID(E643,4,2)</f>
        <v>CA</v>
      </c>
    </row>
    <row r="644" spans="1:26" s="111" customFormat="1" x14ac:dyDescent="0.2">
      <c r="A644" s="101">
        <v>46242</v>
      </c>
      <c r="B644" s="91" t="s">
        <v>852</v>
      </c>
      <c r="C644" s="102" t="s">
        <v>853</v>
      </c>
      <c r="D644" s="103" t="s">
        <v>26</v>
      </c>
      <c r="E644" s="91" t="s">
        <v>854</v>
      </c>
      <c r="F644" s="91" t="s">
        <v>727</v>
      </c>
      <c r="G644" s="91" t="s">
        <v>728</v>
      </c>
      <c r="H644" s="104" t="str">
        <f t="shared" si="39"/>
        <v>C5212J20</v>
      </c>
      <c r="I644" s="104"/>
      <c r="J644" s="105">
        <v>43.56</v>
      </c>
      <c r="K644" s="106">
        <f>IF(D644="CAESARSTONE LTD",VLOOKUP(H644,'[2]GIA CA'!G:H,2,0),IF(OR(D644="STONE FACINGS LIMITED",D644="NORDIA SA",D644="INVICTUS STONE COUNTERTOPS INC",D644="QUARTZTOP LLC"),VLOOKUP(H644,'[2] Giá ngoài Mỹ - SI-GR'!$B$5:$AZ$84,51,0),IF(OR(D644="HYUNDAI L&amp;C CANADA INC",D644="Hyundai L&amp; C USA LLC"),VLOOKUP(H644,'[2]GIA HS'!A:D,4,0),IF(Y644="Mỹ",VLOOKUP(H644,'[2]giá mỹ từ 6.8.2025'!B:I,2,0),VLOOKUP(H644,'[2]giá ngoài mỹ 6.8.2025 (final)'!B:BP,51,0)))))</f>
        <v>59</v>
      </c>
      <c r="L644" s="106">
        <v>62</v>
      </c>
      <c r="M644" s="106">
        <f t="shared" si="38"/>
        <v>3</v>
      </c>
      <c r="N644" s="106">
        <v>62</v>
      </c>
      <c r="O644" s="107">
        <v>2700.72</v>
      </c>
      <c r="P644" s="107">
        <v>26110</v>
      </c>
      <c r="Q644" s="107">
        <v>70515799</v>
      </c>
      <c r="R644" s="102" t="s">
        <v>30</v>
      </c>
      <c r="S644" s="108"/>
      <c r="T644" s="109"/>
      <c r="U644" s="109"/>
      <c r="V644" s="102"/>
      <c r="W644" s="109"/>
      <c r="X644" s="109"/>
      <c r="Y644" s="110" t="s">
        <v>358</v>
      </c>
      <c r="Z644" s="111" t="str">
        <f>MID(E644,4,2)</f>
        <v>CA</v>
      </c>
    </row>
    <row r="645" spans="1:26" s="111" customFormat="1" x14ac:dyDescent="0.2">
      <c r="A645" s="101">
        <v>46242</v>
      </c>
      <c r="B645" s="91" t="s">
        <v>852</v>
      </c>
      <c r="C645" s="102" t="s">
        <v>853</v>
      </c>
      <c r="D645" s="103" t="s">
        <v>26</v>
      </c>
      <c r="E645" s="91" t="s">
        <v>854</v>
      </c>
      <c r="F645" s="91" t="s">
        <v>88</v>
      </c>
      <c r="G645" s="91" t="s">
        <v>89</v>
      </c>
      <c r="H645" s="104" t="str">
        <f t="shared" si="39"/>
        <v>F5131J20</v>
      </c>
      <c r="I645" s="104"/>
      <c r="J645" s="105">
        <v>54.45</v>
      </c>
      <c r="K645" s="106">
        <f>IF(D645="CAESARSTONE LTD",VLOOKUP(H645,'[2]GIA CA'!G:H,2,0),IF(OR(D645="STONE FACINGS LIMITED",D645="NORDIA SA",D645="INVICTUS STONE COUNTERTOPS INC",D645="QUARTZTOP LLC"),VLOOKUP(H645,'[2] Giá ngoài Mỹ - SI-GR'!$B$5:$AZ$84,51,0),IF(OR(D645="HYUNDAI L&amp;C CANADA INC",D645="Hyundai L&amp; C USA LLC"),VLOOKUP(H645,'[2]GIA HS'!A:D,4,0),IF(Y645="Mỹ",VLOOKUP(H645,'[2]giá mỹ từ 6.8.2025'!B:I,2,0),VLOOKUP(H645,'[2]giá ngoài mỹ 6.8.2025 (final)'!B:BP,51,0)))))</f>
        <v>60</v>
      </c>
      <c r="L645" s="106">
        <v>63</v>
      </c>
      <c r="M645" s="106">
        <f t="shared" si="38"/>
        <v>3</v>
      </c>
      <c r="N645" s="106">
        <v>63</v>
      </c>
      <c r="O645" s="107">
        <v>3430.4</v>
      </c>
      <c r="P645" s="107">
        <v>26110</v>
      </c>
      <c r="Q645" s="107">
        <v>89567744</v>
      </c>
      <c r="R645" s="102" t="s">
        <v>30</v>
      </c>
      <c r="S645" s="108"/>
      <c r="T645" s="109"/>
      <c r="U645" s="109"/>
      <c r="V645" s="102"/>
      <c r="W645" s="109"/>
      <c r="X645" s="109"/>
      <c r="Y645" s="110" t="s">
        <v>358</v>
      </c>
      <c r="Z645" s="111" t="str">
        <f>MID(E645,4,2)</f>
        <v>CA</v>
      </c>
    </row>
    <row r="646" spans="1:26" s="111" customFormat="1" x14ac:dyDescent="0.2">
      <c r="A646" s="101">
        <v>46242</v>
      </c>
      <c r="B646" s="91" t="s">
        <v>852</v>
      </c>
      <c r="C646" s="102" t="s">
        <v>853</v>
      </c>
      <c r="D646" s="103" t="s">
        <v>26</v>
      </c>
      <c r="E646" s="91" t="s">
        <v>854</v>
      </c>
      <c r="F646" s="91" t="s">
        <v>385</v>
      </c>
      <c r="G646" s="91" t="s">
        <v>386</v>
      </c>
      <c r="H646" s="104" t="str">
        <f t="shared" si="39"/>
        <v>F5132J30</v>
      </c>
      <c r="I646" s="104"/>
      <c r="J646" s="105">
        <v>38.119999999999997</v>
      </c>
      <c r="K646" s="106">
        <f>IF(D646="CAESARSTONE LTD",VLOOKUP(H646,'[2]GIA CA'!G:H,2,0),IF(OR(D646="STONE FACINGS LIMITED",D646="NORDIA SA",D646="INVICTUS STONE COUNTERTOPS INC",D646="QUARTZTOP LLC"),VLOOKUP(H646,'[2] Giá ngoài Mỹ - SI-GR'!$B$5:$AZ$84,51,0),IF(OR(D646="HYUNDAI L&amp;C CANADA INC",D646="Hyundai L&amp; C USA LLC"),VLOOKUP(H646,'[2]GIA HS'!A:D,4,0),IF(Y646="Mỹ",VLOOKUP(H646,'[2]giá mỹ từ 6.8.2025'!B:I,2,0),VLOOKUP(H646,'[2]giá ngoài mỹ 6.8.2025 (final)'!B:BP,51,0)))))</f>
        <v>77.5</v>
      </c>
      <c r="L646" s="106">
        <v>81.39</v>
      </c>
      <c r="M646" s="106">
        <f t="shared" si="38"/>
        <v>3.8900000000000006</v>
      </c>
      <c r="N646" s="106">
        <v>81.39</v>
      </c>
      <c r="O646" s="107">
        <v>3102.54</v>
      </c>
      <c r="P646" s="107">
        <v>26110</v>
      </c>
      <c r="Q646" s="107">
        <v>81007319</v>
      </c>
      <c r="R646" s="102" t="s">
        <v>30</v>
      </c>
      <c r="S646" s="108"/>
      <c r="T646" s="109"/>
      <c r="U646" s="109"/>
      <c r="V646" s="102"/>
      <c r="W646" s="109"/>
      <c r="X646" s="109"/>
      <c r="Y646" s="110" t="s">
        <v>358</v>
      </c>
      <c r="Z646" s="111" t="str">
        <f>MID(E646,4,2)</f>
        <v>CA</v>
      </c>
    </row>
    <row r="647" spans="1:26" s="111" customFormat="1" x14ac:dyDescent="0.2">
      <c r="A647" s="101">
        <v>46242</v>
      </c>
      <c r="B647" s="91" t="s">
        <v>852</v>
      </c>
      <c r="C647" s="102" t="s">
        <v>853</v>
      </c>
      <c r="D647" s="103" t="s">
        <v>26</v>
      </c>
      <c r="E647" s="91" t="s">
        <v>854</v>
      </c>
      <c r="F647" s="91" t="s">
        <v>451</v>
      </c>
      <c r="G647" s="91" t="s">
        <v>452</v>
      </c>
      <c r="H647" s="104" t="str">
        <f t="shared" si="39"/>
        <v>F5143J20</v>
      </c>
      <c r="I647" s="104"/>
      <c r="J647" s="105">
        <v>16.329999999999998</v>
      </c>
      <c r="K647" s="106">
        <f>IF(D647="CAESARSTONE LTD",VLOOKUP(H647,'[2]GIA CA'!G:H,2,0),IF(OR(D647="STONE FACINGS LIMITED",D647="NORDIA SA",D647="INVICTUS STONE COUNTERTOPS INC",D647="QUARTZTOP LLC"),VLOOKUP(H647,'[2] Giá ngoài Mỹ - SI-GR'!$B$5:$AZ$84,51,0),IF(OR(D647="HYUNDAI L&amp;C CANADA INC",D647="Hyundai L&amp; C USA LLC"),VLOOKUP(H647,'[2]GIA HS'!A:D,4,0),IF(Y647="Mỹ",VLOOKUP(H647,'[2]giá mỹ từ 6.8.2025'!B:I,2,0),VLOOKUP(H647,'[2]giá ngoài mỹ 6.8.2025 (final)'!B:BP,51,0)))))</f>
        <v>62</v>
      </c>
      <c r="L647" s="106">
        <v>65.099999999999994</v>
      </c>
      <c r="M647" s="106">
        <f t="shared" si="38"/>
        <v>3.0999999999999943</v>
      </c>
      <c r="N647" s="106">
        <v>65.099999999999994</v>
      </c>
      <c r="O647" s="107">
        <v>1063.08</v>
      </c>
      <c r="P647" s="107">
        <v>26110</v>
      </c>
      <c r="Q647" s="107">
        <v>27757019</v>
      </c>
      <c r="R647" s="102" t="s">
        <v>30</v>
      </c>
      <c r="S647" s="108"/>
      <c r="T647" s="109"/>
      <c r="U647" s="109"/>
      <c r="V647" s="102"/>
      <c r="W647" s="109"/>
      <c r="X647" s="109"/>
      <c r="Y647" s="110" t="s">
        <v>358</v>
      </c>
      <c r="Z647" s="111" t="str">
        <f>MID(E647,4,2)</f>
        <v>CA</v>
      </c>
    </row>
    <row r="648" spans="1:26" s="111" customFormat="1" x14ac:dyDescent="0.2">
      <c r="A648" s="101">
        <v>46242</v>
      </c>
      <c r="B648" s="91" t="s">
        <v>852</v>
      </c>
      <c r="C648" s="102" t="s">
        <v>853</v>
      </c>
      <c r="D648" s="103" t="s">
        <v>26</v>
      </c>
      <c r="E648" s="91" t="s">
        <v>854</v>
      </c>
      <c r="F648" s="91" t="s">
        <v>451</v>
      </c>
      <c r="G648" s="91" t="s">
        <v>452</v>
      </c>
      <c r="H648" s="104" t="str">
        <f t="shared" si="39"/>
        <v>F5143J20</v>
      </c>
      <c r="I648" s="104"/>
      <c r="J648" s="105">
        <v>21.78</v>
      </c>
      <c r="K648" s="106">
        <f>IF(D648="CAESARSTONE LTD",VLOOKUP(H648,'[2]GIA CA'!G:H,2,0),IF(OR(D648="STONE FACINGS LIMITED",D648="NORDIA SA",D648="INVICTUS STONE COUNTERTOPS INC",D648="QUARTZTOP LLC"),VLOOKUP(H648,'[2] Giá ngoài Mỹ - SI-GR'!$B$5:$AZ$84,51,0),IF(OR(D648="HYUNDAI L&amp;C CANADA INC",D648="Hyundai L&amp; C USA LLC"),VLOOKUP(H648,'[2]GIA HS'!A:D,4,0),IF(Y648="Mỹ",VLOOKUP(H648,'[2]giá mỹ từ 6.8.2025'!B:I,2,0),VLOOKUP(H648,'[2]giá ngoài mỹ 6.8.2025 (final)'!B:BP,51,0)))))</f>
        <v>62</v>
      </c>
      <c r="L648" s="106">
        <v>65.099999999999994</v>
      </c>
      <c r="M648" s="106">
        <f t="shared" si="38"/>
        <v>3.0999999999999943</v>
      </c>
      <c r="N648" s="106">
        <v>65.099999999999994</v>
      </c>
      <c r="O648" s="107">
        <v>1417.88</v>
      </c>
      <c r="P648" s="107">
        <v>26110</v>
      </c>
      <c r="Q648" s="107">
        <v>37020847</v>
      </c>
      <c r="R648" s="102" t="s">
        <v>30</v>
      </c>
      <c r="S648" s="108"/>
      <c r="T648" s="109"/>
      <c r="U648" s="109"/>
      <c r="V648" s="102"/>
      <c r="W648" s="109"/>
      <c r="X648" s="109"/>
      <c r="Y648" s="110" t="s">
        <v>358</v>
      </c>
      <c r="Z648" s="111" t="str">
        <f>MID(E648,4,2)</f>
        <v>CA</v>
      </c>
    </row>
    <row r="649" spans="1:26" s="111" customFormat="1" x14ac:dyDescent="0.2">
      <c r="A649" s="101">
        <v>46242</v>
      </c>
      <c r="B649" s="91" t="s">
        <v>852</v>
      </c>
      <c r="C649" s="102" t="s">
        <v>853</v>
      </c>
      <c r="D649" s="103" t="s">
        <v>26</v>
      </c>
      <c r="E649" s="91" t="s">
        <v>854</v>
      </c>
      <c r="F649" s="91" t="s">
        <v>869</v>
      </c>
      <c r="G649" s="91" t="s">
        <v>452</v>
      </c>
      <c r="H649" s="104" t="str">
        <f t="shared" si="39"/>
        <v>F5143J20</v>
      </c>
      <c r="I649" s="104"/>
      <c r="J649" s="105">
        <v>16.34</v>
      </c>
      <c r="K649" s="106">
        <f>IF(D649="CAESARSTONE LTD",VLOOKUP(H649,'[2]GIA CA'!G:H,2,0),IF(OR(D649="STONE FACINGS LIMITED",D649="NORDIA SA",D649="INVICTUS STONE COUNTERTOPS INC",D649="QUARTZTOP LLC"),VLOOKUP(H649,'[2] Giá ngoài Mỹ - SI-GR'!$B$5:$AZ$84,51,0),IF(OR(D649="HYUNDAI L&amp;C CANADA INC",D649="Hyundai L&amp; C USA LLC"),VLOOKUP(H649,'[2]GIA HS'!A:D,4,0),IF(Y649="Mỹ",VLOOKUP(H649,'[2]giá mỹ từ 6.8.2025'!B:I,2,0),VLOOKUP(H649,'[2]giá ngoài mỹ 6.8.2025 (final)'!B:BP,51,0)))))</f>
        <v>62</v>
      </c>
      <c r="L649" s="106">
        <v>65.099999999999994</v>
      </c>
      <c r="M649" s="106">
        <f t="shared" si="38"/>
        <v>3.0999999999999943</v>
      </c>
      <c r="N649" s="106">
        <v>65.099999999999994</v>
      </c>
      <c r="O649" s="107">
        <v>1063.74</v>
      </c>
      <c r="P649" s="107">
        <v>26110</v>
      </c>
      <c r="Q649" s="107">
        <v>27774251</v>
      </c>
      <c r="R649" s="102" t="s">
        <v>30</v>
      </c>
      <c r="S649" s="108"/>
      <c r="T649" s="109"/>
      <c r="U649" s="109"/>
      <c r="V649" s="102"/>
      <c r="W649" s="109"/>
      <c r="X649" s="109"/>
      <c r="Y649" s="110" t="s">
        <v>358</v>
      </c>
      <c r="Z649" s="111" t="str">
        <f>MID(E649,4,2)</f>
        <v>CA</v>
      </c>
    </row>
    <row r="650" spans="1:26" s="111" customFormat="1" x14ac:dyDescent="0.2">
      <c r="A650" s="101">
        <v>46242</v>
      </c>
      <c r="B650" s="91" t="s">
        <v>870</v>
      </c>
      <c r="C650" s="102" t="s">
        <v>871</v>
      </c>
      <c r="D650" s="103" t="s">
        <v>26</v>
      </c>
      <c r="E650" s="91" t="s">
        <v>872</v>
      </c>
      <c r="F650" s="91" t="s">
        <v>734</v>
      </c>
      <c r="G650" s="91" t="s">
        <v>735</v>
      </c>
      <c r="H650" s="104" t="str">
        <f t="shared" si="39"/>
        <v>F5171J20</v>
      </c>
      <c r="I650" s="104"/>
      <c r="J650" s="105">
        <v>3.13</v>
      </c>
      <c r="K650" s="106">
        <f>IF(D650="CAESARSTONE LTD",VLOOKUP(H650,'[2]GIA CA'!G:H,2,0),IF(OR(D650="STONE FACINGS LIMITED",D650="NORDIA SA",D650="INVICTUS STONE COUNTERTOPS INC",D650="QUARTZTOP LLC"),VLOOKUP(H650,'[2] Giá ngoài Mỹ - SI-GR'!$B$5:$AZ$84,51,0),IF(OR(D650="HYUNDAI L&amp;C CANADA INC",D650="Hyundai L&amp; C USA LLC"),VLOOKUP(H650,'[2]GIA HS'!A:D,4,0),IF(Y650="Mỹ",VLOOKUP(H650,'[2]giá mỹ từ 6.8.2025'!B:I,2,0),VLOOKUP(H650,'[2]giá ngoài mỹ 6.8.2025 (final)'!B:BP,51,0)))))</f>
        <v>62</v>
      </c>
      <c r="L650" s="106">
        <v>129.07</v>
      </c>
      <c r="M650" s="106">
        <f t="shared" si="38"/>
        <v>67.069999999999993</v>
      </c>
      <c r="N650" s="106">
        <v>129.07</v>
      </c>
      <c r="O650" s="107">
        <v>404</v>
      </c>
      <c r="P650" s="107">
        <v>26110</v>
      </c>
      <c r="Q650" s="107">
        <v>10548440</v>
      </c>
      <c r="R650" s="102"/>
      <c r="S650" s="108"/>
      <c r="T650" s="109" t="s">
        <v>30</v>
      </c>
      <c r="U650" s="109"/>
      <c r="V650" s="102"/>
      <c r="W650" s="109"/>
      <c r="X650" s="109"/>
      <c r="Y650" s="110" t="s">
        <v>358</v>
      </c>
      <c r="Z650" s="111" t="str">
        <f>MID(E650,4,2)</f>
        <v>CA</v>
      </c>
    </row>
    <row r="651" spans="1:26" s="111" customFormat="1" x14ac:dyDescent="0.2">
      <c r="A651" s="101">
        <v>46242</v>
      </c>
      <c r="B651" s="91" t="s">
        <v>870</v>
      </c>
      <c r="C651" s="102" t="s">
        <v>871</v>
      </c>
      <c r="D651" s="103" t="s">
        <v>26</v>
      </c>
      <c r="E651" s="91" t="s">
        <v>872</v>
      </c>
      <c r="F651" s="91" t="s">
        <v>734</v>
      </c>
      <c r="G651" s="91" t="s">
        <v>735</v>
      </c>
      <c r="H651" s="104" t="str">
        <f t="shared" si="39"/>
        <v>F5171J20</v>
      </c>
      <c r="I651" s="104"/>
      <c r="J651" s="105">
        <v>3.13</v>
      </c>
      <c r="K651" s="106">
        <f>IF(D651="CAESARSTONE LTD",VLOOKUP(H651,'[2]GIA CA'!G:H,2,0),IF(OR(D651="STONE FACINGS LIMITED",D651="NORDIA SA",D651="INVICTUS STONE COUNTERTOPS INC",D651="QUARTZTOP LLC"),VLOOKUP(H651,'[2] Giá ngoài Mỹ - SI-GR'!$B$5:$AZ$84,51,0),IF(OR(D651="HYUNDAI L&amp;C CANADA INC",D651="Hyundai L&amp; C USA LLC"),VLOOKUP(H651,'[2]GIA HS'!A:D,4,0),IF(Y651="Mỹ",VLOOKUP(H651,'[2]giá mỹ từ 6.8.2025'!B:I,2,0),VLOOKUP(H651,'[2]giá ngoài mỹ 6.8.2025 (final)'!B:BP,51,0)))))</f>
        <v>62</v>
      </c>
      <c r="L651" s="106">
        <v>129.07</v>
      </c>
      <c r="M651" s="106">
        <f t="shared" si="38"/>
        <v>67.069999999999993</v>
      </c>
      <c r="N651" s="106">
        <v>129.07</v>
      </c>
      <c r="O651" s="107">
        <v>404</v>
      </c>
      <c r="P651" s="107">
        <v>26110</v>
      </c>
      <c r="Q651" s="107">
        <v>10548440</v>
      </c>
      <c r="R651" s="102"/>
      <c r="S651" s="108"/>
      <c r="T651" s="109" t="s">
        <v>30</v>
      </c>
      <c r="U651" s="109"/>
      <c r="V651" s="102"/>
      <c r="W651" s="109"/>
      <c r="X651" s="109"/>
      <c r="Y651" s="110" t="s">
        <v>358</v>
      </c>
      <c r="Z651" s="111" t="str">
        <f>MID(E651,4,2)</f>
        <v>CA</v>
      </c>
    </row>
    <row r="652" spans="1:26" s="111" customFormat="1" x14ac:dyDescent="0.2">
      <c r="A652" s="101">
        <v>46242</v>
      </c>
      <c r="B652" s="91" t="s">
        <v>870</v>
      </c>
      <c r="C652" s="102" t="s">
        <v>871</v>
      </c>
      <c r="D652" s="103" t="s">
        <v>26</v>
      </c>
      <c r="E652" s="91" t="s">
        <v>872</v>
      </c>
      <c r="F652" s="91" t="s">
        <v>330</v>
      </c>
      <c r="G652" s="91" t="s">
        <v>331</v>
      </c>
      <c r="H652" s="104" t="str">
        <f t="shared" si="39"/>
        <v>C4033J20</v>
      </c>
      <c r="I652" s="104"/>
      <c r="J652" s="105">
        <v>3.75</v>
      </c>
      <c r="K652" s="106">
        <f>+L652</f>
        <v>94.72</v>
      </c>
      <c r="L652" s="106">
        <v>94.72</v>
      </c>
      <c r="M652" s="106">
        <f t="shared" si="38"/>
        <v>0</v>
      </c>
      <c r="N652" s="106">
        <v>94.72</v>
      </c>
      <c r="O652" s="107">
        <v>355.2</v>
      </c>
      <c r="P652" s="107">
        <v>26110</v>
      </c>
      <c r="Q652" s="107">
        <v>9274272</v>
      </c>
      <c r="R652" s="102"/>
      <c r="S652" s="108"/>
      <c r="T652" s="109" t="s">
        <v>30</v>
      </c>
      <c r="U652" s="109"/>
      <c r="V652" s="102"/>
      <c r="W652" s="109"/>
      <c r="X652" s="109"/>
      <c r="Y652" s="110" t="s">
        <v>358</v>
      </c>
      <c r="Z652" s="111" t="str">
        <f>MID(E652,4,2)</f>
        <v>CA</v>
      </c>
    </row>
    <row r="653" spans="1:26" s="111" customFormat="1" x14ac:dyDescent="0.2">
      <c r="A653" s="101">
        <v>46242</v>
      </c>
      <c r="B653" s="91" t="s">
        <v>870</v>
      </c>
      <c r="C653" s="102" t="s">
        <v>871</v>
      </c>
      <c r="D653" s="103" t="s">
        <v>26</v>
      </c>
      <c r="E653" s="91" t="s">
        <v>872</v>
      </c>
      <c r="F653" s="91" t="s">
        <v>190</v>
      </c>
      <c r="G653" s="91" t="s">
        <v>191</v>
      </c>
      <c r="H653" s="104" t="str">
        <f t="shared" si="39"/>
        <v>C6313J20</v>
      </c>
      <c r="I653" s="104"/>
      <c r="J653" s="105">
        <v>3.13</v>
      </c>
      <c r="K653" s="106">
        <f>IF(D653="CAESARSTONE LTD",VLOOKUP(H653,'[2]GIA CA'!G:H,2,0),IF(OR(D653="STONE FACINGS LIMITED",D653="NORDIA SA",D653="INVICTUS STONE COUNTERTOPS INC",D653="QUARTZTOP LLC"),VLOOKUP(H653,'[2] Giá ngoài Mỹ - SI-GR'!$B$5:$AZ$84,51,0),IF(OR(D653="HYUNDAI L&amp;C CANADA INC",D653="Hyundai L&amp; C USA LLC"),VLOOKUP(H653,'[2]GIA HS'!A:D,4,0),IF(Y653="Mỹ",VLOOKUP(H653,'[2]giá mỹ từ 6.8.2025'!B:I,2,0),VLOOKUP(H653,'[2]giá ngoài mỹ 6.8.2025 (final)'!B:BP,51,0)))))</f>
        <v>59</v>
      </c>
      <c r="L653" s="106">
        <v>129.07</v>
      </c>
      <c r="M653" s="106">
        <f t="shared" ref="M653:M716" si="41">L653-K653</f>
        <v>70.069999999999993</v>
      </c>
      <c r="N653" s="106">
        <v>129.07</v>
      </c>
      <c r="O653" s="107">
        <v>404</v>
      </c>
      <c r="P653" s="107">
        <v>26110</v>
      </c>
      <c r="Q653" s="107">
        <v>10548440</v>
      </c>
      <c r="R653" s="102"/>
      <c r="S653" s="108"/>
      <c r="T653" s="109" t="s">
        <v>30</v>
      </c>
      <c r="U653" s="109"/>
      <c r="V653" s="102"/>
      <c r="W653" s="109"/>
      <c r="X653" s="109"/>
      <c r="Y653" s="110" t="s">
        <v>358</v>
      </c>
      <c r="Z653" s="111" t="str">
        <f>MID(E653,4,2)</f>
        <v>CA</v>
      </c>
    </row>
    <row r="654" spans="1:26" s="111" customFormat="1" x14ac:dyDescent="0.2">
      <c r="A654" s="101">
        <v>46242</v>
      </c>
      <c r="B654" s="91" t="s">
        <v>870</v>
      </c>
      <c r="C654" s="102" t="s">
        <v>871</v>
      </c>
      <c r="D654" s="103" t="s">
        <v>26</v>
      </c>
      <c r="E654" s="91" t="s">
        <v>872</v>
      </c>
      <c r="F654" s="91" t="s">
        <v>190</v>
      </c>
      <c r="G654" s="91" t="s">
        <v>191</v>
      </c>
      <c r="H654" s="104" t="str">
        <f t="shared" ref="H654:H717" si="42">IF(LEN(G654)=13,LEFT(G654,5)&amp;MID(G654,SEARCH("-J",G654)+1,3),LEFT(G654,5)&amp;"J20")</f>
        <v>C6313J20</v>
      </c>
      <c r="I654" s="104"/>
      <c r="J654" s="105">
        <v>3.13</v>
      </c>
      <c r="K654" s="106">
        <f>IF(D654="CAESARSTONE LTD",VLOOKUP(H654,'[2]GIA CA'!G:H,2,0),IF(OR(D654="STONE FACINGS LIMITED",D654="NORDIA SA",D654="INVICTUS STONE COUNTERTOPS INC",D654="QUARTZTOP LLC"),VLOOKUP(H654,'[2] Giá ngoài Mỹ - SI-GR'!$B$5:$AZ$84,51,0),IF(OR(D654="HYUNDAI L&amp;C CANADA INC",D654="Hyundai L&amp; C USA LLC"),VLOOKUP(H654,'[2]GIA HS'!A:D,4,0),IF(Y654="Mỹ",VLOOKUP(H654,'[2]giá mỹ từ 6.8.2025'!B:I,2,0),VLOOKUP(H654,'[2]giá ngoài mỹ 6.8.2025 (final)'!B:BP,51,0)))))</f>
        <v>59</v>
      </c>
      <c r="L654" s="106">
        <v>129.07</v>
      </c>
      <c r="M654" s="106">
        <f t="shared" si="41"/>
        <v>70.069999999999993</v>
      </c>
      <c r="N654" s="106">
        <v>129.07</v>
      </c>
      <c r="O654" s="107">
        <v>404</v>
      </c>
      <c r="P654" s="107">
        <v>26110</v>
      </c>
      <c r="Q654" s="107">
        <v>10548440</v>
      </c>
      <c r="R654" s="102"/>
      <c r="S654" s="108"/>
      <c r="T654" s="109" t="s">
        <v>30</v>
      </c>
      <c r="U654" s="109"/>
      <c r="V654" s="102"/>
      <c r="W654" s="109"/>
      <c r="X654" s="109"/>
      <c r="Y654" s="110" t="s">
        <v>358</v>
      </c>
      <c r="Z654" s="111" t="str">
        <f>MID(E654,4,2)</f>
        <v>CA</v>
      </c>
    </row>
    <row r="655" spans="1:26" s="111" customFormat="1" x14ac:dyDescent="0.2">
      <c r="A655" s="101">
        <v>46242</v>
      </c>
      <c r="B655" s="91" t="s">
        <v>870</v>
      </c>
      <c r="C655" s="102" t="s">
        <v>871</v>
      </c>
      <c r="D655" s="103" t="s">
        <v>26</v>
      </c>
      <c r="E655" s="91" t="s">
        <v>872</v>
      </c>
      <c r="F655" s="91" t="s">
        <v>190</v>
      </c>
      <c r="G655" s="91" t="s">
        <v>191</v>
      </c>
      <c r="H655" s="104" t="str">
        <f t="shared" si="42"/>
        <v>C6313J20</v>
      </c>
      <c r="I655" s="104"/>
      <c r="J655" s="105">
        <v>3.13</v>
      </c>
      <c r="K655" s="106">
        <f>IF(D655="CAESARSTONE LTD",VLOOKUP(H655,'[2]GIA CA'!G:H,2,0),IF(OR(D655="STONE FACINGS LIMITED",D655="NORDIA SA",D655="INVICTUS STONE COUNTERTOPS INC",D655="QUARTZTOP LLC"),VLOOKUP(H655,'[2] Giá ngoài Mỹ - SI-GR'!$B$5:$AZ$84,51,0),IF(OR(D655="HYUNDAI L&amp;C CANADA INC",D655="Hyundai L&amp; C USA LLC"),VLOOKUP(H655,'[2]GIA HS'!A:D,4,0),IF(Y655="Mỹ",VLOOKUP(H655,'[2]giá mỹ từ 6.8.2025'!B:I,2,0),VLOOKUP(H655,'[2]giá ngoài mỹ 6.8.2025 (final)'!B:BP,51,0)))))</f>
        <v>59</v>
      </c>
      <c r="L655" s="106">
        <v>129.07</v>
      </c>
      <c r="M655" s="106">
        <f t="shared" si="41"/>
        <v>70.069999999999993</v>
      </c>
      <c r="N655" s="106">
        <v>129.07</v>
      </c>
      <c r="O655" s="107">
        <v>404</v>
      </c>
      <c r="P655" s="107">
        <v>26110</v>
      </c>
      <c r="Q655" s="107">
        <v>10548440</v>
      </c>
      <c r="R655" s="102"/>
      <c r="S655" s="108"/>
      <c r="T655" s="109" t="s">
        <v>30</v>
      </c>
      <c r="U655" s="109"/>
      <c r="V655" s="102"/>
      <c r="W655" s="109"/>
      <c r="X655" s="109"/>
      <c r="Y655" s="110" t="s">
        <v>358</v>
      </c>
      <c r="Z655" s="111" t="str">
        <f>MID(E655,4,2)</f>
        <v>CA</v>
      </c>
    </row>
    <row r="656" spans="1:26" s="111" customFormat="1" x14ac:dyDescent="0.2">
      <c r="A656" s="101">
        <v>46242</v>
      </c>
      <c r="B656" s="91" t="s">
        <v>870</v>
      </c>
      <c r="C656" s="102" t="s">
        <v>871</v>
      </c>
      <c r="D656" s="103" t="s">
        <v>26</v>
      </c>
      <c r="E656" s="91" t="s">
        <v>872</v>
      </c>
      <c r="F656" s="91" t="s">
        <v>873</v>
      </c>
      <c r="G656" s="91" t="s">
        <v>874</v>
      </c>
      <c r="H656" s="104" t="str">
        <f t="shared" si="42"/>
        <v>C5212J20</v>
      </c>
      <c r="I656" s="104"/>
      <c r="J656" s="105">
        <v>2.5499999999999998</v>
      </c>
      <c r="K656" s="106">
        <f>IF(D656="CAESARSTONE LTD",VLOOKUP(H656,'[2]GIA CA'!G:H,2,0),IF(OR(D656="STONE FACINGS LIMITED",D656="NORDIA SA",D656="INVICTUS STONE COUNTERTOPS INC",D656="QUARTZTOP LLC"),VLOOKUP(H656,'[2] Giá ngoài Mỹ - SI-GR'!$B$5:$AZ$84,51,0),IF(OR(D656="HYUNDAI L&amp;C CANADA INC",D656="Hyundai L&amp; C USA LLC"),VLOOKUP(H656,'[2]GIA HS'!A:D,4,0),IF(Y656="Mỹ",VLOOKUP(H656,'[2]giá mỹ từ 6.8.2025'!B:I,2,0),VLOOKUP(H656,'[2]giá ngoài mỹ 6.8.2025 (final)'!B:BP,51,0)))))</f>
        <v>59</v>
      </c>
      <c r="L656" s="106">
        <v>95.53</v>
      </c>
      <c r="M656" s="106">
        <f t="shared" si="41"/>
        <v>36.53</v>
      </c>
      <c r="N656" s="106">
        <v>95.53</v>
      </c>
      <c r="O656" s="107">
        <v>243.6</v>
      </c>
      <c r="P656" s="107">
        <v>26110</v>
      </c>
      <c r="Q656" s="107">
        <v>6360396</v>
      </c>
      <c r="R656" s="102"/>
      <c r="S656" s="108"/>
      <c r="T656" s="109" t="s">
        <v>30</v>
      </c>
      <c r="U656" s="109"/>
      <c r="V656" s="102"/>
      <c r="W656" s="109"/>
      <c r="X656" s="109"/>
      <c r="Y656" s="110" t="s">
        <v>358</v>
      </c>
      <c r="Z656" s="111" t="str">
        <f>MID(E656,4,2)</f>
        <v>CA</v>
      </c>
    </row>
    <row r="657" spans="1:26" s="111" customFormat="1" x14ac:dyDescent="0.2">
      <c r="A657" s="101">
        <v>46242</v>
      </c>
      <c r="B657" s="91" t="s">
        <v>870</v>
      </c>
      <c r="C657" s="102" t="s">
        <v>871</v>
      </c>
      <c r="D657" s="103" t="s">
        <v>26</v>
      </c>
      <c r="E657" s="91" t="s">
        <v>872</v>
      </c>
      <c r="F657" s="91" t="s">
        <v>875</v>
      </c>
      <c r="G657" s="91" t="s">
        <v>876</v>
      </c>
      <c r="H657" s="104" t="str">
        <f t="shared" si="42"/>
        <v>F5113J20</v>
      </c>
      <c r="I657" s="104"/>
      <c r="J657" s="105">
        <v>2.5499999999999998</v>
      </c>
      <c r="K657" s="106">
        <f>IF(D657="CAESARSTONE LTD",VLOOKUP(H657,'[2]GIA CA'!G:H,2,0),IF(OR(D657="STONE FACINGS LIMITED",D657="NORDIA SA",D657="INVICTUS STONE COUNTERTOPS INC",D657="QUARTZTOP LLC"),VLOOKUP(H657,'[2] Giá ngoài Mỹ - SI-GR'!$B$5:$AZ$84,51,0),IF(OR(D657="HYUNDAI L&amp;C CANADA INC",D657="Hyundai L&amp; C USA LLC"),VLOOKUP(H657,'[2]GIA HS'!A:D,4,0),IF(Y657="Mỹ",VLOOKUP(H657,'[2]giá mỹ từ 6.8.2025'!B:I,2,0),VLOOKUP(H657,'[2]giá ngoài mỹ 6.8.2025 (final)'!B:BP,51,0)))))</f>
        <v>62</v>
      </c>
      <c r="L657" s="106">
        <v>130.66999999999999</v>
      </c>
      <c r="M657" s="106">
        <f t="shared" si="41"/>
        <v>68.669999999999987</v>
      </c>
      <c r="N657" s="106">
        <v>130.66999999999999</v>
      </c>
      <c r="O657" s="107">
        <v>333.2</v>
      </c>
      <c r="P657" s="107">
        <v>26110</v>
      </c>
      <c r="Q657" s="107">
        <v>8699852</v>
      </c>
      <c r="R657" s="102"/>
      <c r="S657" s="108"/>
      <c r="T657" s="109" t="s">
        <v>30</v>
      </c>
      <c r="U657" s="109"/>
      <c r="V657" s="102"/>
      <c r="W657" s="109"/>
      <c r="X657" s="109"/>
      <c r="Y657" s="110" t="s">
        <v>358</v>
      </c>
      <c r="Z657" s="111" t="str">
        <f>MID(E657,4,2)</f>
        <v>CA</v>
      </c>
    </row>
    <row r="658" spans="1:26" s="111" customFormat="1" x14ac:dyDescent="0.2">
      <c r="A658" s="101">
        <v>46242</v>
      </c>
      <c r="B658" s="91" t="s">
        <v>870</v>
      </c>
      <c r="C658" s="102" t="s">
        <v>871</v>
      </c>
      <c r="D658" s="103" t="s">
        <v>26</v>
      </c>
      <c r="E658" s="91" t="s">
        <v>872</v>
      </c>
      <c r="F658" s="91" t="s">
        <v>110</v>
      </c>
      <c r="G658" s="91" t="s">
        <v>111</v>
      </c>
      <c r="H658" s="104" t="str">
        <f t="shared" si="42"/>
        <v>C4023J20</v>
      </c>
      <c r="I658" s="104"/>
      <c r="J658" s="105">
        <v>217.8</v>
      </c>
      <c r="K658" s="106">
        <f t="shared" ref="K658:K661" si="43">+L658</f>
        <v>59.9</v>
      </c>
      <c r="L658" s="106">
        <v>59.9</v>
      </c>
      <c r="M658" s="106">
        <f t="shared" si="41"/>
        <v>0</v>
      </c>
      <c r="N658" s="106">
        <v>59.9</v>
      </c>
      <c r="O658" s="107">
        <v>13046.4</v>
      </c>
      <c r="P658" s="107">
        <v>26110</v>
      </c>
      <c r="Q658" s="107">
        <v>340641504</v>
      </c>
      <c r="R658" s="102" t="s">
        <v>30</v>
      </c>
      <c r="S658" s="108"/>
      <c r="T658" s="109"/>
      <c r="U658" s="109"/>
      <c r="V658" s="102"/>
      <c r="W658" s="109"/>
      <c r="X658" s="109"/>
      <c r="Y658" s="110" t="s">
        <v>358</v>
      </c>
      <c r="Z658" s="111" t="str">
        <f>MID(E658,4,2)</f>
        <v>CA</v>
      </c>
    </row>
    <row r="659" spans="1:26" s="111" customFormat="1" x14ac:dyDescent="0.2">
      <c r="A659" s="101">
        <v>46242</v>
      </c>
      <c r="B659" s="91" t="s">
        <v>870</v>
      </c>
      <c r="C659" s="102" t="s">
        <v>871</v>
      </c>
      <c r="D659" s="103" t="s">
        <v>26</v>
      </c>
      <c r="E659" s="91" t="s">
        <v>872</v>
      </c>
      <c r="F659" s="91" t="s">
        <v>356</v>
      </c>
      <c r="G659" s="91" t="s">
        <v>357</v>
      </c>
      <c r="H659" s="104" t="str">
        <f t="shared" si="42"/>
        <v>C5222J20</v>
      </c>
      <c r="I659" s="104"/>
      <c r="J659" s="105">
        <v>310.37</v>
      </c>
      <c r="K659" s="106">
        <f t="shared" si="43"/>
        <v>59.9</v>
      </c>
      <c r="L659" s="106">
        <v>59.9</v>
      </c>
      <c r="M659" s="106">
        <f t="shared" si="41"/>
        <v>0</v>
      </c>
      <c r="N659" s="106">
        <v>59.9</v>
      </c>
      <c r="O659" s="107">
        <v>18591.12</v>
      </c>
      <c r="P659" s="107">
        <v>26110</v>
      </c>
      <c r="Q659" s="107">
        <v>485414143</v>
      </c>
      <c r="R659" s="102" t="s">
        <v>30</v>
      </c>
      <c r="S659" s="108"/>
      <c r="T659" s="109"/>
      <c r="U659" s="109"/>
      <c r="V659" s="102"/>
      <c r="W659" s="109"/>
      <c r="X659" s="109"/>
      <c r="Y659" s="110" t="s">
        <v>358</v>
      </c>
      <c r="Z659" s="111" t="str">
        <f>MID(E659,4,2)</f>
        <v>CA</v>
      </c>
    </row>
    <row r="660" spans="1:26" s="111" customFormat="1" x14ac:dyDescent="0.2">
      <c r="A660" s="101">
        <v>46242</v>
      </c>
      <c r="B660" s="91" t="s">
        <v>877</v>
      </c>
      <c r="C660" s="102" t="s">
        <v>878</v>
      </c>
      <c r="D660" s="103" t="s">
        <v>26</v>
      </c>
      <c r="E660" s="91" t="s">
        <v>879</v>
      </c>
      <c r="F660" s="91" t="s">
        <v>330</v>
      </c>
      <c r="G660" s="91" t="s">
        <v>331</v>
      </c>
      <c r="H660" s="104" t="str">
        <f t="shared" si="42"/>
        <v>C4033J20</v>
      </c>
      <c r="I660" s="104"/>
      <c r="J660" s="105">
        <v>3.13</v>
      </c>
      <c r="K660" s="106">
        <f t="shared" si="43"/>
        <v>94.57</v>
      </c>
      <c r="L660" s="106">
        <v>94.57</v>
      </c>
      <c r="M660" s="106">
        <f t="shared" si="41"/>
        <v>0</v>
      </c>
      <c r="N660" s="106">
        <v>94.57</v>
      </c>
      <c r="O660" s="107">
        <v>296</v>
      </c>
      <c r="P660" s="107">
        <v>26110</v>
      </c>
      <c r="Q660" s="107">
        <v>7728560</v>
      </c>
      <c r="R660" s="102"/>
      <c r="S660" s="108"/>
      <c r="T660" s="109" t="s">
        <v>30</v>
      </c>
      <c r="U660" s="109"/>
      <c r="V660" s="102"/>
      <c r="W660" s="109"/>
      <c r="X660" s="109"/>
      <c r="Y660" s="110" t="s">
        <v>358</v>
      </c>
      <c r="Z660" s="111" t="str">
        <f>MID(E660,4,2)</f>
        <v>CA</v>
      </c>
    </row>
    <row r="661" spans="1:26" s="111" customFormat="1" x14ac:dyDescent="0.2">
      <c r="A661" s="101">
        <v>46242</v>
      </c>
      <c r="B661" s="91" t="s">
        <v>877</v>
      </c>
      <c r="C661" s="102" t="s">
        <v>878</v>
      </c>
      <c r="D661" s="103" t="s">
        <v>26</v>
      </c>
      <c r="E661" s="91" t="s">
        <v>879</v>
      </c>
      <c r="F661" s="91" t="s">
        <v>330</v>
      </c>
      <c r="G661" s="91" t="s">
        <v>331</v>
      </c>
      <c r="H661" s="104" t="str">
        <f t="shared" si="42"/>
        <v>C4033J20</v>
      </c>
      <c r="I661" s="104"/>
      <c r="J661" s="105">
        <v>3.13</v>
      </c>
      <c r="K661" s="106">
        <f t="shared" si="43"/>
        <v>94.57</v>
      </c>
      <c r="L661" s="106">
        <v>94.57</v>
      </c>
      <c r="M661" s="106">
        <f t="shared" si="41"/>
        <v>0</v>
      </c>
      <c r="N661" s="106">
        <v>94.57</v>
      </c>
      <c r="O661" s="107">
        <v>296</v>
      </c>
      <c r="P661" s="107">
        <v>26110</v>
      </c>
      <c r="Q661" s="107">
        <v>7728560</v>
      </c>
      <c r="R661" s="102"/>
      <c r="S661" s="108"/>
      <c r="T661" s="109" t="s">
        <v>30</v>
      </c>
      <c r="U661" s="109"/>
      <c r="V661" s="102"/>
      <c r="W661" s="109"/>
      <c r="X661" s="109"/>
      <c r="Y661" s="110" t="s">
        <v>358</v>
      </c>
      <c r="Z661" s="111" t="str">
        <f>MID(E661,4,2)</f>
        <v>CA</v>
      </c>
    </row>
    <row r="662" spans="1:26" s="111" customFormat="1" x14ac:dyDescent="0.2">
      <c r="A662" s="101">
        <v>46242</v>
      </c>
      <c r="B662" s="91" t="s">
        <v>877</v>
      </c>
      <c r="C662" s="102" t="s">
        <v>878</v>
      </c>
      <c r="D662" s="103" t="s">
        <v>26</v>
      </c>
      <c r="E662" s="91" t="s">
        <v>879</v>
      </c>
      <c r="F662" s="91" t="s">
        <v>751</v>
      </c>
      <c r="G662" s="91" t="s">
        <v>752</v>
      </c>
      <c r="H662" s="104" t="str">
        <f t="shared" si="42"/>
        <v>C5151J20</v>
      </c>
      <c r="I662" s="104"/>
      <c r="J662" s="105">
        <v>3.13</v>
      </c>
      <c r="K662" s="106">
        <f>IF(D662="CAESARSTONE LTD",VLOOKUP(H662,'[2]GIA CA'!G:H,2,0),IF(OR(D662="STONE FACINGS LIMITED",D662="NORDIA SA",D662="INVICTUS STONE COUNTERTOPS INC",D662="QUARTZTOP LLC"),VLOOKUP(H662,'[2] Giá ngoài Mỹ - SI-GR'!$B$5:$AZ$84,51,0),IF(OR(D662="HYUNDAI L&amp;C CANADA INC",D662="Hyundai L&amp; C USA LLC"),VLOOKUP(H662,'[2]GIA HS'!A:D,4,0),IF(Y662="Mỹ",VLOOKUP(H662,'[2]giá mỹ từ 6.8.2025'!B:I,2,0),VLOOKUP(H662,'[2]giá ngoài mỹ 6.8.2025 (final)'!B:BP,51,0)))))</f>
        <v>65</v>
      </c>
      <c r="L662" s="106">
        <v>129.07</v>
      </c>
      <c r="M662" s="106">
        <f t="shared" si="41"/>
        <v>64.069999999999993</v>
      </c>
      <c r="N662" s="106">
        <v>129.07</v>
      </c>
      <c r="O662" s="106">
        <v>404</v>
      </c>
      <c r="P662" s="107">
        <v>26110</v>
      </c>
      <c r="Q662" s="107">
        <v>10548440</v>
      </c>
      <c r="R662" s="102"/>
      <c r="S662" s="108"/>
      <c r="T662" s="109" t="s">
        <v>30</v>
      </c>
      <c r="U662" s="109"/>
      <c r="V662" s="102"/>
      <c r="W662" s="109"/>
      <c r="X662" s="109"/>
      <c r="Y662" s="110" t="s">
        <v>358</v>
      </c>
      <c r="Z662" s="111" t="str">
        <f>MID(E662,4,2)</f>
        <v>CA</v>
      </c>
    </row>
    <row r="663" spans="1:26" s="111" customFormat="1" x14ac:dyDescent="0.2">
      <c r="A663" s="101">
        <v>46242</v>
      </c>
      <c r="B663" s="91" t="s">
        <v>877</v>
      </c>
      <c r="C663" s="102" t="s">
        <v>878</v>
      </c>
      <c r="D663" s="103" t="s">
        <v>26</v>
      </c>
      <c r="E663" s="91" t="s">
        <v>879</v>
      </c>
      <c r="F663" s="91" t="s">
        <v>751</v>
      </c>
      <c r="G663" s="91" t="s">
        <v>752</v>
      </c>
      <c r="H663" s="104" t="str">
        <f t="shared" si="42"/>
        <v>C5151J20</v>
      </c>
      <c r="I663" s="104"/>
      <c r="J663" s="105">
        <v>3.13</v>
      </c>
      <c r="K663" s="106">
        <f>IF(D663="CAESARSTONE LTD",VLOOKUP(H663,'[2]GIA CA'!G:H,2,0),IF(OR(D663="STONE FACINGS LIMITED",D663="NORDIA SA",D663="INVICTUS STONE COUNTERTOPS INC",D663="QUARTZTOP LLC"),VLOOKUP(H663,'[2] Giá ngoài Mỹ - SI-GR'!$B$5:$AZ$84,51,0),IF(OR(D663="HYUNDAI L&amp;C CANADA INC",D663="Hyundai L&amp; C USA LLC"),VLOOKUP(H663,'[2]GIA HS'!A:D,4,0),IF(Y663="Mỹ",VLOOKUP(H663,'[2]giá mỹ từ 6.8.2025'!B:I,2,0),VLOOKUP(H663,'[2]giá ngoài mỹ 6.8.2025 (final)'!B:BP,51,0)))))</f>
        <v>65</v>
      </c>
      <c r="L663" s="106">
        <v>129.07</v>
      </c>
      <c r="M663" s="106">
        <f t="shared" si="41"/>
        <v>64.069999999999993</v>
      </c>
      <c r="N663" s="106">
        <v>129.07</v>
      </c>
      <c r="O663" s="106">
        <v>404</v>
      </c>
      <c r="P663" s="107">
        <v>26110</v>
      </c>
      <c r="Q663" s="107">
        <v>10548440</v>
      </c>
      <c r="R663" s="102"/>
      <c r="S663" s="108"/>
      <c r="T663" s="109" t="s">
        <v>30</v>
      </c>
      <c r="U663" s="109"/>
      <c r="V663" s="102"/>
      <c r="W663" s="109"/>
      <c r="X663" s="109"/>
      <c r="Y663" s="110" t="s">
        <v>358</v>
      </c>
      <c r="Z663" s="111" t="str">
        <f>MID(E663,4,2)</f>
        <v>CA</v>
      </c>
    </row>
    <row r="664" spans="1:26" s="111" customFormat="1" x14ac:dyDescent="0.2">
      <c r="A664" s="101">
        <v>46242</v>
      </c>
      <c r="B664" s="91" t="s">
        <v>877</v>
      </c>
      <c r="C664" s="102" t="s">
        <v>878</v>
      </c>
      <c r="D664" s="103" t="s">
        <v>26</v>
      </c>
      <c r="E664" s="91" t="s">
        <v>879</v>
      </c>
      <c r="F664" s="91" t="s">
        <v>751</v>
      </c>
      <c r="G664" s="91" t="s">
        <v>752</v>
      </c>
      <c r="H664" s="104" t="str">
        <f t="shared" si="42"/>
        <v>C5151J20</v>
      </c>
      <c r="I664" s="104"/>
      <c r="J664" s="105">
        <v>3.13</v>
      </c>
      <c r="K664" s="106">
        <f>IF(D664="CAESARSTONE LTD",VLOOKUP(H664,'[2]GIA CA'!G:H,2,0),IF(OR(D664="STONE FACINGS LIMITED",D664="NORDIA SA",D664="INVICTUS STONE COUNTERTOPS INC",D664="QUARTZTOP LLC"),VLOOKUP(H664,'[2] Giá ngoài Mỹ - SI-GR'!$B$5:$AZ$84,51,0),IF(OR(D664="HYUNDAI L&amp;C CANADA INC",D664="Hyundai L&amp; C USA LLC"),VLOOKUP(H664,'[2]GIA HS'!A:D,4,0),IF(Y664="Mỹ",VLOOKUP(H664,'[2]giá mỹ từ 6.8.2025'!B:I,2,0),VLOOKUP(H664,'[2]giá ngoài mỹ 6.8.2025 (final)'!B:BP,51,0)))))</f>
        <v>65</v>
      </c>
      <c r="L664" s="106">
        <v>129.07</v>
      </c>
      <c r="M664" s="106">
        <f t="shared" si="41"/>
        <v>64.069999999999993</v>
      </c>
      <c r="N664" s="106">
        <v>129.07</v>
      </c>
      <c r="O664" s="106">
        <v>404</v>
      </c>
      <c r="P664" s="107">
        <v>26110</v>
      </c>
      <c r="Q664" s="107">
        <v>10548440</v>
      </c>
      <c r="R664" s="102"/>
      <c r="S664" s="108"/>
      <c r="T664" s="109" t="s">
        <v>30</v>
      </c>
      <c r="U664" s="109"/>
      <c r="V664" s="102"/>
      <c r="W664" s="109"/>
      <c r="X664" s="109"/>
      <c r="Y664" s="110" t="s">
        <v>358</v>
      </c>
      <c r="Z664" s="111" t="str">
        <f>MID(E664,4,2)</f>
        <v>CA</v>
      </c>
    </row>
    <row r="665" spans="1:26" s="111" customFormat="1" x14ac:dyDescent="0.2">
      <c r="A665" s="101">
        <v>46242</v>
      </c>
      <c r="B665" s="91" t="s">
        <v>877</v>
      </c>
      <c r="C665" s="102" t="s">
        <v>878</v>
      </c>
      <c r="D665" s="103" t="s">
        <v>26</v>
      </c>
      <c r="E665" s="91" t="s">
        <v>879</v>
      </c>
      <c r="F665" s="91" t="s">
        <v>257</v>
      </c>
      <c r="G665" s="91" t="s">
        <v>258</v>
      </c>
      <c r="H665" s="104" t="str">
        <f t="shared" si="42"/>
        <v>C4033J20</v>
      </c>
      <c r="I665" s="104"/>
      <c r="J665" s="105">
        <v>201.47</v>
      </c>
      <c r="K665" s="106">
        <f>+L665</f>
        <v>59.9</v>
      </c>
      <c r="L665" s="106">
        <v>59.9</v>
      </c>
      <c r="M665" s="106">
        <f t="shared" si="41"/>
        <v>0</v>
      </c>
      <c r="N665" s="106">
        <v>59.9</v>
      </c>
      <c r="O665" s="106">
        <v>12067.92</v>
      </c>
      <c r="P665" s="107">
        <v>26110</v>
      </c>
      <c r="Q665" s="107">
        <v>315093391</v>
      </c>
      <c r="R665" s="102" t="s">
        <v>30</v>
      </c>
      <c r="S665" s="108"/>
      <c r="T665" s="109"/>
      <c r="U665" s="109"/>
      <c r="V665" s="102"/>
      <c r="W665" s="109"/>
      <c r="X665" s="109"/>
      <c r="Y665" s="110" t="s">
        <v>358</v>
      </c>
      <c r="Z665" s="111" t="str">
        <f>MID(E665,4,2)</f>
        <v>CA</v>
      </c>
    </row>
    <row r="666" spans="1:26" s="111" customFormat="1" x14ac:dyDescent="0.2">
      <c r="A666" s="101">
        <v>46242</v>
      </c>
      <c r="B666" s="91" t="s">
        <v>877</v>
      </c>
      <c r="C666" s="102" t="s">
        <v>878</v>
      </c>
      <c r="D666" s="103" t="s">
        <v>26</v>
      </c>
      <c r="E666" s="91" t="s">
        <v>879</v>
      </c>
      <c r="F666" s="91" t="s">
        <v>259</v>
      </c>
      <c r="G666" s="91" t="s">
        <v>260</v>
      </c>
      <c r="H666" s="104" t="str">
        <f t="shared" si="42"/>
        <v>C5151J20</v>
      </c>
      <c r="I666" s="104"/>
      <c r="J666" s="105">
        <v>54.45</v>
      </c>
      <c r="K666" s="106">
        <f>IF(D666="CAESARSTONE LTD",VLOOKUP(H666,'[2]GIA CA'!G:H,2,0),IF(OR(D666="STONE FACINGS LIMITED",D666="NORDIA SA",D666="INVICTUS STONE COUNTERTOPS INC",D666="QUARTZTOP LLC"),VLOOKUP(H666,'[2] Giá ngoài Mỹ - SI-GR'!$B$5:$AZ$84,51,0),IF(OR(D666="HYUNDAI L&amp;C CANADA INC",D666="Hyundai L&amp; C USA LLC"),VLOOKUP(H666,'[2]GIA HS'!A:D,4,0),IF(Y666="Mỹ",VLOOKUP(H666,'[2]giá mỹ từ 6.8.2025'!B:I,2,0),VLOOKUP(H666,'[2]giá ngoài mỹ 6.8.2025 (final)'!B:BP,51,0)))))</f>
        <v>65</v>
      </c>
      <c r="L666" s="106">
        <v>65</v>
      </c>
      <c r="M666" s="106">
        <f t="shared" si="41"/>
        <v>0</v>
      </c>
      <c r="N666" s="106">
        <v>65</v>
      </c>
      <c r="O666" s="106">
        <v>3539.3</v>
      </c>
      <c r="P666" s="107">
        <v>26110</v>
      </c>
      <c r="Q666" s="107">
        <v>92411123</v>
      </c>
      <c r="R666" s="102" t="s">
        <v>30</v>
      </c>
      <c r="S666" s="108"/>
      <c r="T666" s="109"/>
      <c r="U666" s="109"/>
      <c r="V666" s="102"/>
      <c r="W666" s="109"/>
      <c r="X666" s="109"/>
      <c r="Y666" s="110" t="s">
        <v>358</v>
      </c>
      <c r="Z666" s="111" t="str">
        <f>MID(E666,4,2)</f>
        <v>CA</v>
      </c>
    </row>
    <row r="667" spans="1:26" s="111" customFormat="1" x14ac:dyDescent="0.2">
      <c r="A667" s="101">
        <v>46242</v>
      </c>
      <c r="B667" s="91" t="s">
        <v>877</v>
      </c>
      <c r="C667" s="102" t="s">
        <v>878</v>
      </c>
      <c r="D667" s="103" t="s">
        <v>26</v>
      </c>
      <c r="E667" s="91" t="s">
        <v>879</v>
      </c>
      <c r="F667" s="91" t="s">
        <v>356</v>
      </c>
      <c r="G667" s="91" t="s">
        <v>357</v>
      </c>
      <c r="H667" s="104" t="str">
        <f t="shared" si="42"/>
        <v>C5222J20</v>
      </c>
      <c r="I667" s="104"/>
      <c r="J667" s="105">
        <v>217.8</v>
      </c>
      <c r="K667" s="106">
        <f>+L667</f>
        <v>59.9</v>
      </c>
      <c r="L667" s="106">
        <v>59.9</v>
      </c>
      <c r="M667" s="106">
        <f t="shared" si="41"/>
        <v>0</v>
      </c>
      <c r="N667" s="106">
        <v>59.9</v>
      </c>
      <c r="O667" s="106">
        <v>13046.4</v>
      </c>
      <c r="P667" s="107">
        <v>26110</v>
      </c>
      <c r="Q667" s="107">
        <v>340641504</v>
      </c>
      <c r="R667" s="102" t="s">
        <v>30</v>
      </c>
      <c r="S667" s="108"/>
      <c r="T667" s="109"/>
      <c r="U667" s="109"/>
      <c r="V667" s="102"/>
      <c r="W667" s="109"/>
      <c r="X667" s="109"/>
      <c r="Y667" s="110" t="s">
        <v>358</v>
      </c>
      <c r="Z667" s="111" t="str">
        <f>MID(E667,4,2)</f>
        <v>CA</v>
      </c>
    </row>
    <row r="668" spans="1:26" s="111" customFormat="1" x14ac:dyDescent="0.2">
      <c r="A668" s="101">
        <v>46242</v>
      </c>
      <c r="B668" s="91" t="s">
        <v>877</v>
      </c>
      <c r="C668" s="102" t="s">
        <v>878</v>
      </c>
      <c r="D668" s="103" t="s">
        <v>26</v>
      </c>
      <c r="E668" s="91" t="s">
        <v>879</v>
      </c>
      <c r="F668" s="91" t="s">
        <v>379</v>
      </c>
      <c r="G668" s="91" t="s">
        <v>126</v>
      </c>
      <c r="H668" s="104" t="str">
        <f t="shared" si="42"/>
        <v>C6046J20</v>
      </c>
      <c r="I668" s="104"/>
      <c r="J668" s="105">
        <v>54.45</v>
      </c>
      <c r="K668" s="106">
        <f>IF(D668="CAESARSTONE LTD",VLOOKUP(H668,'[2]GIA CA'!G:H,2,0),IF(OR(D668="STONE FACINGS LIMITED",D668="NORDIA SA",D668="INVICTUS STONE COUNTERTOPS INC",D668="QUARTZTOP LLC"),VLOOKUP(H668,'[2] Giá ngoài Mỹ - SI-GR'!$B$5:$AZ$84,51,0),IF(OR(D668="HYUNDAI L&amp;C CANADA INC",D668="Hyundai L&amp; C USA LLC"),VLOOKUP(H668,'[2]GIA HS'!A:D,4,0),IF(Y668="Mỹ",VLOOKUP(H668,'[2]giá mỹ từ 6.8.2025'!B:I,2,0),VLOOKUP(H668,'[2]giá ngoài mỹ 6.8.2025 (final)'!B:BP,51,0)))))</f>
        <v>59</v>
      </c>
      <c r="L668" s="106">
        <v>62</v>
      </c>
      <c r="M668" s="106">
        <f t="shared" si="41"/>
        <v>3</v>
      </c>
      <c r="N668" s="106">
        <v>62</v>
      </c>
      <c r="O668" s="106">
        <v>3375.9</v>
      </c>
      <c r="P668" s="107">
        <v>26110</v>
      </c>
      <c r="Q668" s="107">
        <v>88144749</v>
      </c>
      <c r="R668" s="102" t="s">
        <v>30</v>
      </c>
      <c r="S668" s="108"/>
      <c r="T668" s="109"/>
      <c r="U668" s="109"/>
      <c r="V668" s="102"/>
      <c r="W668" s="109"/>
      <c r="X668" s="109"/>
      <c r="Y668" s="110" t="s">
        <v>358</v>
      </c>
      <c r="Z668" s="111" t="str">
        <f>MID(E668,4,2)</f>
        <v>CA</v>
      </c>
    </row>
    <row r="669" spans="1:26" s="111" customFormat="1" x14ac:dyDescent="0.2">
      <c r="A669" s="101">
        <v>46242</v>
      </c>
      <c r="B669" s="91" t="s">
        <v>880</v>
      </c>
      <c r="C669" s="102" t="s">
        <v>881</v>
      </c>
      <c r="D669" s="103" t="s">
        <v>26</v>
      </c>
      <c r="E669" s="91" t="s">
        <v>882</v>
      </c>
      <c r="F669" s="91" t="s">
        <v>296</v>
      </c>
      <c r="G669" s="91" t="s">
        <v>297</v>
      </c>
      <c r="H669" s="104" t="str">
        <f t="shared" si="42"/>
        <v>F5130J20</v>
      </c>
      <c r="I669" s="104"/>
      <c r="J669" s="105">
        <v>239.58</v>
      </c>
      <c r="K669" s="106">
        <f>IF(D669="CAESARSTONE LTD",VLOOKUP(H669,'[2]GIA CA'!G:H,2,0),IF(OR(D669="STONE FACINGS LIMITED",D669="NORDIA SA",D669="INVICTUS STONE COUNTERTOPS INC",D669="QUARTZTOP LLC"),VLOOKUP(H669,'[2] Giá ngoài Mỹ - SI-GR'!$B$5:$AZ$84,51,0),IF(OR(D669="HYUNDAI L&amp;C CANADA INC",D669="Hyundai L&amp; C USA LLC"),VLOOKUP(H669,'[2]GIA HS'!A:D,4,0),IF(Y669="Mỹ",VLOOKUP(H669,'[2]giá mỹ từ 6.8.2025'!B:I,2,0),VLOOKUP(H669,'[2]giá ngoài mỹ 6.8.2025 (final)'!B:BP,51,0)))))</f>
        <v>62</v>
      </c>
      <c r="L669" s="106">
        <v>65.099999999999994</v>
      </c>
      <c r="M669" s="106">
        <f t="shared" si="41"/>
        <v>3.0999999999999943</v>
      </c>
      <c r="N669" s="106">
        <v>65.099999999999994</v>
      </c>
      <c r="O669" s="106">
        <v>15596.68</v>
      </c>
      <c r="P669" s="107">
        <v>26110</v>
      </c>
      <c r="Q669" s="107">
        <v>407229315</v>
      </c>
      <c r="R669" s="102" t="s">
        <v>30</v>
      </c>
      <c r="S669" s="108"/>
      <c r="T669" s="109"/>
      <c r="U669" s="109"/>
      <c r="V669" s="102"/>
      <c r="W669" s="109"/>
      <c r="X669" s="109"/>
      <c r="Y669" s="110" t="s">
        <v>290</v>
      </c>
      <c r="Z669" s="111" t="str">
        <f>MID(E669,4,2)</f>
        <v>CA</v>
      </c>
    </row>
    <row r="670" spans="1:26" s="111" customFormat="1" x14ac:dyDescent="0.2">
      <c r="A670" s="101">
        <v>46242</v>
      </c>
      <c r="B670" s="91" t="s">
        <v>880</v>
      </c>
      <c r="C670" s="102" t="s">
        <v>881</v>
      </c>
      <c r="D670" s="103" t="s">
        <v>26</v>
      </c>
      <c r="E670" s="91" t="s">
        <v>882</v>
      </c>
      <c r="F670" s="91" t="s">
        <v>458</v>
      </c>
      <c r="G670" s="91" t="s">
        <v>459</v>
      </c>
      <c r="H670" s="104" t="str">
        <f t="shared" si="42"/>
        <v>F6131J20</v>
      </c>
      <c r="I670" s="104"/>
      <c r="J670" s="105">
        <v>223.25</v>
      </c>
      <c r="K670" s="106">
        <f>IF(D670="CAESARSTONE LTD",VLOOKUP(H670,'[2]GIA CA'!G:H,2,0),IF(OR(D670="STONE FACINGS LIMITED",D670="NORDIA SA",D670="INVICTUS STONE COUNTERTOPS INC",D670="QUARTZTOP LLC"),VLOOKUP(H670,'[2] Giá ngoài Mỹ - SI-GR'!$B$5:$AZ$84,51,0),IF(OR(D670="HYUNDAI L&amp;C CANADA INC",D670="Hyundai L&amp; C USA LLC"),VLOOKUP(H670,'[2]GIA HS'!A:D,4,0),IF(Y670="Mỹ",VLOOKUP(H670,'[2]giá mỹ từ 6.8.2025'!B:I,2,0),VLOOKUP(H670,'[2]giá ngoài mỹ 6.8.2025 (final)'!B:BP,51,0)))))</f>
        <v>62</v>
      </c>
      <c r="L670" s="106">
        <v>65.099999999999994</v>
      </c>
      <c r="M670" s="106">
        <f t="shared" si="41"/>
        <v>3.0999999999999943</v>
      </c>
      <c r="N670" s="106">
        <v>65.099999999999994</v>
      </c>
      <c r="O670" s="106">
        <v>14533.27</v>
      </c>
      <c r="P670" s="107">
        <v>26110</v>
      </c>
      <c r="Q670" s="107">
        <v>379463680</v>
      </c>
      <c r="R670" s="102" t="s">
        <v>30</v>
      </c>
      <c r="S670" s="108"/>
      <c r="T670" s="109"/>
      <c r="U670" s="109"/>
      <c r="V670" s="102"/>
      <c r="W670" s="109"/>
      <c r="X670" s="109"/>
      <c r="Y670" s="110" t="s">
        <v>290</v>
      </c>
      <c r="Z670" s="111" t="str">
        <f>MID(E670,4,2)</f>
        <v>CA</v>
      </c>
    </row>
    <row r="671" spans="1:26" s="111" customFormat="1" x14ac:dyDescent="0.2">
      <c r="A671" s="101">
        <v>46242</v>
      </c>
      <c r="B671" s="91" t="s">
        <v>883</v>
      </c>
      <c r="C671" s="102" t="s">
        <v>884</v>
      </c>
      <c r="D671" s="103" t="s">
        <v>26</v>
      </c>
      <c r="E671" s="91" t="s">
        <v>885</v>
      </c>
      <c r="F671" s="91" t="s">
        <v>886</v>
      </c>
      <c r="G671" s="91" t="s">
        <v>769</v>
      </c>
      <c r="H671" s="104" t="str">
        <f t="shared" si="42"/>
        <v>F5113J20</v>
      </c>
      <c r="I671" s="104"/>
      <c r="J671" s="105">
        <v>435.6</v>
      </c>
      <c r="K671" s="106">
        <f>IF(D671="CAESARSTONE LTD",VLOOKUP(H671,'[2]GIA CA'!G:H,2,0),IF(OR(D671="STONE FACINGS LIMITED",D671="NORDIA SA",D671="INVICTUS STONE COUNTERTOPS INC",D671="QUARTZTOP LLC"),VLOOKUP(H671,'[2] Giá ngoài Mỹ - SI-GR'!$B$5:$AZ$84,51,0),IF(OR(D671="HYUNDAI L&amp;C CANADA INC",D671="Hyundai L&amp; C USA LLC"),VLOOKUP(H671,'[2]GIA HS'!A:D,4,0),IF(Y671="Mỹ",VLOOKUP(H671,'[2]giá mỹ từ 6.8.2025'!B:I,2,0),VLOOKUP(H671,'[2]giá ngoài mỹ 6.8.2025 (final)'!B:BP,51,0)))))</f>
        <v>62</v>
      </c>
      <c r="L671" s="106">
        <v>65.099999999999994</v>
      </c>
      <c r="M671" s="106">
        <f t="shared" si="41"/>
        <v>3.0999999999999943</v>
      </c>
      <c r="N671" s="106">
        <v>65.099999999999994</v>
      </c>
      <c r="O671" s="106">
        <v>28357.599999999999</v>
      </c>
      <c r="P671" s="107">
        <v>26110</v>
      </c>
      <c r="Q671" s="107">
        <v>740416936</v>
      </c>
      <c r="R671" s="102" t="s">
        <v>30</v>
      </c>
      <c r="S671" s="108"/>
      <c r="T671" s="109"/>
      <c r="U671" s="109"/>
      <c r="V671" s="102"/>
      <c r="W671" s="109"/>
      <c r="X671" s="109"/>
      <c r="Y671" s="110" t="s">
        <v>290</v>
      </c>
      <c r="Z671" s="111" t="str">
        <f>MID(E671,4,2)</f>
        <v>CA</v>
      </c>
    </row>
    <row r="672" spans="1:26" s="111" customFormat="1" x14ac:dyDescent="0.2">
      <c r="A672" s="101">
        <v>46242</v>
      </c>
      <c r="B672" s="91" t="s">
        <v>883</v>
      </c>
      <c r="C672" s="102" t="s">
        <v>884</v>
      </c>
      <c r="D672" s="103" t="s">
        <v>26</v>
      </c>
      <c r="E672" s="91" t="s">
        <v>885</v>
      </c>
      <c r="F672" s="91" t="s">
        <v>768</v>
      </c>
      <c r="G672" s="91" t="s">
        <v>769</v>
      </c>
      <c r="H672" s="104" t="str">
        <f t="shared" si="42"/>
        <v>F5113J20</v>
      </c>
      <c r="I672" s="104"/>
      <c r="J672" s="105">
        <v>43.56</v>
      </c>
      <c r="K672" s="106">
        <f>IF(D672="CAESARSTONE LTD",VLOOKUP(H672,'[2]GIA CA'!G:H,2,0),IF(OR(D672="STONE FACINGS LIMITED",D672="NORDIA SA",D672="INVICTUS STONE COUNTERTOPS INC",D672="QUARTZTOP LLC"),VLOOKUP(H672,'[2] Giá ngoài Mỹ - SI-GR'!$B$5:$AZ$84,51,0),IF(OR(D672="HYUNDAI L&amp;C CANADA INC",D672="Hyundai L&amp; C USA LLC"),VLOOKUP(H672,'[2]GIA HS'!A:D,4,0),IF(Y672="Mỹ",VLOOKUP(H672,'[2]giá mỹ từ 6.8.2025'!B:I,2,0),VLOOKUP(H672,'[2]giá ngoài mỹ 6.8.2025 (final)'!B:BP,51,0)))))</f>
        <v>62</v>
      </c>
      <c r="L672" s="106">
        <v>65.099999999999994</v>
      </c>
      <c r="M672" s="106">
        <f t="shared" si="41"/>
        <v>3.0999999999999943</v>
      </c>
      <c r="N672" s="106">
        <v>65.099999999999994</v>
      </c>
      <c r="O672" s="106">
        <v>2835.76</v>
      </c>
      <c r="P672" s="107">
        <v>26110</v>
      </c>
      <c r="Q672" s="107">
        <v>74041694</v>
      </c>
      <c r="R672" s="102" t="s">
        <v>30</v>
      </c>
      <c r="S672" s="108"/>
      <c r="T672" s="109"/>
      <c r="U672" s="109"/>
      <c r="V672" s="102"/>
      <c r="W672" s="109"/>
      <c r="X672" s="109"/>
      <c r="Y672" s="110" t="s">
        <v>290</v>
      </c>
      <c r="Z672" s="111" t="str">
        <f>MID(E672,4,2)</f>
        <v>CA</v>
      </c>
    </row>
    <row r="673" spans="1:26" s="111" customFormat="1" x14ac:dyDescent="0.2">
      <c r="A673" s="101">
        <v>46242</v>
      </c>
      <c r="B673" s="91" t="s">
        <v>883</v>
      </c>
      <c r="C673" s="102" t="s">
        <v>884</v>
      </c>
      <c r="D673" s="103" t="s">
        <v>26</v>
      </c>
      <c r="E673" s="91" t="s">
        <v>885</v>
      </c>
      <c r="F673" s="91" t="s">
        <v>284</v>
      </c>
      <c r="G673" s="91" t="s">
        <v>283</v>
      </c>
      <c r="H673" s="104" t="str">
        <f t="shared" si="42"/>
        <v>F5100J20</v>
      </c>
      <c r="I673" s="104"/>
      <c r="J673" s="105">
        <v>239.58</v>
      </c>
      <c r="K673" s="106">
        <f>IF(D673="CAESARSTONE LTD",VLOOKUP(H673,'[2]GIA CA'!G:H,2,0),IF(OR(D673="STONE FACINGS LIMITED",D673="NORDIA SA",D673="INVICTUS STONE COUNTERTOPS INC",D673="QUARTZTOP LLC"),VLOOKUP(H673,'[2] Giá ngoài Mỹ - SI-GR'!$B$5:$AZ$84,51,0),IF(OR(D673="HYUNDAI L&amp;C CANADA INC",D673="Hyundai L&amp; C USA LLC"),VLOOKUP(H673,'[2]GIA HS'!A:D,4,0),IF(Y673="Mỹ",VLOOKUP(H673,'[2]giá mỹ từ 6.8.2025'!B:I,2,0),VLOOKUP(H673,'[2]giá ngoài mỹ 6.8.2025 (final)'!B:BP,51,0)))))</f>
        <v>62</v>
      </c>
      <c r="L673" s="106">
        <v>65.099999999999994</v>
      </c>
      <c r="M673" s="106">
        <f t="shared" si="41"/>
        <v>3.0999999999999943</v>
      </c>
      <c r="N673" s="106">
        <v>65.099999999999994</v>
      </c>
      <c r="O673" s="106">
        <v>15596.68</v>
      </c>
      <c r="P673" s="107">
        <v>26110</v>
      </c>
      <c r="Q673" s="107">
        <v>407229315</v>
      </c>
      <c r="R673" s="102" t="s">
        <v>30</v>
      </c>
      <c r="S673" s="108"/>
      <c r="T673" s="109"/>
      <c r="U673" s="109"/>
      <c r="V673" s="102"/>
      <c r="W673" s="109"/>
      <c r="X673" s="109"/>
      <c r="Y673" s="110" t="s">
        <v>290</v>
      </c>
      <c r="Z673" s="111" t="str">
        <f>MID(E673,4,2)</f>
        <v>CA</v>
      </c>
    </row>
    <row r="674" spans="1:26" s="111" customFormat="1" x14ac:dyDescent="0.2">
      <c r="A674" s="101">
        <v>46242</v>
      </c>
      <c r="B674" s="91" t="s">
        <v>883</v>
      </c>
      <c r="C674" s="102" t="s">
        <v>884</v>
      </c>
      <c r="D674" s="103" t="s">
        <v>26</v>
      </c>
      <c r="E674" s="91" t="s">
        <v>885</v>
      </c>
      <c r="F674" s="91" t="s">
        <v>887</v>
      </c>
      <c r="G674" s="91" t="s">
        <v>888</v>
      </c>
      <c r="H674" s="104" t="str">
        <f t="shared" si="42"/>
        <v>F5444J20</v>
      </c>
      <c r="I674" s="104"/>
      <c r="J674" s="105">
        <v>239.58</v>
      </c>
      <c r="K674" s="106">
        <f>IF(D674="CAESARSTONE LTD",VLOOKUP(H674,'[2]GIA CA'!G:H,2,0),IF(OR(D674="STONE FACINGS LIMITED",D674="NORDIA SA",D674="INVICTUS STONE COUNTERTOPS INC",D674="QUARTZTOP LLC"),VLOOKUP(H674,'[2] Giá ngoài Mỹ - SI-GR'!$B$5:$AZ$84,51,0),IF(OR(D674="HYUNDAI L&amp;C CANADA INC",D674="Hyundai L&amp; C USA LLC"),VLOOKUP(H674,'[2]GIA HS'!A:D,4,0),IF(Y674="Mỹ",VLOOKUP(H674,'[2]giá mỹ từ 6.8.2025'!B:I,2,0),VLOOKUP(H674,'[2]giá ngoài mỹ 6.8.2025 (final)'!B:BP,51,0)))))</f>
        <v>74</v>
      </c>
      <c r="L674" s="106">
        <v>77.7</v>
      </c>
      <c r="M674" s="106">
        <f t="shared" si="41"/>
        <v>3.7000000000000028</v>
      </c>
      <c r="N674" s="106">
        <v>77.7</v>
      </c>
      <c r="O674" s="106">
        <v>18615.52</v>
      </c>
      <c r="P674" s="107">
        <v>26110</v>
      </c>
      <c r="Q674" s="107">
        <v>486051227</v>
      </c>
      <c r="R674" s="102" t="s">
        <v>30</v>
      </c>
      <c r="S674" s="108"/>
      <c r="T674" s="109"/>
      <c r="U674" s="109"/>
      <c r="V674" s="102"/>
      <c r="W674" s="109"/>
      <c r="X674" s="109"/>
      <c r="Y674" s="110" t="s">
        <v>290</v>
      </c>
      <c r="Z674" s="111" t="str">
        <f>MID(E674,4,2)</f>
        <v>CA</v>
      </c>
    </row>
    <row r="675" spans="1:26" s="111" customFormat="1" x14ac:dyDescent="0.2">
      <c r="A675" s="101">
        <v>46242</v>
      </c>
      <c r="B675" s="91" t="s">
        <v>883</v>
      </c>
      <c r="C675" s="102" t="s">
        <v>884</v>
      </c>
      <c r="D675" s="103" t="s">
        <v>26</v>
      </c>
      <c r="E675" s="91" t="s">
        <v>885</v>
      </c>
      <c r="F675" s="91" t="s">
        <v>562</v>
      </c>
      <c r="G675" s="91" t="s">
        <v>563</v>
      </c>
      <c r="H675" s="104" t="str">
        <f t="shared" si="42"/>
        <v>F5441J20</v>
      </c>
      <c r="I675" s="104"/>
      <c r="J675" s="105">
        <v>103.46</v>
      </c>
      <c r="K675" s="106">
        <f>IF(D675="CAESARSTONE LTD",VLOOKUP(H675,'[2]GIA CA'!G:H,2,0),IF(OR(D675="STONE FACINGS LIMITED",D675="NORDIA SA",D675="INVICTUS STONE COUNTERTOPS INC",D675="QUARTZTOP LLC"),VLOOKUP(H675,'[2] Giá ngoài Mỹ - SI-GR'!$B$5:$AZ$84,51,0),IF(OR(D675="HYUNDAI L&amp;C CANADA INC",D675="Hyundai L&amp; C USA LLC"),VLOOKUP(H675,'[2]GIA HS'!A:D,4,0),IF(Y675="Mỹ",VLOOKUP(H675,'[2]giá mỹ từ 6.8.2025'!B:I,2,0),VLOOKUP(H675,'[2]giá ngoài mỹ 6.8.2025 (final)'!B:BP,51,0)))))</f>
        <v>74</v>
      </c>
      <c r="L675" s="106">
        <v>77.7</v>
      </c>
      <c r="M675" s="106">
        <f t="shared" si="41"/>
        <v>3.7000000000000028</v>
      </c>
      <c r="N675" s="106">
        <v>77.7</v>
      </c>
      <c r="O675" s="106">
        <v>8038.91</v>
      </c>
      <c r="P675" s="107">
        <v>26110</v>
      </c>
      <c r="Q675" s="107">
        <v>209895940</v>
      </c>
      <c r="R675" s="102" t="s">
        <v>30</v>
      </c>
      <c r="S675" s="108"/>
      <c r="T675" s="109"/>
      <c r="U675" s="109"/>
      <c r="V675" s="102"/>
      <c r="W675" s="109"/>
      <c r="X675" s="109"/>
      <c r="Y675" s="110" t="s">
        <v>290</v>
      </c>
      <c r="Z675" s="111" t="str">
        <f>MID(E675,4,2)</f>
        <v>CA</v>
      </c>
    </row>
    <row r="676" spans="1:26" s="111" customFormat="1" x14ac:dyDescent="0.2">
      <c r="A676" s="101">
        <v>46242</v>
      </c>
      <c r="B676" s="91" t="s">
        <v>883</v>
      </c>
      <c r="C676" s="102" t="s">
        <v>884</v>
      </c>
      <c r="D676" s="103" t="s">
        <v>26</v>
      </c>
      <c r="E676" s="91" t="s">
        <v>885</v>
      </c>
      <c r="F676" s="91" t="s">
        <v>889</v>
      </c>
      <c r="G676" s="91" t="s">
        <v>563</v>
      </c>
      <c r="H676" s="104" t="str">
        <f t="shared" si="42"/>
        <v>F5441J20</v>
      </c>
      <c r="I676" s="104"/>
      <c r="J676" s="105">
        <v>375.7</v>
      </c>
      <c r="K676" s="106">
        <f>IF(D676="CAESARSTONE LTD",VLOOKUP(H676,'[2]GIA CA'!G:H,2,0),IF(OR(D676="STONE FACINGS LIMITED",D676="NORDIA SA",D676="INVICTUS STONE COUNTERTOPS INC",D676="QUARTZTOP LLC"),VLOOKUP(H676,'[2] Giá ngoài Mỹ - SI-GR'!$B$5:$AZ$84,51,0),IF(OR(D676="HYUNDAI L&amp;C CANADA INC",D676="Hyundai L&amp; C USA LLC"),VLOOKUP(H676,'[2]GIA HS'!A:D,4,0),IF(Y676="Mỹ",VLOOKUP(H676,'[2]giá mỹ từ 6.8.2025'!B:I,2,0),VLOOKUP(H676,'[2]giá ngoài mỹ 6.8.2025 (final)'!B:BP,51,0)))))</f>
        <v>74</v>
      </c>
      <c r="L676" s="106">
        <v>77.7</v>
      </c>
      <c r="M676" s="106">
        <f t="shared" si="41"/>
        <v>3.7000000000000028</v>
      </c>
      <c r="N676" s="106">
        <v>77.7</v>
      </c>
      <c r="O676" s="106">
        <v>29192.13</v>
      </c>
      <c r="P676" s="107">
        <v>26110</v>
      </c>
      <c r="Q676" s="107">
        <v>762206514</v>
      </c>
      <c r="R676" s="102" t="s">
        <v>30</v>
      </c>
      <c r="S676" s="108"/>
      <c r="T676" s="109"/>
      <c r="U676" s="109"/>
      <c r="V676" s="102"/>
      <c r="W676" s="109"/>
      <c r="X676" s="109"/>
      <c r="Y676" s="110" t="s">
        <v>290</v>
      </c>
      <c r="Z676" s="111" t="str">
        <f>MID(E676,4,2)</f>
        <v>CA</v>
      </c>
    </row>
    <row r="677" spans="1:26" s="111" customFormat="1" x14ac:dyDescent="0.2">
      <c r="A677" s="101">
        <v>46244</v>
      </c>
      <c r="B677" s="91" t="s">
        <v>890</v>
      </c>
      <c r="C677" s="102" t="s">
        <v>891</v>
      </c>
      <c r="D677" s="103" t="s">
        <v>215</v>
      </c>
      <c r="E677" s="91" t="s">
        <v>892</v>
      </c>
      <c r="F677" s="91" t="s">
        <v>893</v>
      </c>
      <c r="G677" s="91" t="s">
        <v>894</v>
      </c>
      <c r="H677" s="104" t="str">
        <f t="shared" si="42"/>
        <v>C4143J20</v>
      </c>
      <c r="I677" s="104"/>
      <c r="J677" s="105">
        <v>1.94</v>
      </c>
      <c r="K677" s="106"/>
      <c r="L677" s="106">
        <v>0</v>
      </c>
      <c r="M677" s="106">
        <f t="shared" si="41"/>
        <v>0</v>
      </c>
      <c r="N677" s="106">
        <v>60</v>
      </c>
      <c r="O677" s="106">
        <v>116.4</v>
      </c>
      <c r="P677" s="107">
        <v>26040</v>
      </c>
      <c r="Q677" s="107">
        <v>3031056</v>
      </c>
      <c r="R677" s="102"/>
      <c r="S677" s="108"/>
      <c r="T677" s="109"/>
      <c r="U677" s="109" t="s">
        <v>30</v>
      </c>
      <c r="V677" s="102"/>
      <c r="W677" s="109"/>
      <c r="X677" s="109"/>
      <c r="Y677" s="110" t="s">
        <v>31</v>
      </c>
      <c r="Z677" s="111" t="str">
        <f>MID(E677,4,2)</f>
        <v>DM</v>
      </c>
    </row>
    <row r="678" spans="1:26" s="111" customFormat="1" x14ac:dyDescent="0.2">
      <c r="A678" s="101">
        <v>46244</v>
      </c>
      <c r="B678" s="91" t="s">
        <v>890</v>
      </c>
      <c r="C678" s="102" t="s">
        <v>891</v>
      </c>
      <c r="D678" s="103" t="s">
        <v>215</v>
      </c>
      <c r="E678" s="91" t="s">
        <v>892</v>
      </c>
      <c r="F678" s="91" t="s">
        <v>895</v>
      </c>
      <c r="G678" s="91" t="s">
        <v>896</v>
      </c>
      <c r="H678" s="104" t="str">
        <f t="shared" si="42"/>
        <v>C4143J30</v>
      </c>
      <c r="I678" s="104"/>
      <c r="J678" s="105">
        <v>299.48</v>
      </c>
      <c r="K678" s="106">
        <f>IF(D678="CAESARSTONE LTD",VLOOKUP(H678,'[2]GIA CA'!G:H,2,0),IF(OR(D678="STONE FACINGS LIMITED",D678="NORDIA SA",D678="INVICTUS STONE COUNTERTOPS INC",D678="QUARTZTOP LLC"),VLOOKUP(H678,'[2] Giá ngoài Mỹ - SI-GR'!$B$5:$AZ$84,51,0),IF(OR(D678="HYUNDAI L&amp;C CANADA INC",D678="Hyundai L&amp; C USA LLC"),VLOOKUP(H678,'[2]GIA HS'!A:D,4,0),IF(Y678="Mỹ",VLOOKUP(H678,'[2]giá mỹ từ 6.8.2025'!B:I,2,0),VLOOKUP(H678,'[2]giá ngoài mỹ 6.8.2025 (final)'!B:BP,51,0)))))</f>
        <v>71</v>
      </c>
      <c r="L678" s="106">
        <v>75.599999999999994</v>
      </c>
      <c r="M678" s="106">
        <f t="shared" si="41"/>
        <v>4.5999999999999943</v>
      </c>
      <c r="N678" s="106">
        <v>75.209999999999994</v>
      </c>
      <c r="O678" s="107">
        <v>22524.29</v>
      </c>
      <c r="P678" s="107">
        <v>26040</v>
      </c>
      <c r="Q678" s="107">
        <v>586532512</v>
      </c>
      <c r="R678" s="102" t="s">
        <v>30</v>
      </c>
      <c r="S678" s="108"/>
      <c r="T678" s="109"/>
      <c r="U678" s="109"/>
      <c r="V678" s="102"/>
      <c r="W678" s="109"/>
      <c r="X678" s="109"/>
      <c r="Y678" s="110" t="s">
        <v>31</v>
      </c>
      <c r="Z678" s="111" t="str">
        <f>MID(E678,4,2)</f>
        <v>DM</v>
      </c>
    </row>
    <row r="679" spans="1:26" s="111" customFormat="1" x14ac:dyDescent="0.2">
      <c r="A679" s="101">
        <v>46244</v>
      </c>
      <c r="B679" s="91" t="s">
        <v>897</v>
      </c>
      <c r="C679" s="102" t="s">
        <v>898</v>
      </c>
      <c r="D679" s="103" t="s">
        <v>215</v>
      </c>
      <c r="E679" s="91" t="s">
        <v>899</v>
      </c>
      <c r="F679" s="91" t="s">
        <v>893</v>
      </c>
      <c r="G679" s="91" t="s">
        <v>894</v>
      </c>
      <c r="H679" s="104" t="str">
        <f t="shared" si="42"/>
        <v>C4143J20</v>
      </c>
      <c r="I679" s="104"/>
      <c r="J679" s="105">
        <v>1.94</v>
      </c>
      <c r="K679" s="106"/>
      <c r="L679" s="106">
        <v>0</v>
      </c>
      <c r="M679" s="106">
        <f t="shared" si="41"/>
        <v>0</v>
      </c>
      <c r="N679" s="106">
        <v>60</v>
      </c>
      <c r="O679" s="107">
        <v>116.4</v>
      </c>
      <c r="P679" s="107">
        <v>26040</v>
      </c>
      <c r="Q679" s="107">
        <v>3031056</v>
      </c>
      <c r="R679" s="102"/>
      <c r="S679" s="108"/>
      <c r="T679" s="109"/>
      <c r="U679" s="109" t="s">
        <v>30</v>
      </c>
      <c r="V679" s="102"/>
      <c r="W679" s="109"/>
      <c r="X679" s="109"/>
      <c r="Y679" s="110" t="s">
        <v>31</v>
      </c>
      <c r="Z679" s="111" t="str">
        <f>MID(E679,4,2)</f>
        <v>DM</v>
      </c>
    </row>
    <row r="680" spans="1:26" s="111" customFormat="1" x14ac:dyDescent="0.2">
      <c r="A680" s="101">
        <v>46244</v>
      </c>
      <c r="B680" s="91" t="s">
        <v>897</v>
      </c>
      <c r="C680" s="102" t="s">
        <v>898</v>
      </c>
      <c r="D680" s="103" t="s">
        <v>215</v>
      </c>
      <c r="E680" s="91" t="s">
        <v>899</v>
      </c>
      <c r="F680" s="91" t="s">
        <v>895</v>
      </c>
      <c r="G680" s="91" t="s">
        <v>896</v>
      </c>
      <c r="H680" s="104" t="str">
        <f t="shared" si="42"/>
        <v>C4143J30</v>
      </c>
      <c r="I680" s="104"/>
      <c r="J680" s="105">
        <v>299.48</v>
      </c>
      <c r="K680" s="106">
        <f>IF(D680="CAESARSTONE LTD",VLOOKUP(H680,'[2]GIA CA'!G:H,2,0),IF(OR(D680="STONE FACINGS LIMITED",D680="NORDIA SA",D680="INVICTUS STONE COUNTERTOPS INC",D680="QUARTZTOP LLC"),VLOOKUP(H680,'[2] Giá ngoài Mỹ - SI-GR'!$B$5:$AZ$84,51,0),IF(OR(D680="HYUNDAI L&amp;C CANADA INC",D680="Hyundai L&amp; C USA LLC"),VLOOKUP(H680,'[2]GIA HS'!A:D,4,0),IF(Y680="Mỹ",VLOOKUP(H680,'[2]giá mỹ từ 6.8.2025'!B:I,2,0),VLOOKUP(H680,'[2]giá ngoài mỹ 6.8.2025 (final)'!B:BP,51,0)))))</f>
        <v>71</v>
      </c>
      <c r="L680" s="106">
        <v>75.599999999999994</v>
      </c>
      <c r="M680" s="106">
        <f t="shared" si="41"/>
        <v>4.5999999999999943</v>
      </c>
      <c r="N680" s="106">
        <v>75.209999999999994</v>
      </c>
      <c r="O680" s="107">
        <v>22524.29</v>
      </c>
      <c r="P680" s="107">
        <v>26040</v>
      </c>
      <c r="Q680" s="107">
        <v>586532512</v>
      </c>
      <c r="R680" s="102" t="s">
        <v>30</v>
      </c>
      <c r="S680" s="108"/>
      <c r="T680" s="109"/>
      <c r="U680" s="109"/>
      <c r="V680" s="102"/>
      <c r="W680" s="109"/>
      <c r="X680" s="109"/>
      <c r="Y680" s="110" t="s">
        <v>31</v>
      </c>
      <c r="Z680" s="111" t="str">
        <f>MID(E680,4,2)</f>
        <v>DM</v>
      </c>
    </row>
    <row r="681" spans="1:26" s="111" customFormat="1" x14ac:dyDescent="0.2">
      <c r="A681" s="101">
        <v>46244</v>
      </c>
      <c r="B681" s="91" t="s">
        <v>900</v>
      </c>
      <c r="C681" s="102" t="s">
        <v>901</v>
      </c>
      <c r="D681" s="103" t="s">
        <v>490</v>
      </c>
      <c r="E681" s="91" t="s">
        <v>902</v>
      </c>
      <c r="F681" s="91" t="s">
        <v>492</v>
      </c>
      <c r="G681" s="91" t="s">
        <v>493</v>
      </c>
      <c r="H681" s="104" t="str">
        <f t="shared" si="42"/>
        <v>C4143J30</v>
      </c>
      <c r="I681" s="104"/>
      <c r="J681" s="105">
        <v>10.89</v>
      </c>
      <c r="K681" s="106">
        <v>20</v>
      </c>
      <c r="L681" s="106">
        <v>20</v>
      </c>
      <c r="M681" s="106">
        <f t="shared" si="41"/>
        <v>0</v>
      </c>
      <c r="N681" s="106">
        <v>20</v>
      </c>
      <c r="O681" s="107">
        <v>217.8</v>
      </c>
      <c r="P681" s="107">
        <v>26040</v>
      </c>
      <c r="Q681" s="107">
        <v>5671512</v>
      </c>
      <c r="R681" s="102" t="s">
        <v>30</v>
      </c>
      <c r="S681" s="108"/>
      <c r="T681" s="109"/>
      <c r="U681" s="109"/>
      <c r="V681" s="102"/>
      <c r="W681" s="109"/>
      <c r="X681" s="109"/>
      <c r="Y681" s="110" t="s">
        <v>494</v>
      </c>
      <c r="Z681" s="111" t="str">
        <f>MID(E681,4,2)</f>
        <v>JO</v>
      </c>
    </row>
    <row r="682" spans="1:26" s="111" customFormat="1" x14ac:dyDescent="0.2">
      <c r="A682" s="101">
        <v>46244</v>
      </c>
      <c r="B682" s="91" t="s">
        <v>900</v>
      </c>
      <c r="C682" s="102" t="s">
        <v>901</v>
      </c>
      <c r="D682" s="103" t="s">
        <v>490</v>
      </c>
      <c r="E682" s="91" t="s">
        <v>902</v>
      </c>
      <c r="F682" s="91" t="s">
        <v>492</v>
      </c>
      <c r="G682" s="91" t="s">
        <v>493</v>
      </c>
      <c r="H682" s="104" t="str">
        <f t="shared" si="42"/>
        <v>C4143J30</v>
      </c>
      <c r="I682" s="104"/>
      <c r="J682" s="105">
        <v>5.45</v>
      </c>
      <c r="K682" s="106">
        <v>20</v>
      </c>
      <c r="L682" s="106">
        <v>20</v>
      </c>
      <c r="M682" s="106">
        <f t="shared" si="41"/>
        <v>0</v>
      </c>
      <c r="N682" s="106">
        <v>20</v>
      </c>
      <c r="O682" s="107">
        <v>109</v>
      </c>
      <c r="P682" s="107">
        <v>26040</v>
      </c>
      <c r="Q682" s="107">
        <v>2838360</v>
      </c>
      <c r="R682" s="102" t="s">
        <v>30</v>
      </c>
      <c r="S682" s="108"/>
      <c r="T682" s="109"/>
      <c r="U682" s="109"/>
      <c r="V682" s="102"/>
      <c r="W682" s="109"/>
      <c r="X682" s="109"/>
      <c r="Y682" s="110" t="s">
        <v>494</v>
      </c>
      <c r="Z682" s="111" t="str">
        <f>MID(E682,4,2)</f>
        <v>JO</v>
      </c>
    </row>
    <row r="683" spans="1:26" s="111" customFormat="1" x14ac:dyDescent="0.2">
      <c r="A683" s="101">
        <v>46244</v>
      </c>
      <c r="B683" s="91" t="s">
        <v>900</v>
      </c>
      <c r="C683" s="102" t="s">
        <v>901</v>
      </c>
      <c r="D683" s="103" t="s">
        <v>490</v>
      </c>
      <c r="E683" s="91" t="s">
        <v>902</v>
      </c>
      <c r="F683" s="91" t="s">
        <v>903</v>
      </c>
      <c r="G683" s="91" t="s">
        <v>493</v>
      </c>
      <c r="H683" s="104" t="str">
        <f t="shared" si="42"/>
        <v>C4143J30</v>
      </c>
      <c r="I683" s="104"/>
      <c r="J683" s="105">
        <v>27.22</v>
      </c>
      <c r="K683" s="106">
        <v>20</v>
      </c>
      <c r="L683" s="106">
        <v>20</v>
      </c>
      <c r="M683" s="106">
        <f t="shared" si="41"/>
        <v>0</v>
      </c>
      <c r="N683" s="106">
        <v>20</v>
      </c>
      <c r="O683" s="106">
        <v>544.4</v>
      </c>
      <c r="P683" s="107">
        <v>26040</v>
      </c>
      <c r="Q683" s="107">
        <v>14176176</v>
      </c>
      <c r="R683" s="102" t="s">
        <v>30</v>
      </c>
      <c r="S683" s="108"/>
      <c r="T683" s="109"/>
      <c r="U683" s="109"/>
      <c r="V683" s="102"/>
      <c r="W683" s="109"/>
      <c r="X683" s="109"/>
      <c r="Y683" s="110" t="s">
        <v>494</v>
      </c>
      <c r="Z683" s="111" t="str">
        <f>MID(E683,4,2)</f>
        <v>JO</v>
      </c>
    </row>
    <row r="684" spans="1:26" s="111" customFormat="1" x14ac:dyDescent="0.2">
      <c r="A684" s="101">
        <v>46244</v>
      </c>
      <c r="B684" s="91" t="s">
        <v>900</v>
      </c>
      <c r="C684" s="102" t="s">
        <v>901</v>
      </c>
      <c r="D684" s="103" t="s">
        <v>490</v>
      </c>
      <c r="E684" s="91" t="s">
        <v>902</v>
      </c>
      <c r="F684" s="91" t="s">
        <v>904</v>
      </c>
      <c r="G684" s="91" t="s">
        <v>905</v>
      </c>
      <c r="H684" s="104" t="str">
        <f t="shared" si="42"/>
        <v>C4202J30</v>
      </c>
      <c r="I684" s="104"/>
      <c r="J684" s="105">
        <v>43.56</v>
      </c>
      <c r="K684" s="106">
        <v>20</v>
      </c>
      <c r="L684" s="106">
        <v>22.8</v>
      </c>
      <c r="M684" s="106">
        <f t="shared" si="41"/>
        <v>2.8000000000000007</v>
      </c>
      <c r="N684" s="106">
        <v>22.8</v>
      </c>
      <c r="O684" s="107">
        <v>993.17</v>
      </c>
      <c r="P684" s="107">
        <v>26040</v>
      </c>
      <c r="Q684" s="107">
        <v>25862147</v>
      </c>
      <c r="R684" s="102" t="s">
        <v>30</v>
      </c>
      <c r="S684" s="108"/>
      <c r="T684" s="109"/>
      <c r="U684" s="109"/>
      <c r="V684" s="102"/>
      <c r="W684" s="109"/>
      <c r="X684" s="109"/>
      <c r="Y684" s="110" t="s">
        <v>494</v>
      </c>
      <c r="Z684" s="111" t="str">
        <f>MID(E684,4,2)</f>
        <v>JO</v>
      </c>
    </row>
    <row r="685" spans="1:26" s="111" customFormat="1" x14ac:dyDescent="0.2">
      <c r="A685" s="101">
        <v>46244</v>
      </c>
      <c r="B685" s="91" t="s">
        <v>900</v>
      </c>
      <c r="C685" s="102" t="s">
        <v>901</v>
      </c>
      <c r="D685" s="103" t="s">
        <v>490</v>
      </c>
      <c r="E685" s="91" t="s">
        <v>902</v>
      </c>
      <c r="F685" s="91" t="s">
        <v>906</v>
      </c>
      <c r="G685" s="91" t="s">
        <v>905</v>
      </c>
      <c r="H685" s="104" t="str">
        <f t="shared" si="42"/>
        <v>C4202J30</v>
      </c>
      <c r="I685" s="104"/>
      <c r="J685" s="105">
        <v>10.89</v>
      </c>
      <c r="K685" s="106">
        <v>20</v>
      </c>
      <c r="L685" s="106">
        <v>22.8</v>
      </c>
      <c r="M685" s="106">
        <f t="shared" si="41"/>
        <v>2.8000000000000007</v>
      </c>
      <c r="N685" s="106">
        <v>22.8</v>
      </c>
      <c r="O685" s="107">
        <v>248.29</v>
      </c>
      <c r="P685" s="107">
        <v>26040</v>
      </c>
      <c r="Q685" s="107">
        <v>6465472</v>
      </c>
      <c r="R685" s="102" t="s">
        <v>30</v>
      </c>
      <c r="S685" s="108"/>
      <c r="T685" s="109"/>
      <c r="U685" s="109"/>
      <c r="V685" s="102"/>
      <c r="W685" s="109"/>
      <c r="X685" s="109"/>
      <c r="Y685" s="110" t="s">
        <v>494</v>
      </c>
      <c r="Z685" s="111" t="str">
        <f>MID(E685,4,2)</f>
        <v>JO</v>
      </c>
    </row>
    <row r="686" spans="1:26" s="111" customFormat="1" x14ac:dyDescent="0.2">
      <c r="A686" s="101">
        <v>46244</v>
      </c>
      <c r="B686" s="91" t="s">
        <v>900</v>
      </c>
      <c r="C686" s="102" t="s">
        <v>901</v>
      </c>
      <c r="D686" s="103" t="s">
        <v>490</v>
      </c>
      <c r="E686" s="91" t="s">
        <v>902</v>
      </c>
      <c r="F686" s="91" t="s">
        <v>907</v>
      </c>
      <c r="G686" s="91" t="s">
        <v>908</v>
      </c>
      <c r="H686" s="104" t="str">
        <f t="shared" si="42"/>
        <v>C5445J30</v>
      </c>
      <c r="I686" s="104"/>
      <c r="J686" s="105">
        <v>125.24</v>
      </c>
      <c r="K686" s="106">
        <v>20</v>
      </c>
      <c r="L686" s="106">
        <v>20</v>
      </c>
      <c r="M686" s="106">
        <f t="shared" si="41"/>
        <v>0</v>
      </c>
      <c r="N686" s="106">
        <v>20</v>
      </c>
      <c r="O686" s="107">
        <v>2504.8000000000002</v>
      </c>
      <c r="P686" s="107">
        <v>26040</v>
      </c>
      <c r="Q686" s="107">
        <v>65224992</v>
      </c>
      <c r="R686" s="102" t="s">
        <v>30</v>
      </c>
      <c r="S686" s="108"/>
      <c r="T686" s="109"/>
      <c r="U686" s="109"/>
      <c r="V686" s="102"/>
      <c r="W686" s="109"/>
      <c r="X686" s="109"/>
      <c r="Y686" s="110" t="s">
        <v>494</v>
      </c>
      <c r="Z686" s="111" t="str">
        <f>MID(E686,4,2)</f>
        <v>JO</v>
      </c>
    </row>
    <row r="687" spans="1:26" s="111" customFormat="1" x14ac:dyDescent="0.2">
      <c r="A687" s="101">
        <v>46244</v>
      </c>
      <c r="B687" s="91" t="s">
        <v>900</v>
      </c>
      <c r="C687" s="102" t="s">
        <v>901</v>
      </c>
      <c r="D687" s="103" t="s">
        <v>490</v>
      </c>
      <c r="E687" s="91" t="s">
        <v>902</v>
      </c>
      <c r="F687" s="91" t="s">
        <v>909</v>
      </c>
      <c r="G687" s="91" t="s">
        <v>908</v>
      </c>
      <c r="H687" s="104" t="str">
        <f t="shared" si="42"/>
        <v>C5445J30</v>
      </c>
      <c r="I687" s="104"/>
      <c r="J687" s="105">
        <v>76.23</v>
      </c>
      <c r="K687" s="106">
        <v>20</v>
      </c>
      <c r="L687" s="106">
        <v>20</v>
      </c>
      <c r="M687" s="106">
        <f t="shared" si="41"/>
        <v>0</v>
      </c>
      <c r="N687" s="106">
        <v>20</v>
      </c>
      <c r="O687" s="107">
        <v>1524.6</v>
      </c>
      <c r="P687" s="107">
        <v>26040</v>
      </c>
      <c r="Q687" s="107">
        <v>39700584</v>
      </c>
      <c r="R687" s="102" t="s">
        <v>30</v>
      </c>
      <c r="S687" s="108"/>
      <c r="T687" s="109"/>
      <c r="U687" s="109"/>
      <c r="V687" s="102"/>
      <c r="W687" s="109"/>
      <c r="X687" s="109"/>
      <c r="Y687" s="110" t="s">
        <v>494</v>
      </c>
      <c r="Z687" s="111" t="str">
        <f>MID(E687,4,2)</f>
        <v>JO</v>
      </c>
    </row>
    <row r="688" spans="1:26" s="111" customFormat="1" x14ac:dyDescent="0.2">
      <c r="A688" s="101">
        <v>46244</v>
      </c>
      <c r="B688" s="91" t="s">
        <v>900</v>
      </c>
      <c r="C688" s="102" t="s">
        <v>901</v>
      </c>
      <c r="D688" s="103" t="s">
        <v>490</v>
      </c>
      <c r="E688" s="91" t="s">
        <v>902</v>
      </c>
      <c r="F688" s="91" t="s">
        <v>910</v>
      </c>
      <c r="G688" s="91" t="s">
        <v>911</v>
      </c>
      <c r="H688" s="104" t="str">
        <f t="shared" si="42"/>
        <v>F4143J30</v>
      </c>
      <c r="I688" s="104"/>
      <c r="J688" s="105">
        <v>21.78</v>
      </c>
      <c r="K688" s="106">
        <f t="shared" ref="K688:K689" si="44">+L688</f>
        <v>20</v>
      </c>
      <c r="L688" s="106">
        <v>20</v>
      </c>
      <c r="M688" s="106">
        <f t="shared" si="41"/>
        <v>0</v>
      </c>
      <c r="N688" s="106">
        <v>20</v>
      </c>
      <c r="O688" s="107">
        <v>435.6</v>
      </c>
      <c r="P688" s="107">
        <v>26040</v>
      </c>
      <c r="Q688" s="107">
        <v>11343024</v>
      </c>
      <c r="R688" s="102" t="s">
        <v>30</v>
      </c>
      <c r="S688" s="108"/>
      <c r="T688" s="109"/>
      <c r="U688" s="109"/>
      <c r="V688" s="102"/>
      <c r="W688" s="109"/>
      <c r="X688" s="109"/>
      <c r="Y688" s="110" t="s">
        <v>494</v>
      </c>
      <c r="Z688" s="111" t="str">
        <f>MID(E688,4,2)</f>
        <v>JO</v>
      </c>
    </row>
    <row r="689" spans="1:26" s="111" customFormat="1" x14ac:dyDescent="0.2">
      <c r="A689" s="101">
        <v>46244</v>
      </c>
      <c r="B689" s="91" t="s">
        <v>900</v>
      </c>
      <c r="C689" s="102" t="s">
        <v>901</v>
      </c>
      <c r="D689" s="103" t="s">
        <v>490</v>
      </c>
      <c r="E689" s="91" t="s">
        <v>902</v>
      </c>
      <c r="F689" s="91" t="s">
        <v>912</v>
      </c>
      <c r="G689" s="91" t="s">
        <v>911</v>
      </c>
      <c r="H689" s="104" t="str">
        <f t="shared" si="42"/>
        <v>F4143J30</v>
      </c>
      <c r="I689" s="104"/>
      <c r="J689" s="105">
        <v>21.78</v>
      </c>
      <c r="K689" s="106">
        <f t="shared" si="44"/>
        <v>20</v>
      </c>
      <c r="L689" s="106">
        <v>20</v>
      </c>
      <c r="M689" s="106">
        <f t="shared" si="41"/>
        <v>0</v>
      </c>
      <c r="N689" s="106">
        <v>20</v>
      </c>
      <c r="O689" s="107">
        <v>435.6</v>
      </c>
      <c r="P689" s="107">
        <v>26040</v>
      </c>
      <c r="Q689" s="107">
        <v>11343024</v>
      </c>
      <c r="R689" s="102" t="s">
        <v>30</v>
      </c>
      <c r="S689" s="108"/>
      <c r="T689" s="109"/>
      <c r="U689" s="109"/>
      <c r="V689" s="102"/>
      <c r="W689" s="109"/>
      <c r="X689" s="109"/>
      <c r="Y689" s="110" t="s">
        <v>494</v>
      </c>
      <c r="Z689" s="111" t="str">
        <f>MID(E689,4,2)</f>
        <v>JO</v>
      </c>
    </row>
    <row r="690" spans="1:26" s="111" customFormat="1" x14ac:dyDescent="0.2">
      <c r="A690" s="101">
        <v>46244</v>
      </c>
      <c r="B690" s="91" t="s">
        <v>900</v>
      </c>
      <c r="C690" s="102" t="s">
        <v>901</v>
      </c>
      <c r="D690" s="103" t="s">
        <v>490</v>
      </c>
      <c r="E690" s="91" t="s">
        <v>902</v>
      </c>
      <c r="F690" s="91" t="s">
        <v>913</v>
      </c>
      <c r="G690" s="91" t="s">
        <v>914</v>
      </c>
      <c r="H690" s="104" t="str">
        <f t="shared" si="42"/>
        <v>F5233J30</v>
      </c>
      <c r="I690" s="104"/>
      <c r="J690" s="105">
        <v>38.119999999999997</v>
      </c>
      <c r="K690" s="106">
        <v>20</v>
      </c>
      <c r="L690" s="106">
        <v>20</v>
      </c>
      <c r="M690" s="106">
        <f t="shared" si="41"/>
        <v>0</v>
      </c>
      <c r="N690" s="106">
        <v>20</v>
      </c>
      <c r="O690" s="107">
        <v>762.4</v>
      </c>
      <c r="P690" s="107">
        <v>26040</v>
      </c>
      <c r="Q690" s="107">
        <v>19852896</v>
      </c>
      <c r="R690" s="102" t="s">
        <v>30</v>
      </c>
      <c r="S690" s="108"/>
      <c r="T690" s="109"/>
      <c r="U690" s="109"/>
      <c r="V690" s="102"/>
      <c r="W690" s="109"/>
      <c r="X690" s="109"/>
      <c r="Y690" s="110" t="s">
        <v>494</v>
      </c>
      <c r="Z690" s="111" t="str">
        <f>MID(E690,4,2)</f>
        <v>JO</v>
      </c>
    </row>
    <row r="691" spans="1:26" s="111" customFormat="1" x14ac:dyDescent="0.2">
      <c r="A691" s="101">
        <v>46244</v>
      </c>
      <c r="B691" s="91" t="s">
        <v>915</v>
      </c>
      <c r="C691" s="102" t="s">
        <v>916</v>
      </c>
      <c r="D691" s="103" t="s">
        <v>47</v>
      </c>
      <c r="E691" s="91" t="s">
        <v>917</v>
      </c>
      <c r="F691" s="91" t="s">
        <v>918</v>
      </c>
      <c r="G691" s="91" t="s">
        <v>57</v>
      </c>
      <c r="H691" s="104" t="str">
        <f t="shared" si="42"/>
        <v>C4342J20</v>
      </c>
      <c r="I691" s="104"/>
      <c r="J691" s="105">
        <v>473.72</v>
      </c>
      <c r="K691" s="106">
        <f>IF(D691="CAESARSTONE LTD",VLOOKUP(H691,'[2]GIA CA'!G:H,2,0),IF(OR(D691="STONE FACINGS LIMITED",D691="NORDIA SA",D691="INVICTUS STONE COUNTERTOPS INC",D691="QUARTZTOP LLC"),VLOOKUP(H691,'[2] Giá ngoài Mỹ - SI-GR'!$B$5:$AZ$84,51,0),IF(OR(D691="HYUNDAI L&amp;C CANADA INC",D691="Hyundai L&amp; C USA LLC"),VLOOKUP(H691,'[2]GIA HS'!A:D,4,0),IF(Y691="Mỹ",VLOOKUP(H691,'[2]giá mỹ từ 6.8.2025'!B:I,2,0),VLOOKUP(H691,'[2]giá ngoài mỹ 6.8.2025 (final)'!B:BP,51,0)))))</f>
        <v>64</v>
      </c>
      <c r="L691" s="106">
        <v>70.349999999999994</v>
      </c>
      <c r="M691" s="106">
        <f t="shared" si="41"/>
        <v>6.3499999999999943</v>
      </c>
      <c r="N691" s="106">
        <v>70.349999999999994</v>
      </c>
      <c r="O691" s="107">
        <v>33326.22</v>
      </c>
      <c r="P691" s="107">
        <v>26040</v>
      </c>
      <c r="Q691" s="107">
        <v>867814769</v>
      </c>
      <c r="R691" s="102" t="s">
        <v>30</v>
      </c>
      <c r="S691" s="108"/>
      <c r="T691" s="109"/>
      <c r="U691" s="109"/>
      <c r="V691" s="102"/>
      <c r="W691" s="109"/>
      <c r="X691" s="109"/>
      <c r="Y691" s="110" t="s">
        <v>31</v>
      </c>
      <c r="Z691" s="111" t="str">
        <f>MID(E691,4,2)</f>
        <v>AT</v>
      </c>
    </row>
    <row r="692" spans="1:26" s="111" customFormat="1" x14ac:dyDescent="0.2">
      <c r="A692" s="101">
        <v>46244</v>
      </c>
      <c r="B692" s="91" t="s">
        <v>915</v>
      </c>
      <c r="C692" s="102" t="s">
        <v>916</v>
      </c>
      <c r="D692" s="103" t="s">
        <v>47</v>
      </c>
      <c r="E692" s="91" t="s">
        <v>917</v>
      </c>
      <c r="F692" s="91" t="s">
        <v>918</v>
      </c>
      <c r="G692" s="91" t="s">
        <v>57</v>
      </c>
      <c r="H692" s="104" t="str">
        <f t="shared" si="42"/>
        <v>C4342J20</v>
      </c>
      <c r="I692" s="104"/>
      <c r="J692" s="105">
        <v>419.27</v>
      </c>
      <c r="K692" s="106">
        <f>IF(D692="CAESARSTONE LTD",VLOOKUP(H692,'[2]GIA CA'!G:H,2,0),IF(OR(D692="STONE FACINGS LIMITED",D692="NORDIA SA",D692="INVICTUS STONE COUNTERTOPS INC",D692="QUARTZTOP LLC"),VLOOKUP(H692,'[2] Giá ngoài Mỹ - SI-GR'!$B$5:$AZ$84,51,0),IF(OR(D692="HYUNDAI L&amp;C CANADA INC",D692="Hyundai L&amp; C USA LLC"),VLOOKUP(H692,'[2]GIA HS'!A:D,4,0),IF(Y692="Mỹ",VLOOKUP(H692,'[2]giá mỹ từ 6.8.2025'!B:I,2,0),VLOOKUP(H692,'[2]giá ngoài mỹ 6.8.2025 (final)'!B:BP,51,0)))))</f>
        <v>64</v>
      </c>
      <c r="L692" s="106">
        <v>70.349999999999994</v>
      </c>
      <c r="M692" s="106">
        <f t="shared" si="41"/>
        <v>6.3499999999999943</v>
      </c>
      <c r="N692" s="106">
        <v>70.349999999999994</v>
      </c>
      <c r="O692" s="107">
        <v>29495.66</v>
      </c>
      <c r="P692" s="107">
        <v>26040</v>
      </c>
      <c r="Q692" s="107">
        <v>768066986</v>
      </c>
      <c r="R692" s="102" t="s">
        <v>30</v>
      </c>
      <c r="S692" s="108"/>
      <c r="T692" s="109"/>
      <c r="U692" s="109"/>
      <c r="V692" s="102"/>
      <c r="W692" s="109"/>
      <c r="X692" s="109"/>
      <c r="Y692" s="110" t="s">
        <v>31</v>
      </c>
      <c r="Z692" s="111" t="str">
        <f>MID(E692,4,2)</f>
        <v>AT</v>
      </c>
    </row>
    <row r="693" spans="1:26" s="111" customFormat="1" x14ac:dyDescent="0.2">
      <c r="A693" s="101">
        <v>46244</v>
      </c>
      <c r="B693" s="91" t="s">
        <v>915</v>
      </c>
      <c r="C693" s="102" t="s">
        <v>916</v>
      </c>
      <c r="D693" s="103" t="s">
        <v>47</v>
      </c>
      <c r="E693" s="91" t="s">
        <v>917</v>
      </c>
      <c r="F693" s="91" t="s">
        <v>56</v>
      </c>
      <c r="G693" s="91" t="s">
        <v>57</v>
      </c>
      <c r="H693" s="104" t="str">
        <f t="shared" si="42"/>
        <v>C4342J20</v>
      </c>
      <c r="I693" s="104"/>
      <c r="J693" s="105">
        <v>54.45</v>
      </c>
      <c r="K693" s="106">
        <f>IF(D693="CAESARSTONE LTD",VLOOKUP(H693,'[2]GIA CA'!G:H,2,0),IF(OR(D693="STONE FACINGS LIMITED",D693="NORDIA SA",D693="INVICTUS STONE COUNTERTOPS INC",D693="QUARTZTOP LLC"),VLOOKUP(H693,'[2] Giá ngoài Mỹ - SI-GR'!$B$5:$AZ$84,51,0),IF(OR(D693="HYUNDAI L&amp;C CANADA INC",D693="Hyundai L&amp; C USA LLC"),VLOOKUP(H693,'[2]GIA HS'!A:D,4,0),IF(Y693="Mỹ",VLOOKUP(H693,'[2]giá mỹ từ 6.8.2025'!B:I,2,0),VLOOKUP(H693,'[2]giá ngoài mỹ 6.8.2025 (final)'!B:BP,51,0)))))</f>
        <v>64</v>
      </c>
      <c r="L693" s="106">
        <v>70.349999999999994</v>
      </c>
      <c r="M693" s="106">
        <f t="shared" si="41"/>
        <v>6.3499999999999943</v>
      </c>
      <c r="N693" s="106">
        <v>70.349999999999994</v>
      </c>
      <c r="O693" s="107">
        <v>3830.56</v>
      </c>
      <c r="P693" s="107">
        <v>26040</v>
      </c>
      <c r="Q693" s="107">
        <v>99747782</v>
      </c>
      <c r="R693" s="102" t="s">
        <v>30</v>
      </c>
      <c r="S693" s="108"/>
      <c r="T693" s="109"/>
      <c r="U693" s="109"/>
      <c r="V693" s="102"/>
      <c r="W693" s="109"/>
      <c r="X693" s="109"/>
      <c r="Y693" s="110" t="s">
        <v>31</v>
      </c>
      <c r="Z693" s="111" t="str">
        <f>MID(E693,4,2)</f>
        <v>AT</v>
      </c>
    </row>
    <row r="694" spans="1:26" s="111" customFormat="1" x14ac:dyDescent="0.2">
      <c r="A694" s="101">
        <v>46244</v>
      </c>
      <c r="B694" s="91" t="s">
        <v>915</v>
      </c>
      <c r="C694" s="102" t="s">
        <v>916</v>
      </c>
      <c r="D694" s="103" t="s">
        <v>47</v>
      </c>
      <c r="E694" s="91" t="s">
        <v>917</v>
      </c>
      <c r="F694" s="91" t="s">
        <v>56</v>
      </c>
      <c r="G694" s="91" t="s">
        <v>57</v>
      </c>
      <c r="H694" s="104" t="str">
        <f t="shared" si="42"/>
        <v>C4342J20</v>
      </c>
      <c r="I694" s="104"/>
      <c r="J694" s="105">
        <v>206.91</v>
      </c>
      <c r="K694" s="106">
        <f>IF(D694="CAESARSTONE LTD",VLOOKUP(H694,'[2]GIA CA'!G:H,2,0),IF(OR(D694="STONE FACINGS LIMITED",D694="NORDIA SA",D694="INVICTUS STONE COUNTERTOPS INC",D694="QUARTZTOP LLC"),VLOOKUP(H694,'[2] Giá ngoài Mỹ - SI-GR'!$B$5:$AZ$84,51,0),IF(OR(D694="HYUNDAI L&amp;C CANADA INC",D694="Hyundai L&amp; C USA LLC"),VLOOKUP(H694,'[2]GIA HS'!A:D,4,0),IF(Y694="Mỹ",VLOOKUP(H694,'[2]giá mỹ từ 6.8.2025'!B:I,2,0),VLOOKUP(H694,'[2]giá ngoài mỹ 6.8.2025 (final)'!B:BP,51,0)))))</f>
        <v>64</v>
      </c>
      <c r="L694" s="106">
        <v>70.349999999999994</v>
      </c>
      <c r="M694" s="106">
        <f t="shared" si="41"/>
        <v>6.3499999999999943</v>
      </c>
      <c r="N694" s="106">
        <v>70.349999999999994</v>
      </c>
      <c r="O694" s="107">
        <v>14556.13</v>
      </c>
      <c r="P694" s="107">
        <v>26040</v>
      </c>
      <c r="Q694" s="107">
        <v>379041625</v>
      </c>
      <c r="R694" s="102" t="s">
        <v>30</v>
      </c>
      <c r="S694" s="108"/>
      <c r="T694" s="109"/>
      <c r="U694" s="109"/>
      <c r="V694" s="102"/>
      <c r="W694" s="109"/>
      <c r="X694" s="109"/>
      <c r="Y694" s="110" t="s">
        <v>31</v>
      </c>
      <c r="Z694" s="111" t="str">
        <f>MID(E694,4,2)</f>
        <v>AT</v>
      </c>
    </row>
    <row r="695" spans="1:26" s="111" customFormat="1" x14ac:dyDescent="0.2">
      <c r="A695" s="101">
        <v>46244</v>
      </c>
      <c r="B695" s="91" t="s">
        <v>915</v>
      </c>
      <c r="C695" s="102" t="s">
        <v>916</v>
      </c>
      <c r="D695" s="103" t="s">
        <v>47</v>
      </c>
      <c r="E695" s="91" t="s">
        <v>917</v>
      </c>
      <c r="F695" s="91" t="s">
        <v>918</v>
      </c>
      <c r="G695" s="91" t="s">
        <v>57</v>
      </c>
      <c r="H695" s="104" t="str">
        <f t="shared" si="42"/>
        <v>C4342J20</v>
      </c>
      <c r="I695" s="104"/>
      <c r="J695" s="105">
        <v>266.81</v>
      </c>
      <c r="K695" s="106">
        <f>IF(D695="CAESARSTONE LTD",VLOOKUP(H695,'[2]GIA CA'!G:H,2,0),IF(OR(D695="STONE FACINGS LIMITED",D695="NORDIA SA",D695="INVICTUS STONE COUNTERTOPS INC",D695="QUARTZTOP LLC"),VLOOKUP(H695,'[2] Giá ngoài Mỹ - SI-GR'!$B$5:$AZ$84,51,0),IF(OR(D695="HYUNDAI L&amp;C CANADA INC",D695="Hyundai L&amp; C USA LLC"),VLOOKUP(H695,'[2]GIA HS'!A:D,4,0),IF(Y695="Mỹ",VLOOKUP(H695,'[2]giá mỹ từ 6.8.2025'!B:I,2,0),VLOOKUP(H695,'[2]giá ngoài mỹ 6.8.2025 (final)'!B:BP,51,0)))))</f>
        <v>64</v>
      </c>
      <c r="L695" s="106">
        <v>70.349999999999994</v>
      </c>
      <c r="M695" s="106">
        <f t="shared" si="41"/>
        <v>6.3499999999999943</v>
      </c>
      <c r="N695" s="106">
        <v>70.349999999999994</v>
      </c>
      <c r="O695" s="107">
        <v>18770.09</v>
      </c>
      <c r="P695" s="107">
        <v>26040</v>
      </c>
      <c r="Q695" s="107">
        <v>488773144</v>
      </c>
      <c r="R695" s="102" t="s">
        <v>30</v>
      </c>
      <c r="S695" s="108"/>
      <c r="T695" s="109"/>
      <c r="U695" s="109"/>
      <c r="V695" s="102"/>
      <c r="W695" s="109"/>
      <c r="X695" s="109"/>
      <c r="Y695" s="110" t="s">
        <v>31</v>
      </c>
      <c r="Z695" s="111" t="str">
        <f>MID(E695,4,2)</f>
        <v>AT</v>
      </c>
    </row>
    <row r="696" spans="1:26" s="111" customFormat="1" x14ac:dyDescent="0.2">
      <c r="A696" s="101">
        <v>46244</v>
      </c>
      <c r="B696" s="91" t="s">
        <v>919</v>
      </c>
      <c r="C696" s="102" t="s">
        <v>920</v>
      </c>
      <c r="D696" s="103" t="s">
        <v>26</v>
      </c>
      <c r="E696" s="91" t="s">
        <v>921</v>
      </c>
      <c r="F696" s="91" t="s">
        <v>922</v>
      </c>
      <c r="G696" s="91" t="s">
        <v>923</v>
      </c>
      <c r="H696" s="104" t="str">
        <f t="shared" si="42"/>
        <v>F5131J20</v>
      </c>
      <c r="I696" s="104"/>
      <c r="J696" s="105">
        <v>14.06</v>
      </c>
      <c r="K696" s="106">
        <f>IF(D696="CAESARSTONE LTD",VLOOKUP(H696,'[2]GIA CA'!G:H,2,0),IF(OR(D696="STONE FACINGS LIMITED",D696="NORDIA SA",D696="INVICTUS STONE COUNTERTOPS INC",D696="QUARTZTOP LLC"),VLOOKUP(H696,'[2] Giá ngoài Mỹ - SI-GR'!$B$5:$AZ$84,51,0),IF(OR(D696="HYUNDAI L&amp;C CANADA INC",D696="Hyundai L&amp; C USA LLC"),VLOOKUP(H696,'[2]GIA HS'!A:D,4,0),IF(Y696="Mỹ",VLOOKUP(H696,'[2]giá mỹ từ 6.8.2025'!B:I,2,0),VLOOKUP(H696,'[2]giá ngoài mỹ 6.8.2025 (final)'!B:BP,51,0)))))</f>
        <v>60</v>
      </c>
      <c r="L696" s="106">
        <v>119</v>
      </c>
      <c r="M696" s="106">
        <f t="shared" si="41"/>
        <v>59</v>
      </c>
      <c r="N696" s="106">
        <v>119</v>
      </c>
      <c r="O696" s="107">
        <v>1673.14</v>
      </c>
      <c r="P696" s="107">
        <v>26040</v>
      </c>
      <c r="Q696" s="107">
        <v>43568566</v>
      </c>
      <c r="R696" s="102"/>
      <c r="S696" s="108"/>
      <c r="T696" s="109" t="s">
        <v>30</v>
      </c>
      <c r="U696" s="109"/>
      <c r="V696" s="102"/>
      <c r="W696" s="109"/>
      <c r="X696" s="109"/>
      <c r="Y696" s="110" t="s">
        <v>31</v>
      </c>
      <c r="Z696" s="111" t="str">
        <f>MID(E696,4,2)</f>
        <v>CA</v>
      </c>
    </row>
    <row r="697" spans="1:26" s="111" customFormat="1" x14ac:dyDescent="0.2">
      <c r="A697" s="101">
        <v>46244</v>
      </c>
      <c r="B697" s="91" t="s">
        <v>919</v>
      </c>
      <c r="C697" s="102" t="s">
        <v>920</v>
      </c>
      <c r="D697" s="103" t="s">
        <v>26</v>
      </c>
      <c r="E697" s="91" t="s">
        <v>921</v>
      </c>
      <c r="F697" s="91" t="s">
        <v>839</v>
      </c>
      <c r="G697" s="91" t="s">
        <v>840</v>
      </c>
      <c r="H697" s="104" t="str">
        <f t="shared" si="42"/>
        <v>C4270J20</v>
      </c>
      <c r="I697" s="104"/>
      <c r="J697" s="105">
        <v>12.74</v>
      </c>
      <c r="K697" s="106">
        <f>IF(D697="CAESARSTONE LTD",VLOOKUP(H697,'[2]GIA CA'!G:H,2,0),IF(OR(D697="STONE FACINGS LIMITED",D697="NORDIA SA",D697="INVICTUS STONE COUNTERTOPS INC",D697="QUARTZTOP LLC"),VLOOKUP(H697,'[2] Giá ngoài Mỹ - SI-GR'!$B$5:$AZ$84,51,0),IF(OR(D697="HYUNDAI L&amp;C CANADA INC",D697="Hyundai L&amp; C USA LLC"),VLOOKUP(H697,'[2]GIA HS'!A:D,4,0),IF(Y697="Mỹ",VLOOKUP(H697,'[2]giá mỹ từ 6.8.2025'!B:I,2,0),VLOOKUP(H697,'[2]giá ngoài mỹ 6.8.2025 (final)'!B:BP,51,0)))))</f>
        <v>70.3</v>
      </c>
      <c r="L697" s="106">
        <v>96</v>
      </c>
      <c r="M697" s="106">
        <f t="shared" si="41"/>
        <v>25.700000000000003</v>
      </c>
      <c r="N697" s="106">
        <v>96</v>
      </c>
      <c r="O697" s="107">
        <v>1223.04</v>
      </c>
      <c r="P697" s="107">
        <v>26040</v>
      </c>
      <c r="Q697" s="107">
        <v>31847962</v>
      </c>
      <c r="R697" s="102"/>
      <c r="S697" s="108"/>
      <c r="T697" s="109" t="s">
        <v>30</v>
      </c>
      <c r="U697" s="109"/>
      <c r="V697" s="102"/>
      <c r="W697" s="109"/>
      <c r="X697" s="109"/>
      <c r="Y697" s="110" t="s">
        <v>31</v>
      </c>
      <c r="Z697" s="111" t="str">
        <f>MID(E697,4,2)</f>
        <v>CA</v>
      </c>
    </row>
    <row r="698" spans="1:26" s="111" customFormat="1" x14ac:dyDescent="0.2">
      <c r="A698" s="101">
        <v>46244</v>
      </c>
      <c r="B698" s="91" t="s">
        <v>919</v>
      </c>
      <c r="C698" s="102" t="s">
        <v>920</v>
      </c>
      <c r="D698" s="103" t="s">
        <v>26</v>
      </c>
      <c r="E698" s="91" t="s">
        <v>921</v>
      </c>
      <c r="F698" s="91" t="s">
        <v>839</v>
      </c>
      <c r="G698" s="91" t="s">
        <v>840</v>
      </c>
      <c r="H698" s="104" t="str">
        <f t="shared" si="42"/>
        <v>C4270J20</v>
      </c>
      <c r="I698" s="104"/>
      <c r="J698" s="105">
        <v>12.74</v>
      </c>
      <c r="K698" s="106">
        <f>IF(D698="CAESARSTONE LTD",VLOOKUP(H698,'[2]GIA CA'!G:H,2,0),IF(OR(D698="STONE FACINGS LIMITED",D698="NORDIA SA",D698="INVICTUS STONE COUNTERTOPS INC",D698="QUARTZTOP LLC"),VLOOKUP(H698,'[2] Giá ngoài Mỹ - SI-GR'!$B$5:$AZ$84,51,0),IF(OR(D698="HYUNDAI L&amp;C CANADA INC",D698="Hyundai L&amp; C USA LLC"),VLOOKUP(H698,'[2]GIA HS'!A:D,4,0),IF(Y698="Mỹ",VLOOKUP(H698,'[2]giá mỹ từ 6.8.2025'!B:I,2,0),VLOOKUP(H698,'[2]giá ngoài mỹ 6.8.2025 (final)'!B:BP,51,0)))))</f>
        <v>70.3</v>
      </c>
      <c r="L698" s="106">
        <v>96</v>
      </c>
      <c r="M698" s="106">
        <f t="shared" si="41"/>
        <v>25.700000000000003</v>
      </c>
      <c r="N698" s="106">
        <v>96</v>
      </c>
      <c r="O698" s="107">
        <v>1223.04</v>
      </c>
      <c r="P698" s="107">
        <v>26040</v>
      </c>
      <c r="Q698" s="107">
        <v>31847962</v>
      </c>
      <c r="R698" s="102"/>
      <c r="S698" s="108"/>
      <c r="T698" s="109" t="s">
        <v>30</v>
      </c>
      <c r="U698" s="109"/>
      <c r="V698" s="102"/>
      <c r="W698" s="109"/>
      <c r="X698" s="109"/>
      <c r="Y698" s="110" t="s">
        <v>31</v>
      </c>
      <c r="Z698" s="111" t="str">
        <f>MID(E698,4,2)</f>
        <v>CA</v>
      </c>
    </row>
    <row r="699" spans="1:26" s="111" customFormat="1" x14ac:dyDescent="0.2">
      <c r="A699" s="101">
        <v>46244</v>
      </c>
      <c r="B699" s="91" t="s">
        <v>919</v>
      </c>
      <c r="C699" s="102" t="s">
        <v>920</v>
      </c>
      <c r="D699" s="103" t="s">
        <v>26</v>
      </c>
      <c r="E699" s="91" t="s">
        <v>921</v>
      </c>
      <c r="F699" s="91" t="s">
        <v>474</v>
      </c>
      <c r="G699" s="91" t="s">
        <v>475</v>
      </c>
      <c r="H699" s="104" t="str">
        <f t="shared" si="42"/>
        <v>C5100J20</v>
      </c>
      <c r="I699" s="104"/>
      <c r="J699" s="105">
        <v>12.74</v>
      </c>
      <c r="K699" s="106">
        <f>IF(D699="CAESARSTONE LTD",VLOOKUP(H699,'[2]GIA CA'!G:H,2,0),IF(OR(D699="STONE FACINGS LIMITED",D699="NORDIA SA",D699="INVICTUS STONE COUNTERTOPS INC",D699="QUARTZTOP LLC"),VLOOKUP(H699,'[2] Giá ngoài Mỹ - SI-GR'!$B$5:$AZ$84,51,0),IF(OR(D699="HYUNDAI L&amp;C CANADA INC",D699="Hyundai L&amp; C USA LLC"),VLOOKUP(H699,'[2]GIA HS'!A:D,4,0),IF(Y699="Mỹ",VLOOKUP(H699,'[2]giá mỹ từ 6.8.2025'!B:I,2,0),VLOOKUP(H699,'[2]giá ngoài mỹ 6.8.2025 (final)'!B:BP,51,0)))))</f>
        <v>59</v>
      </c>
      <c r="L699" s="106">
        <v>96</v>
      </c>
      <c r="M699" s="106">
        <f t="shared" si="41"/>
        <v>37</v>
      </c>
      <c r="N699" s="106">
        <v>96</v>
      </c>
      <c r="O699" s="107">
        <v>1223.04</v>
      </c>
      <c r="P699" s="107">
        <v>26040</v>
      </c>
      <c r="Q699" s="107">
        <v>31847962</v>
      </c>
      <c r="R699" s="102"/>
      <c r="S699" s="108"/>
      <c r="T699" s="109" t="s">
        <v>30</v>
      </c>
      <c r="U699" s="109"/>
      <c r="V699" s="102"/>
      <c r="W699" s="109"/>
      <c r="X699" s="109"/>
      <c r="Y699" s="110" t="s">
        <v>31</v>
      </c>
      <c r="Z699" s="111" t="str">
        <f>MID(E699,4,2)</f>
        <v>CA</v>
      </c>
    </row>
    <row r="700" spans="1:26" s="111" customFormat="1" x14ac:dyDescent="0.2">
      <c r="A700" s="101">
        <v>46244</v>
      </c>
      <c r="B700" s="91" t="s">
        <v>919</v>
      </c>
      <c r="C700" s="102" t="s">
        <v>920</v>
      </c>
      <c r="D700" s="103" t="s">
        <v>26</v>
      </c>
      <c r="E700" s="91" t="s">
        <v>921</v>
      </c>
      <c r="F700" s="91" t="s">
        <v>474</v>
      </c>
      <c r="G700" s="91" t="s">
        <v>475</v>
      </c>
      <c r="H700" s="104" t="str">
        <f t="shared" si="42"/>
        <v>C5100J20</v>
      </c>
      <c r="I700" s="104"/>
      <c r="J700" s="105">
        <v>12.74</v>
      </c>
      <c r="K700" s="106">
        <f>IF(D700="CAESARSTONE LTD",VLOOKUP(H700,'[2]GIA CA'!G:H,2,0),IF(OR(D700="STONE FACINGS LIMITED",D700="NORDIA SA",D700="INVICTUS STONE COUNTERTOPS INC",D700="QUARTZTOP LLC"),VLOOKUP(H700,'[2] Giá ngoài Mỹ - SI-GR'!$B$5:$AZ$84,51,0),IF(OR(D700="HYUNDAI L&amp;C CANADA INC",D700="Hyundai L&amp; C USA LLC"),VLOOKUP(H700,'[2]GIA HS'!A:D,4,0),IF(Y700="Mỹ",VLOOKUP(H700,'[2]giá mỹ từ 6.8.2025'!B:I,2,0),VLOOKUP(H700,'[2]giá ngoài mỹ 6.8.2025 (final)'!B:BP,51,0)))))</f>
        <v>59</v>
      </c>
      <c r="L700" s="106">
        <v>96</v>
      </c>
      <c r="M700" s="106">
        <f t="shared" si="41"/>
        <v>37</v>
      </c>
      <c r="N700" s="106">
        <v>96</v>
      </c>
      <c r="O700" s="107">
        <v>1223.04</v>
      </c>
      <c r="P700" s="107">
        <v>26040</v>
      </c>
      <c r="Q700" s="107">
        <v>31847962</v>
      </c>
      <c r="R700" s="102"/>
      <c r="S700" s="108"/>
      <c r="T700" s="109" t="s">
        <v>30</v>
      </c>
      <c r="U700" s="109"/>
      <c r="V700" s="102"/>
      <c r="W700" s="109"/>
      <c r="X700" s="109"/>
      <c r="Y700" s="110" t="s">
        <v>31</v>
      </c>
      <c r="Z700" s="111" t="str">
        <f>MID(E700,4,2)</f>
        <v>CA</v>
      </c>
    </row>
    <row r="701" spans="1:26" s="111" customFormat="1" x14ac:dyDescent="0.2">
      <c r="A701" s="101">
        <v>46244</v>
      </c>
      <c r="B701" s="91" t="s">
        <v>919</v>
      </c>
      <c r="C701" s="102" t="s">
        <v>920</v>
      </c>
      <c r="D701" s="103" t="s">
        <v>26</v>
      </c>
      <c r="E701" s="91" t="s">
        <v>921</v>
      </c>
      <c r="F701" s="91" t="s">
        <v>924</v>
      </c>
      <c r="G701" s="91" t="s">
        <v>925</v>
      </c>
      <c r="H701" s="104" t="str">
        <f t="shared" si="42"/>
        <v>C5118J20</v>
      </c>
      <c r="I701" s="104"/>
      <c r="J701" s="105">
        <v>12.74</v>
      </c>
      <c r="K701" s="106">
        <f>IF(D701="CAESARSTONE LTD",VLOOKUP(H701,'[2]GIA CA'!G:H,2,0),IF(OR(D701="STONE FACINGS LIMITED",D701="NORDIA SA",D701="INVICTUS STONE COUNTERTOPS INC",D701="QUARTZTOP LLC"),VLOOKUP(H701,'[2] Giá ngoài Mỹ - SI-GR'!$B$5:$AZ$84,51,0),IF(OR(D701="HYUNDAI L&amp;C CANADA INC",D701="Hyundai L&amp; C USA LLC"),VLOOKUP(H701,'[2]GIA HS'!A:D,4,0),IF(Y701="Mỹ",VLOOKUP(H701,'[2]giá mỹ từ 6.8.2025'!B:I,2,0),VLOOKUP(H701,'[2]giá ngoài mỹ 6.8.2025 (final)'!B:BP,51,0)))))</f>
        <v>65</v>
      </c>
      <c r="L701" s="106">
        <v>131</v>
      </c>
      <c r="M701" s="106">
        <f t="shared" si="41"/>
        <v>66</v>
      </c>
      <c r="N701" s="106">
        <v>131</v>
      </c>
      <c r="O701" s="107">
        <v>1668.94</v>
      </c>
      <c r="P701" s="107">
        <v>26040</v>
      </c>
      <c r="Q701" s="107">
        <v>43459198</v>
      </c>
      <c r="R701" s="102"/>
      <c r="S701" s="108"/>
      <c r="T701" s="109" t="s">
        <v>30</v>
      </c>
      <c r="U701" s="109"/>
      <c r="V701" s="102"/>
      <c r="W701" s="109"/>
      <c r="X701" s="109"/>
      <c r="Y701" s="110" t="s">
        <v>31</v>
      </c>
      <c r="Z701" s="111" t="str">
        <f>MID(E701,4,2)</f>
        <v>CA</v>
      </c>
    </row>
    <row r="702" spans="1:26" s="111" customFormat="1" x14ac:dyDescent="0.2">
      <c r="A702" s="101">
        <v>46244</v>
      </c>
      <c r="B702" s="91" t="s">
        <v>919</v>
      </c>
      <c r="C702" s="102" t="s">
        <v>920</v>
      </c>
      <c r="D702" s="103" t="s">
        <v>26</v>
      </c>
      <c r="E702" s="91" t="s">
        <v>921</v>
      </c>
      <c r="F702" s="91" t="s">
        <v>843</v>
      </c>
      <c r="G702" s="91" t="s">
        <v>844</v>
      </c>
      <c r="H702" s="104" t="str">
        <f t="shared" si="42"/>
        <v>C6046J20</v>
      </c>
      <c r="I702" s="104"/>
      <c r="J702" s="105">
        <v>3.68</v>
      </c>
      <c r="K702" s="106">
        <f>IF(D702="CAESARSTONE LTD",VLOOKUP(H702,'[2]GIA CA'!G:H,2,0),IF(OR(D702="STONE FACINGS LIMITED",D702="NORDIA SA",D702="INVICTUS STONE COUNTERTOPS INC",D702="QUARTZTOP LLC"),VLOOKUP(H702,'[2] Giá ngoài Mỹ - SI-GR'!$B$5:$AZ$84,51,0),IF(OR(D702="HYUNDAI L&amp;C CANADA INC",D702="Hyundai L&amp; C USA LLC"),VLOOKUP(H702,'[2]GIA HS'!A:D,4,0),IF(Y702="Mỹ",VLOOKUP(H702,'[2]giá mỹ từ 6.8.2025'!B:I,2,0),VLOOKUP(H702,'[2]giá ngoài mỹ 6.8.2025 (final)'!B:BP,51,0)))))</f>
        <v>59</v>
      </c>
      <c r="L702" s="106">
        <v>95</v>
      </c>
      <c r="M702" s="106">
        <f t="shared" si="41"/>
        <v>36</v>
      </c>
      <c r="N702" s="106">
        <v>95</v>
      </c>
      <c r="O702" s="107">
        <v>349.6</v>
      </c>
      <c r="P702" s="107">
        <v>26040</v>
      </c>
      <c r="Q702" s="107">
        <v>9103584</v>
      </c>
      <c r="R702" s="102"/>
      <c r="S702" s="108"/>
      <c r="T702" s="109" t="s">
        <v>30</v>
      </c>
      <c r="U702" s="109"/>
      <c r="V702" s="102"/>
      <c r="W702" s="109"/>
      <c r="X702" s="109"/>
      <c r="Y702" s="110" t="s">
        <v>31</v>
      </c>
      <c r="Z702" s="111" t="str">
        <f>MID(E702,4,2)</f>
        <v>CA</v>
      </c>
    </row>
    <row r="703" spans="1:26" s="111" customFormat="1" x14ac:dyDescent="0.2">
      <c r="A703" s="101">
        <v>46244</v>
      </c>
      <c r="B703" s="91" t="s">
        <v>919</v>
      </c>
      <c r="C703" s="102" t="s">
        <v>920</v>
      </c>
      <c r="D703" s="103" t="s">
        <v>26</v>
      </c>
      <c r="E703" s="91" t="s">
        <v>921</v>
      </c>
      <c r="F703" s="91" t="s">
        <v>249</v>
      </c>
      <c r="G703" s="91" t="s">
        <v>250</v>
      </c>
      <c r="H703" s="104" t="str">
        <f t="shared" si="42"/>
        <v>C6046J20</v>
      </c>
      <c r="I703" s="104"/>
      <c r="J703" s="105">
        <v>12.74</v>
      </c>
      <c r="K703" s="106">
        <f>IF(D703="CAESARSTONE LTD",VLOOKUP(H703,'[2]GIA CA'!G:H,2,0),IF(OR(D703="STONE FACINGS LIMITED",D703="NORDIA SA",D703="INVICTUS STONE COUNTERTOPS INC",D703="QUARTZTOP LLC"),VLOOKUP(H703,'[2] Giá ngoài Mỹ - SI-GR'!$B$5:$AZ$84,51,0),IF(OR(D703="HYUNDAI L&amp;C CANADA INC",D703="Hyundai L&amp; C USA LLC"),VLOOKUP(H703,'[2]GIA HS'!A:D,4,0),IF(Y703="Mỹ",VLOOKUP(H703,'[2]giá mỹ từ 6.8.2025'!B:I,2,0),VLOOKUP(H703,'[2]giá ngoài mỹ 6.8.2025 (final)'!B:BP,51,0)))))</f>
        <v>59</v>
      </c>
      <c r="L703" s="106">
        <v>96</v>
      </c>
      <c r="M703" s="106">
        <f t="shared" si="41"/>
        <v>37</v>
      </c>
      <c r="N703" s="106">
        <v>96</v>
      </c>
      <c r="O703" s="107">
        <v>1223.04</v>
      </c>
      <c r="P703" s="107">
        <v>26040</v>
      </c>
      <c r="Q703" s="107">
        <v>31847962</v>
      </c>
      <c r="R703" s="102"/>
      <c r="S703" s="108"/>
      <c r="T703" s="109" t="s">
        <v>30</v>
      </c>
      <c r="U703" s="109"/>
      <c r="V703" s="102"/>
      <c r="W703" s="109"/>
      <c r="X703" s="109"/>
      <c r="Y703" s="110" t="s">
        <v>31</v>
      </c>
      <c r="Z703" s="111" t="str">
        <f>MID(E703,4,2)</f>
        <v>CA</v>
      </c>
    </row>
    <row r="704" spans="1:26" s="111" customFormat="1" x14ac:dyDescent="0.2">
      <c r="A704" s="101">
        <v>46244</v>
      </c>
      <c r="B704" s="91" t="s">
        <v>919</v>
      </c>
      <c r="C704" s="102" t="s">
        <v>920</v>
      </c>
      <c r="D704" s="103" t="s">
        <v>26</v>
      </c>
      <c r="E704" s="91" t="s">
        <v>921</v>
      </c>
      <c r="F704" s="91" t="s">
        <v>895</v>
      </c>
      <c r="G704" s="91" t="s">
        <v>896</v>
      </c>
      <c r="H704" s="104" t="str">
        <f t="shared" si="42"/>
        <v>C4143J30</v>
      </c>
      <c r="I704" s="104"/>
      <c r="J704" s="105">
        <v>76.23</v>
      </c>
      <c r="K704" s="106">
        <f>IF(D704="CAESARSTONE LTD",VLOOKUP(H704,'[2]GIA CA'!G:H,2,0),IF(OR(D704="STONE FACINGS LIMITED",D704="NORDIA SA",D704="INVICTUS STONE COUNTERTOPS INC",D704="QUARTZTOP LLC"),VLOOKUP(H704,'[2] Giá ngoài Mỹ - SI-GR'!$B$5:$AZ$84,51,0),IF(OR(D704="HYUNDAI L&amp;C CANADA INC",D704="Hyundai L&amp; C USA LLC"),VLOOKUP(H704,'[2]GIA HS'!A:D,4,0),IF(Y704="Mỹ",VLOOKUP(H704,'[2]giá mỹ từ 6.8.2025'!B:I,2,0),VLOOKUP(H704,'[2]giá ngoài mỹ 6.8.2025 (final)'!B:BP,51,0)))))</f>
        <v>71.3</v>
      </c>
      <c r="L704" s="106">
        <v>74.704999999999998</v>
      </c>
      <c r="M704" s="106">
        <f t="shared" si="41"/>
        <v>3.4050000000000011</v>
      </c>
      <c r="N704" s="106">
        <v>74.709999999999994</v>
      </c>
      <c r="O704" s="107">
        <v>5694.8</v>
      </c>
      <c r="P704" s="107">
        <v>26040</v>
      </c>
      <c r="Q704" s="107">
        <v>148292592</v>
      </c>
      <c r="R704" s="102" t="s">
        <v>30</v>
      </c>
      <c r="S704" s="108"/>
      <c r="T704" s="109"/>
      <c r="U704" s="109"/>
      <c r="V704" s="102"/>
      <c r="W704" s="109"/>
      <c r="X704" s="109"/>
      <c r="Y704" s="110" t="s">
        <v>31</v>
      </c>
      <c r="Z704" s="111" t="str">
        <f>MID(E704,4,2)</f>
        <v>CA</v>
      </c>
    </row>
    <row r="705" spans="1:26" s="111" customFormat="1" x14ac:dyDescent="0.2">
      <c r="A705" s="101">
        <v>46244</v>
      </c>
      <c r="B705" s="91" t="s">
        <v>919</v>
      </c>
      <c r="C705" s="102" t="s">
        <v>920</v>
      </c>
      <c r="D705" s="103" t="s">
        <v>26</v>
      </c>
      <c r="E705" s="91" t="s">
        <v>921</v>
      </c>
      <c r="F705" s="91" t="s">
        <v>88</v>
      </c>
      <c r="G705" s="91" t="s">
        <v>89</v>
      </c>
      <c r="H705" s="104" t="str">
        <f t="shared" si="42"/>
        <v>F5131J20</v>
      </c>
      <c r="I705" s="104"/>
      <c r="J705" s="105">
        <v>326.7</v>
      </c>
      <c r="K705" s="106">
        <f>IF(D705="CAESARSTONE LTD",VLOOKUP(H705,'[2]GIA CA'!G:H,2,0),IF(OR(D705="STONE FACINGS LIMITED",D705="NORDIA SA",D705="INVICTUS STONE COUNTERTOPS INC",D705="QUARTZTOP LLC"),VLOOKUP(H705,'[2] Giá ngoài Mỹ - SI-GR'!$B$5:$AZ$84,51,0),IF(OR(D705="HYUNDAI L&amp;C CANADA INC",D705="Hyundai L&amp; C USA LLC"),VLOOKUP(H705,'[2]GIA HS'!A:D,4,0),IF(Y705="Mỹ",VLOOKUP(H705,'[2]giá mỹ từ 6.8.2025'!B:I,2,0),VLOOKUP(H705,'[2]giá ngoài mỹ 6.8.2025 (final)'!B:BP,51,0)))))</f>
        <v>60</v>
      </c>
      <c r="L705" s="106">
        <v>63</v>
      </c>
      <c r="M705" s="106">
        <f t="shared" si="41"/>
        <v>3</v>
      </c>
      <c r="N705" s="106">
        <v>63</v>
      </c>
      <c r="O705" s="107">
        <v>20582.099999999999</v>
      </c>
      <c r="P705" s="107">
        <v>26040</v>
      </c>
      <c r="Q705" s="107">
        <v>535957884</v>
      </c>
      <c r="R705" s="102" t="s">
        <v>30</v>
      </c>
      <c r="S705" s="108"/>
      <c r="T705" s="109"/>
      <c r="U705" s="109"/>
      <c r="V705" s="102"/>
      <c r="W705" s="109"/>
      <c r="X705" s="109"/>
      <c r="Y705" s="110" t="s">
        <v>31</v>
      </c>
      <c r="Z705" s="111" t="str">
        <f>MID(E705,4,2)</f>
        <v>CA</v>
      </c>
    </row>
    <row r="706" spans="1:26" s="111" customFormat="1" x14ac:dyDescent="0.2">
      <c r="A706" s="101">
        <v>46244</v>
      </c>
      <c r="B706" s="91" t="s">
        <v>919</v>
      </c>
      <c r="C706" s="102" t="s">
        <v>920</v>
      </c>
      <c r="D706" s="103" t="s">
        <v>26</v>
      </c>
      <c r="E706" s="91" t="s">
        <v>921</v>
      </c>
      <c r="F706" s="91" t="s">
        <v>90</v>
      </c>
      <c r="G706" s="91" t="s">
        <v>91</v>
      </c>
      <c r="H706" s="104" t="str">
        <f t="shared" si="42"/>
        <v>F6131J30</v>
      </c>
      <c r="I706" s="104"/>
      <c r="J706" s="105">
        <v>38.119999999999997</v>
      </c>
      <c r="K706" s="106">
        <f>IF(D706="CAESARSTONE LTD",VLOOKUP(H706,'[2]GIA CA'!G:H,2,0),IF(OR(D706="STONE FACINGS LIMITED",D706="NORDIA SA",D706="INVICTUS STONE COUNTERTOPS INC",D706="QUARTZTOP LLC"),VLOOKUP(H706,'[2] Giá ngoài Mỹ - SI-GR'!$B$5:$AZ$84,51,0),IF(OR(D706="HYUNDAI L&amp;C CANADA INC",D706="Hyundai L&amp; C USA LLC"),VLOOKUP(H706,'[2]GIA HS'!A:D,4,0),IF(Y706="Mỹ",VLOOKUP(H706,'[2]giá mỹ từ 6.8.2025'!B:I,2,0),VLOOKUP(H706,'[2]giá ngoài mỹ 6.8.2025 (final)'!B:BP,51,0)))))</f>
        <v>77.5</v>
      </c>
      <c r="L706" s="106">
        <v>81</v>
      </c>
      <c r="M706" s="106">
        <f t="shared" si="41"/>
        <v>3.5</v>
      </c>
      <c r="N706" s="106">
        <v>81</v>
      </c>
      <c r="O706" s="107">
        <v>3087.72</v>
      </c>
      <c r="P706" s="107">
        <v>26040</v>
      </c>
      <c r="Q706" s="107">
        <v>80404229</v>
      </c>
      <c r="R706" s="102" t="s">
        <v>30</v>
      </c>
      <c r="S706" s="108"/>
      <c r="T706" s="109"/>
      <c r="U706" s="109"/>
      <c r="V706" s="102"/>
      <c r="W706" s="109"/>
      <c r="X706" s="109"/>
      <c r="Y706" s="110" t="s">
        <v>31</v>
      </c>
      <c r="Z706" s="111" t="str">
        <f>MID(E706,4,2)</f>
        <v>CA</v>
      </c>
    </row>
    <row r="707" spans="1:26" s="111" customFormat="1" x14ac:dyDescent="0.2">
      <c r="A707" s="101">
        <v>46244</v>
      </c>
      <c r="B707" s="91" t="s">
        <v>926</v>
      </c>
      <c r="C707" s="102" t="s">
        <v>927</v>
      </c>
      <c r="D707" s="103" t="s">
        <v>215</v>
      </c>
      <c r="E707" s="91" t="s">
        <v>928</v>
      </c>
      <c r="F707" s="91" t="s">
        <v>893</v>
      </c>
      <c r="G707" s="91" t="s">
        <v>894</v>
      </c>
      <c r="H707" s="104" t="str">
        <f t="shared" si="42"/>
        <v>C4143J20</v>
      </c>
      <c r="I707" s="104"/>
      <c r="J707" s="105">
        <v>1.94</v>
      </c>
      <c r="K707" s="106"/>
      <c r="L707" s="106">
        <v>0</v>
      </c>
      <c r="M707" s="106">
        <f t="shared" si="41"/>
        <v>0</v>
      </c>
      <c r="N707" s="106">
        <v>60</v>
      </c>
      <c r="O707" s="107">
        <v>116.4</v>
      </c>
      <c r="P707" s="107">
        <v>26040</v>
      </c>
      <c r="Q707" s="107">
        <v>3031056</v>
      </c>
      <c r="R707" s="102"/>
      <c r="S707" s="108"/>
      <c r="T707" s="109"/>
      <c r="U707" s="109" t="s">
        <v>30</v>
      </c>
      <c r="V707" s="102"/>
      <c r="W707" s="109"/>
      <c r="X707" s="109"/>
      <c r="Y707" s="110" t="s">
        <v>31</v>
      </c>
      <c r="Z707" s="111" t="str">
        <f>MID(E707,4,2)</f>
        <v>DM</v>
      </c>
    </row>
    <row r="708" spans="1:26" s="111" customFormat="1" x14ac:dyDescent="0.2">
      <c r="A708" s="101">
        <v>46244</v>
      </c>
      <c r="B708" s="91" t="s">
        <v>926</v>
      </c>
      <c r="C708" s="102" t="s">
        <v>927</v>
      </c>
      <c r="D708" s="103" t="s">
        <v>215</v>
      </c>
      <c r="E708" s="91" t="s">
        <v>928</v>
      </c>
      <c r="F708" s="91" t="s">
        <v>895</v>
      </c>
      <c r="G708" s="91" t="s">
        <v>896</v>
      </c>
      <c r="H708" s="104" t="str">
        <f t="shared" si="42"/>
        <v>C4143J30</v>
      </c>
      <c r="I708" s="104"/>
      <c r="J708" s="105">
        <v>299.48</v>
      </c>
      <c r="K708" s="106">
        <f>IF(D708="CAESARSTONE LTD",VLOOKUP(H708,'[2]GIA CA'!G:H,2,0),IF(OR(D708="STONE FACINGS LIMITED",D708="NORDIA SA",D708="INVICTUS STONE COUNTERTOPS INC",D708="QUARTZTOP LLC"),VLOOKUP(H708,'[2] Giá ngoài Mỹ - SI-GR'!$B$5:$AZ$84,51,0),IF(OR(D708="HYUNDAI L&amp;C CANADA INC",D708="Hyundai L&amp; C USA LLC"),VLOOKUP(H708,'[2]GIA HS'!A:D,4,0),IF(Y708="Mỹ",VLOOKUP(H708,'[2]giá mỹ từ 6.8.2025'!B:I,2,0),VLOOKUP(H708,'[2]giá ngoài mỹ 6.8.2025 (final)'!B:BP,51,0)))))</f>
        <v>71</v>
      </c>
      <c r="L708" s="106">
        <v>75.209999999999994</v>
      </c>
      <c r="M708" s="106">
        <f t="shared" si="41"/>
        <v>4.2099999999999937</v>
      </c>
      <c r="N708" s="106">
        <v>75.209999999999994</v>
      </c>
      <c r="O708" s="107">
        <v>22524.29</v>
      </c>
      <c r="P708" s="107">
        <v>26040</v>
      </c>
      <c r="Q708" s="107">
        <v>586532512</v>
      </c>
      <c r="R708" s="102" t="s">
        <v>30</v>
      </c>
      <c r="S708" s="108"/>
      <c r="T708" s="109"/>
      <c r="U708" s="109"/>
      <c r="V708" s="102"/>
      <c r="W708" s="109"/>
      <c r="X708" s="109"/>
      <c r="Y708" s="110" t="s">
        <v>31</v>
      </c>
      <c r="Z708" s="111" t="str">
        <f>MID(E708,4,2)</f>
        <v>DM</v>
      </c>
    </row>
    <row r="709" spans="1:26" s="111" customFormat="1" x14ac:dyDescent="0.2">
      <c r="A709" s="101">
        <v>46244</v>
      </c>
      <c r="B709" s="91" t="s">
        <v>929</v>
      </c>
      <c r="C709" s="102" t="s">
        <v>930</v>
      </c>
      <c r="D709" s="103" t="s">
        <v>26</v>
      </c>
      <c r="E709" s="91" t="s">
        <v>931</v>
      </c>
      <c r="F709" s="91" t="s">
        <v>122</v>
      </c>
      <c r="G709" s="91" t="s">
        <v>123</v>
      </c>
      <c r="H709" s="104" t="str">
        <f t="shared" si="42"/>
        <v>C5100J20</v>
      </c>
      <c r="I709" s="104"/>
      <c r="J709" s="105">
        <v>435.6</v>
      </c>
      <c r="K709" s="106">
        <f>IF(D709="CAESARSTONE LTD",VLOOKUP(H709,'[2]GIA CA'!G:H,2,0),IF(OR(D709="STONE FACINGS LIMITED",D709="NORDIA SA",D709="INVICTUS STONE COUNTERTOPS INC",D709="QUARTZTOP LLC"),VLOOKUP(H709,'[2] Giá ngoài Mỹ - SI-GR'!$B$5:$AZ$84,51,0),IF(OR(D709="HYUNDAI L&amp;C CANADA INC",D709="Hyundai L&amp; C USA LLC"),VLOOKUP(H709,'[2]GIA HS'!A:D,4,0),IF(Y709="Mỹ",VLOOKUP(H709,'[2]giá mỹ từ 6.8.2025'!B:I,2,0),VLOOKUP(H709,'[2]giá ngoài mỹ 6.8.2025 (final)'!B:BP,51,0)))))</f>
        <v>59</v>
      </c>
      <c r="L709" s="106">
        <v>62</v>
      </c>
      <c r="M709" s="106">
        <f t="shared" si="41"/>
        <v>3</v>
      </c>
      <c r="N709" s="106">
        <v>62</v>
      </c>
      <c r="O709" s="107">
        <v>27007.200000000001</v>
      </c>
      <c r="P709" s="107">
        <v>26040</v>
      </c>
      <c r="Q709" s="107">
        <v>703267488</v>
      </c>
      <c r="R709" s="102" t="s">
        <v>30</v>
      </c>
      <c r="S709" s="108"/>
      <c r="T709" s="109"/>
      <c r="U709" s="109"/>
      <c r="V709" s="102"/>
      <c r="W709" s="109"/>
      <c r="X709" s="109"/>
      <c r="Y709" s="110" t="s">
        <v>932</v>
      </c>
      <c r="Z709" s="111" t="str">
        <f>MID(E709,4,2)</f>
        <v>CA</v>
      </c>
    </row>
    <row r="710" spans="1:26" s="111" customFormat="1" x14ac:dyDescent="0.2">
      <c r="A710" s="101">
        <v>46244</v>
      </c>
      <c r="B710" s="91" t="s">
        <v>933</v>
      </c>
      <c r="C710" s="102" t="s">
        <v>934</v>
      </c>
      <c r="D710" s="103" t="s">
        <v>26</v>
      </c>
      <c r="E710" s="91" t="s">
        <v>935</v>
      </c>
      <c r="F710" s="91" t="s">
        <v>712</v>
      </c>
      <c r="G710" s="91" t="s">
        <v>713</v>
      </c>
      <c r="H710" s="104" t="str">
        <f t="shared" si="42"/>
        <v>C6131J20</v>
      </c>
      <c r="I710" s="104"/>
      <c r="J710" s="105">
        <v>1.91</v>
      </c>
      <c r="K710" s="106">
        <f>IF(D710="CAESARSTONE LTD",VLOOKUP(H710,'[2]GIA CA'!G:H,2,0),IF(OR(D710="STONE FACINGS LIMITED",D710="NORDIA SA",D710="INVICTUS STONE COUNTERTOPS INC",D710="QUARTZTOP LLC"),VLOOKUP(H710,'[2] Giá ngoài Mỹ - SI-GR'!$B$5:$AZ$84,51,0),IF(OR(D710="HYUNDAI L&amp;C CANADA INC",D710="Hyundai L&amp; C USA LLC"),VLOOKUP(H710,'[2]GIA HS'!A:D,4,0),IF(Y710="Mỹ",VLOOKUP(H710,'[2]giá mỹ từ 6.8.2025'!B:I,2,0),VLOOKUP(H710,'[2]giá ngoài mỹ 6.8.2025 (final)'!B:BP,51,0)))))</f>
        <v>59</v>
      </c>
      <c r="L710" s="106">
        <v>95.65</v>
      </c>
      <c r="M710" s="106">
        <f t="shared" si="41"/>
        <v>36.650000000000006</v>
      </c>
      <c r="N710" s="106">
        <v>95.65</v>
      </c>
      <c r="O710" s="107">
        <v>182.7</v>
      </c>
      <c r="P710" s="107">
        <v>26040</v>
      </c>
      <c r="Q710" s="107">
        <v>4757508</v>
      </c>
      <c r="R710" s="102"/>
      <c r="S710" s="108"/>
      <c r="T710" s="109" t="s">
        <v>30</v>
      </c>
      <c r="U710" s="109"/>
      <c r="V710" s="102"/>
      <c r="W710" s="109"/>
      <c r="X710" s="109"/>
      <c r="Y710" s="110" t="s">
        <v>119</v>
      </c>
      <c r="Z710" s="111" t="str">
        <f>MID(E710,4,2)</f>
        <v>CA</v>
      </c>
    </row>
    <row r="711" spans="1:26" s="111" customFormat="1" x14ac:dyDescent="0.2">
      <c r="A711" s="101">
        <v>46244</v>
      </c>
      <c r="B711" s="91" t="s">
        <v>933</v>
      </c>
      <c r="C711" s="102" t="s">
        <v>934</v>
      </c>
      <c r="D711" s="103" t="s">
        <v>26</v>
      </c>
      <c r="E711" s="91" t="s">
        <v>935</v>
      </c>
      <c r="F711" s="91" t="s">
        <v>356</v>
      </c>
      <c r="G711" s="91" t="s">
        <v>357</v>
      </c>
      <c r="H711" s="104" t="str">
        <f t="shared" si="42"/>
        <v>C5222J20</v>
      </c>
      <c r="I711" s="104"/>
      <c r="J711" s="105">
        <v>435.6</v>
      </c>
      <c r="K711" s="106">
        <f>+L711</f>
        <v>59.9</v>
      </c>
      <c r="L711" s="106">
        <v>59.9</v>
      </c>
      <c r="M711" s="106">
        <f t="shared" si="41"/>
        <v>0</v>
      </c>
      <c r="N711" s="106">
        <v>59.9</v>
      </c>
      <c r="O711" s="107">
        <v>26092.799999999999</v>
      </c>
      <c r="P711" s="107">
        <v>26040</v>
      </c>
      <c r="Q711" s="107">
        <v>679456512</v>
      </c>
      <c r="R711" s="102" t="s">
        <v>30</v>
      </c>
      <c r="S711" s="108"/>
      <c r="T711" s="109"/>
      <c r="U711" s="109"/>
      <c r="V711" s="102"/>
      <c r="W711" s="109"/>
      <c r="X711" s="109"/>
      <c r="Y711" s="110" t="s">
        <v>119</v>
      </c>
      <c r="Z711" s="111" t="str">
        <f>MID(E711,4,2)</f>
        <v>CA</v>
      </c>
    </row>
    <row r="712" spans="1:26" s="111" customFormat="1" x14ac:dyDescent="0.2">
      <c r="A712" s="101">
        <v>46244</v>
      </c>
      <c r="B712" s="91" t="s">
        <v>933</v>
      </c>
      <c r="C712" s="102" t="s">
        <v>934</v>
      </c>
      <c r="D712" s="103" t="s">
        <v>26</v>
      </c>
      <c r="E712" s="91" t="s">
        <v>935</v>
      </c>
      <c r="F712" s="91" t="s">
        <v>778</v>
      </c>
      <c r="G712" s="91" t="s">
        <v>779</v>
      </c>
      <c r="H712" s="104" t="str">
        <f t="shared" si="42"/>
        <v>C6131J20</v>
      </c>
      <c r="I712" s="104"/>
      <c r="J712" s="105">
        <v>54.45</v>
      </c>
      <c r="K712" s="106">
        <f>IF(D712="CAESARSTONE LTD",VLOOKUP(H712,'[2]GIA CA'!G:H,2,0),IF(OR(D712="STONE FACINGS LIMITED",D712="NORDIA SA",D712="INVICTUS STONE COUNTERTOPS INC",D712="QUARTZTOP LLC"),VLOOKUP(H712,'[2] Giá ngoài Mỹ - SI-GR'!$B$5:$AZ$84,51,0),IF(OR(D712="HYUNDAI L&amp;C CANADA INC",D712="Hyundai L&amp; C USA LLC"),VLOOKUP(H712,'[2]GIA HS'!A:D,4,0),IF(Y712="Mỹ",VLOOKUP(H712,'[2]giá mỹ từ 6.8.2025'!B:I,2,0),VLOOKUP(H712,'[2]giá ngoài mỹ 6.8.2025 (final)'!B:BP,51,0)))))</f>
        <v>59</v>
      </c>
      <c r="L712" s="106">
        <v>62</v>
      </c>
      <c r="M712" s="106">
        <f t="shared" si="41"/>
        <v>3</v>
      </c>
      <c r="N712" s="106">
        <v>62</v>
      </c>
      <c r="O712" s="107">
        <v>3375.9</v>
      </c>
      <c r="P712" s="107">
        <v>26040</v>
      </c>
      <c r="Q712" s="107">
        <v>87908436</v>
      </c>
      <c r="R712" s="102" t="s">
        <v>30</v>
      </c>
      <c r="S712" s="108"/>
      <c r="T712" s="109"/>
      <c r="U712" s="109"/>
      <c r="V712" s="102"/>
      <c r="W712" s="109"/>
      <c r="X712" s="109"/>
      <c r="Y712" s="110" t="s">
        <v>119</v>
      </c>
      <c r="Z712" s="111" t="str">
        <f>MID(E712,4,2)</f>
        <v>CA</v>
      </c>
    </row>
    <row r="713" spans="1:26" s="111" customFormat="1" x14ac:dyDescent="0.2">
      <c r="A713" s="101">
        <v>46244</v>
      </c>
      <c r="B713" s="91" t="s">
        <v>936</v>
      </c>
      <c r="C713" s="102" t="s">
        <v>937</v>
      </c>
      <c r="D713" s="103" t="s">
        <v>26</v>
      </c>
      <c r="E713" s="91" t="s">
        <v>938</v>
      </c>
      <c r="F713" s="91" t="s">
        <v>939</v>
      </c>
      <c r="G713" s="91" t="s">
        <v>940</v>
      </c>
      <c r="H713" s="104" t="str">
        <f t="shared" si="42"/>
        <v>C4033J20</v>
      </c>
      <c r="I713" s="104"/>
      <c r="J713" s="105">
        <v>1</v>
      </c>
      <c r="K713" s="106">
        <f>+L713</f>
        <v>96</v>
      </c>
      <c r="L713" s="106">
        <v>96</v>
      </c>
      <c r="M713" s="106">
        <f t="shared" si="41"/>
        <v>0</v>
      </c>
      <c r="N713" s="106">
        <v>96</v>
      </c>
      <c r="O713" s="107">
        <v>96</v>
      </c>
      <c r="P713" s="107">
        <v>26040</v>
      </c>
      <c r="Q713" s="107">
        <v>2499840</v>
      </c>
      <c r="R713" s="102"/>
      <c r="S713" s="108"/>
      <c r="T713" s="109" t="s">
        <v>30</v>
      </c>
      <c r="U713" s="109"/>
      <c r="V713" s="102"/>
      <c r="W713" s="109"/>
      <c r="X713" s="109"/>
      <c r="Y713" s="110" t="s">
        <v>803</v>
      </c>
      <c r="Z713" s="111" t="str">
        <f>MID(E713,4,2)</f>
        <v>CA</v>
      </c>
    </row>
    <row r="714" spans="1:26" s="111" customFormat="1" x14ac:dyDescent="0.2">
      <c r="A714" s="101">
        <v>46244</v>
      </c>
      <c r="B714" s="91" t="s">
        <v>936</v>
      </c>
      <c r="C714" s="102" t="s">
        <v>937</v>
      </c>
      <c r="D714" s="103" t="s">
        <v>26</v>
      </c>
      <c r="E714" s="91" t="s">
        <v>938</v>
      </c>
      <c r="F714" s="91" t="s">
        <v>941</v>
      </c>
      <c r="G714" s="91" t="s">
        <v>942</v>
      </c>
      <c r="H714" s="104" t="str">
        <f t="shared" si="42"/>
        <v>C5000J20</v>
      </c>
      <c r="I714" s="104"/>
      <c r="J714" s="105">
        <v>0.6</v>
      </c>
      <c r="K714" s="106">
        <f>IF(D714="CAESARSTONE LTD",VLOOKUP(H714,'[2]GIA CA'!G:H,2,0),IF(OR(D714="STONE FACINGS LIMITED",D714="NORDIA SA",D714="INVICTUS STONE COUNTERTOPS INC",D714="QUARTZTOP LLC"),VLOOKUP(H714,'[2] Giá ngoài Mỹ - SI-GR'!$B$5:$AZ$84,51,0),IF(OR(D714="HYUNDAI L&amp;C CANADA INC",D714="Hyundai L&amp; C USA LLC"),VLOOKUP(H714,'[2]GIA HS'!A:D,4,0),IF(Y714="Mỹ",VLOOKUP(H714,'[2]giá mỹ từ 6.8.2025'!B:I,2,0),VLOOKUP(H714,'[2]giá ngoài mỹ 6.8.2025 (final)'!B:BP,51,0)))))</f>
        <v>55</v>
      </c>
      <c r="L714" s="106">
        <v>96</v>
      </c>
      <c r="M714" s="106">
        <f t="shared" si="41"/>
        <v>41</v>
      </c>
      <c r="N714" s="106">
        <v>96</v>
      </c>
      <c r="O714" s="107">
        <v>57.6</v>
      </c>
      <c r="P714" s="107">
        <v>26040</v>
      </c>
      <c r="Q714" s="107">
        <v>1499904</v>
      </c>
      <c r="R714" s="102"/>
      <c r="S714" s="108"/>
      <c r="T714" s="109" t="s">
        <v>30</v>
      </c>
      <c r="U714" s="109"/>
      <c r="V714" s="102"/>
      <c r="W714" s="109"/>
      <c r="X714" s="109"/>
      <c r="Y714" s="110" t="s">
        <v>803</v>
      </c>
      <c r="Z714" s="111" t="str">
        <f>MID(E714,4,2)</f>
        <v>CA</v>
      </c>
    </row>
    <row r="715" spans="1:26" s="111" customFormat="1" x14ac:dyDescent="0.2">
      <c r="A715" s="101">
        <v>46244</v>
      </c>
      <c r="B715" s="91" t="s">
        <v>936</v>
      </c>
      <c r="C715" s="102" t="s">
        <v>937</v>
      </c>
      <c r="D715" s="103" t="s">
        <v>26</v>
      </c>
      <c r="E715" s="91" t="s">
        <v>938</v>
      </c>
      <c r="F715" s="91" t="s">
        <v>943</v>
      </c>
      <c r="G715" s="91" t="s">
        <v>944</v>
      </c>
      <c r="H715" s="104" t="str">
        <f t="shared" si="42"/>
        <v>C5000J20</v>
      </c>
      <c r="I715" s="104"/>
      <c r="J715" s="105">
        <v>1.25</v>
      </c>
      <c r="K715" s="106">
        <f>IF(D715="CAESARSTONE LTD",VLOOKUP(H715,'[2]GIA CA'!G:H,2,0),IF(OR(D715="STONE FACINGS LIMITED",D715="NORDIA SA",D715="INVICTUS STONE COUNTERTOPS INC",D715="QUARTZTOP LLC"),VLOOKUP(H715,'[2] Giá ngoài Mỹ - SI-GR'!$B$5:$AZ$84,51,0),IF(OR(D715="HYUNDAI L&amp;C CANADA INC",D715="Hyundai L&amp; C USA LLC"),VLOOKUP(H715,'[2]GIA HS'!A:D,4,0),IF(Y715="Mỹ",VLOOKUP(H715,'[2]giá mỹ từ 6.8.2025'!B:I,2,0),VLOOKUP(H715,'[2]giá ngoài mỹ 6.8.2025 (final)'!B:BP,51,0)))))</f>
        <v>55</v>
      </c>
      <c r="L715" s="106">
        <v>94.72</v>
      </c>
      <c r="M715" s="106">
        <f t="shared" si="41"/>
        <v>39.72</v>
      </c>
      <c r="N715" s="106">
        <v>94.72</v>
      </c>
      <c r="O715" s="107">
        <v>118.4</v>
      </c>
      <c r="P715" s="107">
        <v>26040</v>
      </c>
      <c r="Q715" s="107">
        <v>3083136</v>
      </c>
      <c r="R715" s="102"/>
      <c r="S715" s="108"/>
      <c r="T715" s="109" t="s">
        <v>30</v>
      </c>
      <c r="U715" s="109"/>
      <c r="V715" s="102"/>
      <c r="W715" s="109"/>
      <c r="X715" s="109"/>
      <c r="Y715" s="110" t="s">
        <v>803</v>
      </c>
      <c r="Z715" s="111" t="str">
        <f>MID(E715,4,2)</f>
        <v>CA</v>
      </c>
    </row>
    <row r="716" spans="1:26" s="111" customFormat="1" x14ac:dyDescent="0.2">
      <c r="A716" s="101">
        <v>46244</v>
      </c>
      <c r="B716" s="91" t="s">
        <v>936</v>
      </c>
      <c r="C716" s="102" t="s">
        <v>937</v>
      </c>
      <c r="D716" s="103" t="s">
        <v>26</v>
      </c>
      <c r="E716" s="91" t="s">
        <v>938</v>
      </c>
      <c r="F716" s="91" t="s">
        <v>945</v>
      </c>
      <c r="G716" s="91" t="s">
        <v>946</v>
      </c>
      <c r="H716" s="104" t="str">
        <f t="shared" si="42"/>
        <v>C5100J20</v>
      </c>
      <c r="I716" s="104"/>
      <c r="J716" s="105">
        <v>0.74</v>
      </c>
      <c r="K716" s="106">
        <f>IF(D716="CAESARSTONE LTD",VLOOKUP(H716,'[2]GIA CA'!G:H,2,0),IF(OR(D716="STONE FACINGS LIMITED",D716="NORDIA SA",D716="INVICTUS STONE COUNTERTOPS INC",D716="QUARTZTOP LLC"),VLOOKUP(H716,'[2] Giá ngoài Mỹ - SI-GR'!$B$5:$AZ$84,51,0),IF(OR(D716="HYUNDAI L&amp;C CANADA INC",D716="Hyundai L&amp; C USA LLC"),VLOOKUP(H716,'[2]GIA HS'!A:D,4,0),IF(Y716="Mỹ",VLOOKUP(H716,'[2]giá mỹ từ 6.8.2025'!B:I,2,0),VLOOKUP(H716,'[2]giá ngoài mỹ 6.8.2025 (final)'!B:BP,51,0)))))</f>
        <v>59</v>
      </c>
      <c r="L716" s="106">
        <v>94.59</v>
      </c>
      <c r="M716" s="106">
        <f t="shared" si="41"/>
        <v>35.590000000000003</v>
      </c>
      <c r="N716" s="106">
        <v>94.59</v>
      </c>
      <c r="O716" s="107">
        <v>70</v>
      </c>
      <c r="P716" s="107">
        <v>26040</v>
      </c>
      <c r="Q716" s="107">
        <v>1822800</v>
      </c>
      <c r="R716" s="102"/>
      <c r="S716" s="108"/>
      <c r="T716" s="109" t="s">
        <v>30</v>
      </c>
      <c r="U716" s="109"/>
      <c r="V716" s="102"/>
      <c r="W716" s="109"/>
      <c r="X716" s="109"/>
      <c r="Y716" s="110" t="s">
        <v>803</v>
      </c>
      <c r="Z716" s="111" t="str">
        <f>MID(E716,4,2)</f>
        <v>CA</v>
      </c>
    </row>
    <row r="717" spans="1:26" s="111" customFormat="1" x14ac:dyDescent="0.2">
      <c r="A717" s="101">
        <v>46244</v>
      </c>
      <c r="B717" s="91" t="s">
        <v>936</v>
      </c>
      <c r="C717" s="102" t="s">
        <v>937</v>
      </c>
      <c r="D717" s="103" t="s">
        <v>26</v>
      </c>
      <c r="E717" s="91" t="s">
        <v>938</v>
      </c>
      <c r="F717" s="91" t="s">
        <v>947</v>
      </c>
      <c r="G717" s="91" t="s">
        <v>948</v>
      </c>
      <c r="H717" s="104" t="str">
        <f t="shared" si="42"/>
        <v>C5111J20</v>
      </c>
      <c r="I717" s="104"/>
      <c r="J717" s="105">
        <v>3.13</v>
      </c>
      <c r="K717" s="106">
        <f>IF(D717="CAESARSTONE LTD",VLOOKUP(H717,'[2]GIA CA'!G:H,2,0),IF(OR(D717="STONE FACINGS LIMITED",D717="NORDIA SA",D717="INVICTUS STONE COUNTERTOPS INC",D717="QUARTZTOP LLC"),VLOOKUP(H717,'[2] Giá ngoài Mỹ - SI-GR'!$B$5:$AZ$84,51,0),IF(OR(D717="HYUNDAI L&amp;C CANADA INC",D717="Hyundai L&amp; C USA LLC"),VLOOKUP(H717,'[2]GIA HS'!A:D,4,0),IF(Y717="Mỹ",VLOOKUP(H717,'[2]giá mỹ từ 6.8.2025'!B:I,2,0),VLOOKUP(H717,'[2]giá ngoài mỹ 6.8.2025 (final)'!B:BP,51,0)))))</f>
        <v>55</v>
      </c>
      <c r="L717" s="106">
        <v>119.17</v>
      </c>
      <c r="M717" s="106">
        <f t="shared" ref="M717:M780" si="45">L717-K717</f>
        <v>64.17</v>
      </c>
      <c r="N717" s="106">
        <v>119.17</v>
      </c>
      <c r="O717" s="107">
        <v>373</v>
      </c>
      <c r="P717" s="107">
        <v>26040</v>
      </c>
      <c r="Q717" s="107">
        <v>9712920</v>
      </c>
      <c r="R717" s="102"/>
      <c r="S717" s="108"/>
      <c r="T717" s="109" t="s">
        <v>30</v>
      </c>
      <c r="U717" s="109"/>
      <c r="V717" s="102"/>
      <c r="W717" s="109"/>
      <c r="X717" s="109"/>
      <c r="Y717" s="110" t="s">
        <v>803</v>
      </c>
      <c r="Z717" s="111" t="str">
        <f>MID(E717,4,2)</f>
        <v>CA</v>
      </c>
    </row>
    <row r="718" spans="1:26" s="111" customFormat="1" x14ac:dyDescent="0.2">
      <c r="A718" s="101">
        <v>46244</v>
      </c>
      <c r="B718" s="91" t="s">
        <v>936</v>
      </c>
      <c r="C718" s="102" t="s">
        <v>937</v>
      </c>
      <c r="D718" s="103" t="s">
        <v>26</v>
      </c>
      <c r="E718" s="91" t="s">
        <v>938</v>
      </c>
      <c r="F718" s="91" t="s">
        <v>949</v>
      </c>
      <c r="G718" s="91" t="s">
        <v>950</v>
      </c>
      <c r="H718" s="104" t="str">
        <f t="shared" ref="H718:H781" si="46">IF(LEN(G718)=13,LEFT(G718,5)&amp;MID(G718,SEARCH("-J",G718)+1,3),LEFT(G718,5)&amp;"J20")</f>
        <v>F4011J20</v>
      </c>
      <c r="I718" s="104"/>
      <c r="J718" s="105">
        <v>2</v>
      </c>
      <c r="K718" s="106">
        <f>+L718</f>
        <v>96</v>
      </c>
      <c r="L718" s="106">
        <v>96</v>
      </c>
      <c r="M718" s="106">
        <f t="shared" si="45"/>
        <v>0</v>
      </c>
      <c r="N718" s="106">
        <v>96</v>
      </c>
      <c r="O718" s="107">
        <v>192</v>
      </c>
      <c r="P718" s="107">
        <v>26040</v>
      </c>
      <c r="Q718" s="107">
        <v>4999680</v>
      </c>
      <c r="R718" s="102"/>
      <c r="S718" s="108"/>
      <c r="T718" s="109" t="s">
        <v>30</v>
      </c>
      <c r="U718" s="109"/>
      <c r="V718" s="102"/>
      <c r="W718" s="109"/>
      <c r="X718" s="109"/>
      <c r="Y718" s="110" t="s">
        <v>803</v>
      </c>
      <c r="Z718" s="111" t="str">
        <f>MID(E718,4,2)</f>
        <v>CA</v>
      </c>
    </row>
    <row r="719" spans="1:26" s="111" customFormat="1" x14ac:dyDescent="0.2">
      <c r="A719" s="101">
        <v>46244</v>
      </c>
      <c r="B719" s="91" t="s">
        <v>936</v>
      </c>
      <c r="C719" s="102" t="s">
        <v>937</v>
      </c>
      <c r="D719" s="103" t="s">
        <v>26</v>
      </c>
      <c r="E719" s="91" t="s">
        <v>938</v>
      </c>
      <c r="F719" s="91" t="s">
        <v>951</v>
      </c>
      <c r="G719" s="91" t="s">
        <v>952</v>
      </c>
      <c r="H719" s="104" t="str">
        <f t="shared" si="46"/>
        <v>F5031J20</v>
      </c>
      <c r="I719" s="104"/>
      <c r="J719" s="105">
        <v>1.56</v>
      </c>
      <c r="K719" s="106">
        <f>IF(D719="CAESARSTONE LTD",VLOOKUP(H719,'[2]GIA CA'!G:H,2,0),IF(OR(D719="STONE FACINGS LIMITED",D719="NORDIA SA",D719="INVICTUS STONE COUNTERTOPS INC",D719="QUARTZTOP LLC"),VLOOKUP(H719,'[2] Giá ngoài Mỹ - SI-GR'!$B$5:$AZ$84,51,0),IF(OR(D719="HYUNDAI L&amp;C CANADA INC",D719="Hyundai L&amp; C USA LLC"),VLOOKUP(H719,'[2]GIA HS'!A:D,4,0),IF(Y719="Mỹ",VLOOKUP(H719,'[2]giá mỹ từ 6.8.2025'!B:I,2,0),VLOOKUP(H719,'[2]giá ngoài mỹ 6.8.2025 (final)'!B:BP,51,0)))))</f>
        <v>60</v>
      </c>
      <c r="L719" s="106">
        <v>119.55</v>
      </c>
      <c r="M719" s="106">
        <f t="shared" si="45"/>
        <v>59.55</v>
      </c>
      <c r="N719" s="106">
        <v>119.55</v>
      </c>
      <c r="O719" s="107">
        <v>186.5</v>
      </c>
      <c r="P719" s="107">
        <v>26040</v>
      </c>
      <c r="Q719" s="107">
        <v>4856460</v>
      </c>
      <c r="R719" s="102"/>
      <c r="S719" s="108"/>
      <c r="T719" s="109" t="s">
        <v>30</v>
      </c>
      <c r="U719" s="109"/>
      <c r="V719" s="102"/>
      <c r="W719" s="109"/>
      <c r="X719" s="109"/>
      <c r="Y719" s="110" t="s">
        <v>803</v>
      </c>
      <c r="Z719" s="111" t="str">
        <f>MID(E719,4,2)</f>
        <v>CA</v>
      </c>
    </row>
    <row r="720" spans="1:26" s="111" customFormat="1" x14ac:dyDescent="0.2">
      <c r="A720" s="101">
        <v>46244</v>
      </c>
      <c r="B720" s="91" t="s">
        <v>936</v>
      </c>
      <c r="C720" s="102" t="s">
        <v>937</v>
      </c>
      <c r="D720" s="103" t="s">
        <v>26</v>
      </c>
      <c r="E720" s="91" t="s">
        <v>938</v>
      </c>
      <c r="F720" s="91" t="s">
        <v>306</v>
      </c>
      <c r="G720" s="91" t="s">
        <v>307</v>
      </c>
      <c r="H720" s="104" t="str">
        <f t="shared" si="46"/>
        <v>F5105J20</v>
      </c>
      <c r="I720" s="104"/>
      <c r="J720" s="105">
        <v>3.13</v>
      </c>
      <c r="K720" s="106">
        <f>IF(D720="CAESARSTONE LTD",VLOOKUP(H720,'[2]GIA CA'!G:H,2,0),IF(OR(D720="STONE FACINGS LIMITED",D720="NORDIA SA",D720="INVICTUS STONE COUNTERTOPS INC",D720="QUARTZTOP LLC"),VLOOKUP(H720,'[2] Giá ngoài Mỹ - SI-GR'!$B$5:$AZ$84,51,0),IF(OR(D720="HYUNDAI L&amp;C CANADA INC",D720="Hyundai L&amp; C USA LLC"),VLOOKUP(H720,'[2]GIA HS'!A:D,4,0),IF(Y720="Mỹ",VLOOKUP(H720,'[2]giá mỹ từ 6.8.2025'!B:I,2,0),VLOOKUP(H720,'[2]giá ngoài mỹ 6.8.2025 (final)'!B:BP,51,0)))))</f>
        <v>68</v>
      </c>
      <c r="L720" s="106">
        <v>129.07</v>
      </c>
      <c r="M720" s="106">
        <f t="shared" si="45"/>
        <v>61.069999999999993</v>
      </c>
      <c r="N720" s="106">
        <v>129.07</v>
      </c>
      <c r="O720" s="107">
        <v>404</v>
      </c>
      <c r="P720" s="107">
        <v>26040</v>
      </c>
      <c r="Q720" s="107">
        <v>10520160</v>
      </c>
      <c r="R720" s="102"/>
      <c r="S720" s="108"/>
      <c r="T720" s="109" t="s">
        <v>30</v>
      </c>
      <c r="U720" s="109"/>
      <c r="V720" s="102"/>
      <c r="W720" s="109"/>
      <c r="X720" s="109"/>
      <c r="Y720" s="110" t="s">
        <v>803</v>
      </c>
      <c r="Z720" s="111" t="str">
        <f>MID(E720,4,2)</f>
        <v>CA</v>
      </c>
    </row>
    <row r="721" spans="1:26" s="111" customFormat="1" x14ac:dyDescent="0.2">
      <c r="A721" s="101">
        <v>46244</v>
      </c>
      <c r="B721" s="91" t="s">
        <v>936</v>
      </c>
      <c r="C721" s="102" t="s">
        <v>937</v>
      </c>
      <c r="D721" s="103" t="s">
        <v>26</v>
      </c>
      <c r="E721" s="91" t="s">
        <v>938</v>
      </c>
      <c r="F721" s="91" t="s">
        <v>304</v>
      </c>
      <c r="G721" s="91" t="s">
        <v>305</v>
      </c>
      <c r="H721" s="104" t="str">
        <f t="shared" si="46"/>
        <v>F5105J20</v>
      </c>
      <c r="I721" s="104"/>
      <c r="J721" s="105">
        <v>0.6</v>
      </c>
      <c r="K721" s="106">
        <f>IF(D721="CAESARSTONE LTD",VLOOKUP(H721,'[2]GIA CA'!G:H,2,0),IF(OR(D721="STONE FACINGS LIMITED",D721="NORDIA SA",D721="INVICTUS STONE COUNTERTOPS INC",D721="QUARTZTOP LLC"),VLOOKUP(H721,'[2] Giá ngoài Mỹ - SI-GR'!$B$5:$AZ$84,51,0),IF(OR(D721="HYUNDAI L&amp;C CANADA INC",D721="Hyundai L&amp; C USA LLC"),VLOOKUP(H721,'[2]GIA HS'!A:D,4,0),IF(Y721="Mỹ",VLOOKUP(H721,'[2]giá mỹ từ 6.8.2025'!B:I,2,0),VLOOKUP(H721,'[2]giá ngoài mỹ 6.8.2025 (final)'!B:BP,51,0)))))</f>
        <v>68</v>
      </c>
      <c r="L721" s="106">
        <v>131</v>
      </c>
      <c r="M721" s="106">
        <f t="shared" si="45"/>
        <v>63</v>
      </c>
      <c r="N721" s="106">
        <v>131</v>
      </c>
      <c r="O721" s="107">
        <v>78.599999999999994</v>
      </c>
      <c r="P721" s="107">
        <v>26040</v>
      </c>
      <c r="Q721" s="107">
        <v>2046744</v>
      </c>
      <c r="R721" s="102"/>
      <c r="S721" s="108"/>
      <c r="T721" s="109" t="s">
        <v>30</v>
      </c>
      <c r="U721" s="109"/>
      <c r="V721" s="102"/>
      <c r="W721" s="109"/>
      <c r="X721" s="109"/>
      <c r="Y721" s="110" t="s">
        <v>803</v>
      </c>
      <c r="Z721" s="111" t="str">
        <f>MID(E721,4,2)</f>
        <v>CA</v>
      </c>
    </row>
    <row r="722" spans="1:26" s="111" customFormat="1" x14ac:dyDescent="0.2">
      <c r="A722" s="101">
        <v>46244</v>
      </c>
      <c r="B722" s="91" t="s">
        <v>936</v>
      </c>
      <c r="C722" s="102" t="s">
        <v>937</v>
      </c>
      <c r="D722" s="103" t="s">
        <v>26</v>
      </c>
      <c r="E722" s="91" t="s">
        <v>938</v>
      </c>
      <c r="F722" s="91" t="s">
        <v>304</v>
      </c>
      <c r="G722" s="91" t="s">
        <v>305</v>
      </c>
      <c r="H722" s="104" t="str">
        <f t="shared" si="46"/>
        <v>F5105J20</v>
      </c>
      <c r="I722" s="104"/>
      <c r="J722" s="105">
        <v>0.6</v>
      </c>
      <c r="K722" s="106">
        <f>IF(D722="CAESARSTONE LTD",VLOOKUP(H722,'[2]GIA CA'!G:H,2,0),IF(OR(D722="STONE FACINGS LIMITED",D722="NORDIA SA",D722="INVICTUS STONE COUNTERTOPS INC",D722="QUARTZTOP LLC"),VLOOKUP(H722,'[2] Giá ngoài Mỹ - SI-GR'!$B$5:$AZ$84,51,0),IF(OR(D722="HYUNDAI L&amp;C CANADA INC",D722="Hyundai L&amp; C USA LLC"),VLOOKUP(H722,'[2]GIA HS'!A:D,4,0),IF(Y722="Mỹ",VLOOKUP(H722,'[2]giá mỹ từ 6.8.2025'!B:I,2,0),VLOOKUP(H722,'[2]giá ngoài mỹ 6.8.2025 (final)'!B:BP,51,0)))))</f>
        <v>68</v>
      </c>
      <c r="L722" s="106">
        <v>131</v>
      </c>
      <c r="M722" s="106">
        <f t="shared" si="45"/>
        <v>63</v>
      </c>
      <c r="N722" s="106">
        <v>131</v>
      </c>
      <c r="O722" s="107">
        <v>78.599999999999994</v>
      </c>
      <c r="P722" s="107">
        <v>26040</v>
      </c>
      <c r="Q722" s="107">
        <v>2046744</v>
      </c>
      <c r="R722" s="102"/>
      <c r="S722" s="108"/>
      <c r="T722" s="109" t="s">
        <v>30</v>
      </c>
      <c r="U722" s="109"/>
      <c r="V722" s="102"/>
      <c r="W722" s="109"/>
      <c r="X722" s="109"/>
      <c r="Y722" s="110" t="s">
        <v>803</v>
      </c>
      <c r="Z722" s="111" t="str">
        <f>MID(E722,4,2)</f>
        <v>CA</v>
      </c>
    </row>
    <row r="723" spans="1:26" s="111" customFormat="1" x14ac:dyDescent="0.2">
      <c r="A723" s="101">
        <v>46244</v>
      </c>
      <c r="B723" s="91" t="s">
        <v>936</v>
      </c>
      <c r="C723" s="102" t="s">
        <v>937</v>
      </c>
      <c r="D723" s="103" t="s">
        <v>26</v>
      </c>
      <c r="E723" s="91" t="s">
        <v>938</v>
      </c>
      <c r="F723" s="91" t="s">
        <v>308</v>
      </c>
      <c r="G723" s="91" t="s">
        <v>309</v>
      </c>
      <c r="H723" s="104" t="str">
        <f t="shared" si="46"/>
        <v>F5140J20</v>
      </c>
      <c r="I723" s="104"/>
      <c r="J723" s="105">
        <v>1.47</v>
      </c>
      <c r="K723" s="106">
        <f>IF(D723="CAESARSTONE LTD",VLOOKUP(H723,'[2]GIA CA'!G:H,2,0),IF(OR(D723="STONE FACINGS LIMITED",D723="NORDIA SA",D723="INVICTUS STONE COUNTERTOPS INC",D723="QUARTZTOP LLC"),VLOOKUP(H723,'[2] Giá ngoài Mỹ - SI-GR'!$B$5:$AZ$84,51,0),IF(OR(D723="HYUNDAI L&amp;C CANADA INC",D723="Hyundai L&amp; C USA LLC"),VLOOKUP(H723,'[2]GIA HS'!A:D,4,0),IF(Y723="Mỹ",VLOOKUP(H723,'[2]giá mỹ từ 6.8.2025'!B:I,2,0),VLOOKUP(H723,'[2]giá ngoài mỹ 6.8.2025 (final)'!B:BP,51,0)))))</f>
        <v>62</v>
      </c>
      <c r="L723" s="106">
        <v>95.24</v>
      </c>
      <c r="M723" s="106">
        <f t="shared" si="45"/>
        <v>33.239999999999995</v>
      </c>
      <c r="N723" s="106">
        <v>95.24</v>
      </c>
      <c r="O723" s="107">
        <v>140</v>
      </c>
      <c r="P723" s="107">
        <v>26040</v>
      </c>
      <c r="Q723" s="107">
        <v>3645600</v>
      </c>
      <c r="R723" s="102"/>
      <c r="S723" s="108"/>
      <c r="T723" s="109" t="s">
        <v>30</v>
      </c>
      <c r="U723" s="109"/>
      <c r="V723" s="102"/>
      <c r="W723" s="109"/>
      <c r="X723" s="109"/>
      <c r="Y723" s="110" t="s">
        <v>803</v>
      </c>
      <c r="Z723" s="111" t="str">
        <f>MID(E723,4,2)</f>
        <v>CA</v>
      </c>
    </row>
    <row r="724" spans="1:26" s="111" customFormat="1" x14ac:dyDescent="0.2">
      <c r="A724" s="101">
        <v>46244</v>
      </c>
      <c r="B724" s="91" t="s">
        <v>936</v>
      </c>
      <c r="C724" s="102" t="s">
        <v>937</v>
      </c>
      <c r="D724" s="103" t="s">
        <v>26</v>
      </c>
      <c r="E724" s="91" t="s">
        <v>938</v>
      </c>
      <c r="F724" s="91" t="s">
        <v>320</v>
      </c>
      <c r="G724" s="91" t="s">
        <v>321</v>
      </c>
      <c r="H724" s="104" t="str">
        <f t="shared" si="46"/>
        <v>F8252J20</v>
      </c>
      <c r="I724" s="104"/>
      <c r="J724" s="105">
        <v>0.6</v>
      </c>
      <c r="K724" s="106">
        <f>IF(D724="CAESARSTONE LTD",VLOOKUP(H724,'[2]GIA CA'!G:H,2,0),IF(OR(D724="STONE FACINGS LIMITED",D724="NORDIA SA",D724="INVICTUS STONE COUNTERTOPS INC",D724="QUARTZTOP LLC"),VLOOKUP(H724,'[2] Giá ngoài Mỹ - SI-GR'!$B$5:$AZ$84,51,0),IF(OR(D724="HYUNDAI L&amp;C CANADA INC",D724="Hyundai L&amp; C USA LLC"),VLOOKUP(H724,'[2]GIA HS'!A:D,4,0),IF(Y724="Mỹ",VLOOKUP(H724,'[2]giá mỹ từ 6.8.2025'!B:I,2,0),VLOOKUP(H724,'[2]giá ngoài mỹ 6.8.2025 (final)'!B:BP,51,0)))))</f>
        <v>68</v>
      </c>
      <c r="L724" s="106">
        <v>131</v>
      </c>
      <c r="M724" s="106">
        <f t="shared" si="45"/>
        <v>63</v>
      </c>
      <c r="N724" s="106">
        <v>131</v>
      </c>
      <c r="O724" s="107">
        <v>78.599999999999994</v>
      </c>
      <c r="P724" s="107">
        <v>26040</v>
      </c>
      <c r="Q724" s="107">
        <v>2046744</v>
      </c>
      <c r="R724" s="102"/>
      <c r="S724" s="108"/>
      <c r="T724" s="109" t="s">
        <v>30</v>
      </c>
      <c r="U724" s="109"/>
      <c r="V724" s="102"/>
      <c r="W724" s="109"/>
      <c r="X724" s="109"/>
      <c r="Y724" s="110" t="s">
        <v>803</v>
      </c>
      <c r="Z724" s="111" t="str">
        <f>MID(E724,4,2)</f>
        <v>CA</v>
      </c>
    </row>
    <row r="725" spans="1:26" s="111" customFormat="1" x14ac:dyDescent="0.2">
      <c r="A725" s="101">
        <v>46244</v>
      </c>
      <c r="B725" s="91" t="s">
        <v>936</v>
      </c>
      <c r="C725" s="102" t="s">
        <v>937</v>
      </c>
      <c r="D725" s="103" t="s">
        <v>26</v>
      </c>
      <c r="E725" s="91" t="s">
        <v>938</v>
      </c>
      <c r="F725" s="91" t="s">
        <v>322</v>
      </c>
      <c r="G725" s="91" t="s">
        <v>323</v>
      </c>
      <c r="H725" s="104" t="str">
        <f t="shared" si="46"/>
        <v>F8252J20</v>
      </c>
      <c r="I725" s="104"/>
      <c r="J725" s="105">
        <v>3.75</v>
      </c>
      <c r="K725" s="106">
        <f>IF(D725="CAESARSTONE LTD",VLOOKUP(H725,'[2]GIA CA'!G:H,2,0),IF(OR(D725="STONE FACINGS LIMITED",D725="NORDIA SA",D725="INVICTUS STONE COUNTERTOPS INC",D725="QUARTZTOP LLC"),VLOOKUP(H725,'[2] Giá ngoài Mỹ - SI-GR'!$B$5:$AZ$84,51,0),IF(OR(D725="HYUNDAI L&amp;C CANADA INC",D725="Hyundai L&amp; C USA LLC"),VLOOKUP(H725,'[2]GIA HS'!A:D,4,0),IF(Y725="Mỹ",VLOOKUP(H725,'[2]giá mỹ từ 6.8.2025'!B:I,2,0),VLOOKUP(H725,'[2]giá ngoài mỹ 6.8.2025 (final)'!B:BP,51,0)))))</f>
        <v>68</v>
      </c>
      <c r="L725" s="106">
        <v>129.28</v>
      </c>
      <c r="M725" s="106">
        <f t="shared" si="45"/>
        <v>61.28</v>
      </c>
      <c r="N725" s="106">
        <v>129.28</v>
      </c>
      <c r="O725" s="106">
        <v>484.8</v>
      </c>
      <c r="P725" s="107">
        <v>26040</v>
      </c>
      <c r="Q725" s="107">
        <v>12624192</v>
      </c>
      <c r="R725" s="102"/>
      <c r="S725" s="108"/>
      <c r="T725" s="109" t="s">
        <v>30</v>
      </c>
      <c r="U725" s="109"/>
      <c r="V725" s="102"/>
      <c r="W725" s="109"/>
      <c r="X725" s="109"/>
      <c r="Y725" s="110" t="s">
        <v>803</v>
      </c>
      <c r="Z725" s="111" t="str">
        <f>MID(E725,4,2)</f>
        <v>CA</v>
      </c>
    </row>
    <row r="726" spans="1:26" s="111" customFormat="1" x14ac:dyDescent="0.2">
      <c r="A726" s="101">
        <v>46244</v>
      </c>
      <c r="B726" s="91" t="s">
        <v>936</v>
      </c>
      <c r="C726" s="102" t="s">
        <v>937</v>
      </c>
      <c r="D726" s="103" t="s">
        <v>26</v>
      </c>
      <c r="E726" s="91" t="s">
        <v>938</v>
      </c>
      <c r="F726" s="91" t="s">
        <v>641</v>
      </c>
      <c r="G726" s="91" t="s">
        <v>642</v>
      </c>
      <c r="H726" s="104" t="str">
        <f t="shared" si="46"/>
        <v>C2104J30</v>
      </c>
      <c r="I726" s="104"/>
      <c r="J726" s="105">
        <v>136.13</v>
      </c>
      <c r="K726" s="106">
        <f>IF(D726="CAESARSTONE LTD",VLOOKUP(H726,'[2]GIA CA'!G:H,2,0),IF(OR(D726="STONE FACINGS LIMITED",D726="NORDIA SA",D726="INVICTUS STONE COUNTERTOPS INC",D726="QUARTZTOP LLC"),VLOOKUP(H726,'[2] Giá ngoài Mỹ - SI-GR'!$B$5:$AZ$84,51,0),IF(OR(D726="HYUNDAI L&amp;C CANADA INC",D726="Hyundai L&amp; C USA LLC"),VLOOKUP(H726,'[2]GIA HS'!A:D,4,0),IF(Y726="Mỹ",VLOOKUP(H726,'[2]giá mỹ từ 6.8.2025'!B:I,2,0),VLOOKUP(H726,'[2]giá ngoài mỹ 6.8.2025 (final)'!B:BP,51,0)))))</f>
        <v>66.5</v>
      </c>
      <c r="L726" s="106">
        <v>72.180000000000007</v>
      </c>
      <c r="M726" s="106">
        <f t="shared" si="45"/>
        <v>5.6800000000000068</v>
      </c>
      <c r="N726" s="106">
        <v>72.180000000000007</v>
      </c>
      <c r="O726" s="107">
        <v>9825.7800000000007</v>
      </c>
      <c r="P726" s="107">
        <v>26040</v>
      </c>
      <c r="Q726" s="107">
        <v>255863311</v>
      </c>
      <c r="R726" s="102" t="s">
        <v>30</v>
      </c>
      <c r="S726" s="108"/>
      <c r="T726" s="109"/>
      <c r="U726" s="109"/>
      <c r="V726" s="102"/>
      <c r="W726" s="109"/>
      <c r="X726" s="109"/>
      <c r="Y726" s="110" t="s">
        <v>803</v>
      </c>
      <c r="Z726" s="111" t="str">
        <f>MID(E726,4,2)</f>
        <v>CA</v>
      </c>
    </row>
    <row r="727" spans="1:26" s="111" customFormat="1" x14ac:dyDescent="0.2">
      <c r="A727" s="101">
        <v>46244</v>
      </c>
      <c r="B727" s="91" t="s">
        <v>936</v>
      </c>
      <c r="C727" s="102" t="s">
        <v>937</v>
      </c>
      <c r="D727" s="103" t="s">
        <v>26</v>
      </c>
      <c r="E727" s="91" t="s">
        <v>938</v>
      </c>
      <c r="F727" s="91" t="s">
        <v>953</v>
      </c>
      <c r="G727" s="91" t="s">
        <v>954</v>
      </c>
      <c r="H727" s="104" t="str">
        <f t="shared" si="46"/>
        <v>F5113J30</v>
      </c>
      <c r="I727" s="104"/>
      <c r="J727" s="105">
        <v>10.89</v>
      </c>
      <c r="K727" s="106">
        <f>IF(D727="CAESARSTONE LTD",VLOOKUP(H727,'[2]GIA CA'!G:H,2,0),IF(OR(D727="STONE FACINGS LIMITED",D727="NORDIA SA",D727="INVICTUS STONE COUNTERTOPS INC",D727="QUARTZTOP LLC"),VLOOKUP(H727,'[2] Giá ngoài Mỹ - SI-GR'!$B$5:$AZ$84,51,0),IF(OR(D727="HYUNDAI L&amp;C CANADA INC",D727="Hyundai L&amp; C USA LLC"),VLOOKUP(H727,'[2]GIA HS'!A:D,4,0),IF(Y727="Mỹ",VLOOKUP(H727,'[2]giá mỹ từ 6.8.2025'!B:I,2,0),VLOOKUP(H727,'[2]giá ngoài mỹ 6.8.2025 (final)'!B:BP,51,0)))))</f>
        <v>77.5</v>
      </c>
      <c r="L727" s="106">
        <v>81.400000000000006</v>
      </c>
      <c r="M727" s="106">
        <f t="shared" si="45"/>
        <v>3.9000000000000057</v>
      </c>
      <c r="N727" s="106">
        <v>81.400000000000006</v>
      </c>
      <c r="O727" s="107">
        <v>886.44</v>
      </c>
      <c r="P727" s="107">
        <v>26040</v>
      </c>
      <c r="Q727" s="107">
        <v>23082898</v>
      </c>
      <c r="R727" s="102" t="s">
        <v>30</v>
      </c>
      <c r="S727" s="108"/>
      <c r="T727" s="109"/>
      <c r="U727" s="109"/>
      <c r="V727" s="102"/>
      <c r="W727" s="109"/>
      <c r="X727" s="109"/>
      <c r="Y727" s="110" t="s">
        <v>803</v>
      </c>
      <c r="Z727" s="111" t="str">
        <f>MID(E727,4,2)</f>
        <v>CA</v>
      </c>
    </row>
    <row r="728" spans="1:26" s="111" customFormat="1" x14ac:dyDescent="0.2">
      <c r="A728" s="101">
        <v>46244</v>
      </c>
      <c r="B728" s="91" t="s">
        <v>936</v>
      </c>
      <c r="C728" s="102" t="s">
        <v>937</v>
      </c>
      <c r="D728" s="103" t="s">
        <v>26</v>
      </c>
      <c r="E728" s="91" t="s">
        <v>938</v>
      </c>
      <c r="F728" s="91" t="s">
        <v>953</v>
      </c>
      <c r="G728" s="91" t="s">
        <v>954</v>
      </c>
      <c r="H728" s="104" t="str">
        <f t="shared" si="46"/>
        <v>F5113J30</v>
      </c>
      <c r="I728" s="104"/>
      <c r="J728" s="105">
        <v>87.12</v>
      </c>
      <c r="K728" s="106">
        <f>IF(D728="CAESARSTONE LTD",VLOOKUP(H728,'[2]GIA CA'!G:H,2,0),IF(OR(D728="STONE FACINGS LIMITED",D728="NORDIA SA",D728="INVICTUS STONE COUNTERTOPS INC",D728="QUARTZTOP LLC"),VLOOKUP(H728,'[2] Giá ngoài Mỹ - SI-GR'!$B$5:$AZ$84,51,0),IF(OR(D728="HYUNDAI L&amp;C CANADA INC",D728="Hyundai L&amp; C USA LLC"),VLOOKUP(H728,'[2]GIA HS'!A:D,4,0),IF(Y728="Mỹ",VLOOKUP(H728,'[2]giá mỹ từ 6.8.2025'!B:I,2,0),VLOOKUP(H728,'[2]giá ngoài mỹ 6.8.2025 (final)'!B:BP,51,0)))))</f>
        <v>77.5</v>
      </c>
      <c r="L728" s="106">
        <v>81.400000000000006</v>
      </c>
      <c r="M728" s="106">
        <f t="shared" si="45"/>
        <v>3.9000000000000057</v>
      </c>
      <c r="N728" s="106">
        <v>81.400000000000006</v>
      </c>
      <c r="O728" s="106">
        <v>7091.52</v>
      </c>
      <c r="P728" s="107">
        <v>26040</v>
      </c>
      <c r="Q728" s="107">
        <v>184663181</v>
      </c>
      <c r="R728" s="102" t="s">
        <v>30</v>
      </c>
      <c r="S728" s="108"/>
      <c r="T728" s="109"/>
      <c r="U728" s="109"/>
      <c r="V728" s="102"/>
      <c r="W728" s="109"/>
      <c r="X728" s="109"/>
      <c r="Y728" s="110" t="s">
        <v>803</v>
      </c>
      <c r="Z728" s="111" t="str">
        <f>MID(E728,4,2)</f>
        <v>CA</v>
      </c>
    </row>
    <row r="729" spans="1:26" s="111" customFormat="1" x14ac:dyDescent="0.2">
      <c r="A729" s="101">
        <v>46244</v>
      </c>
      <c r="B729" s="91" t="s">
        <v>936</v>
      </c>
      <c r="C729" s="102" t="s">
        <v>937</v>
      </c>
      <c r="D729" s="103" t="s">
        <v>26</v>
      </c>
      <c r="E729" s="91" t="s">
        <v>938</v>
      </c>
      <c r="F729" s="91" t="s">
        <v>955</v>
      </c>
      <c r="G729" s="91" t="s">
        <v>954</v>
      </c>
      <c r="H729" s="104" t="str">
        <f t="shared" si="46"/>
        <v>F5113J30</v>
      </c>
      <c r="I729" s="104"/>
      <c r="J729" s="105">
        <v>54.45</v>
      </c>
      <c r="K729" s="106">
        <f>IF(D729="CAESARSTONE LTD",VLOOKUP(H729,'[2]GIA CA'!G:H,2,0),IF(OR(D729="STONE FACINGS LIMITED",D729="NORDIA SA",D729="INVICTUS STONE COUNTERTOPS INC",D729="QUARTZTOP LLC"),VLOOKUP(H729,'[2] Giá ngoài Mỹ - SI-GR'!$B$5:$AZ$84,51,0),IF(OR(D729="HYUNDAI L&amp;C CANADA INC",D729="Hyundai L&amp; C USA LLC"),VLOOKUP(H729,'[2]GIA HS'!A:D,4,0),IF(Y729="Mỹ",VLOOKUP(H729,'[2]giá mỹ từ 6.8.2025'!B:I,2,0),VLOOKUP(H729,'[2]giá ngoài mỹ 6.8.2025 (final)'!B:BP,51,0)))))</f>
        <v>77.5</v>
      </c>
      <c r="L729" s="106">
        <v>81.400000000000006</v>
      </c>
      <c r="M729" s="106">
        <f t="shared" si="45"/>
        <v>3.9000000000000057</v>
      </c>
      <c r="N729" s="106">
        <v>81.400000000000006</v>
      </c>
      <c r="O729" s="106">
        <v>4432.2</v>
      </c>
      <c r="P729" s="107">
        <v>26040</v>
      </c>
      <c r="Q729" s="107">
        <v>115414488</v>
      </c>
      <c r="R729" s="102" t="s">
        <v>30</v>
      </c>
      <c r="S729" s="108"/>
      <c r="T729" s="109"/>
      <c r="U729" s="109"/>
      <c r="V729" s="102"/>
      <c r="W729" s="109"/>
      <c r="X729" s="109"/>
      <c r="Y729" s="110" t="s">
        <v>803</v>
      </c>
      <c r="Z729" s="111" t="str">
        <f>MID(E729,4,2)</f>
        <v>CA</v>
      </c>
    </row>
    <row r="730" spans="1:26" s="111" customFormat="1" x14ac:dyDescent="0.2">
      <c r="A730" s="101">
        <v>46244</v>
      </c>
      <c r="B730" s="91" t="s">
        <v>956</v>
      </c>
      <c r="C730" s="102" t="s">
        <v>957</v>
      </c>
      <c r="D730" s="103" t="s">
        <v>26</v>
      </c>
      <c r="E730" s="91" t="s">
        <v>958</v>
      </c>
      <c r="F730" s="91" t="s">
        <v>959</v>
      </c>
      <c r="G730" s="91" t="s">
        <v>960</v>
      </c>
      <c r="H730" s="104" t="str">
        <f t="shared" si="46"/>
        <v>M5000J20</v>
      </c>
      <c r="I730" s="104"/>
      <c r="J730" s="105">
        <v>0.36</v>
      </c>
      <c r="K730" s="106">
        <f t="shared" ref="K730:K733" si="47">L730</f>
        <v>49.28</v>
      </c>
      <c r="L730" s="106">
        <v>49.28</v>
      </c>
      <c r="M730" s="106">
        <f t="shared" si="45"/>
        <v>0</v>
      </c>
      <c r="N730" s="106">
        <v>49.28</v>
      </c>
      <c r="O730" s="106">
        <v>17.739999999999998</v>
      </c>
      <c r="P730" s="107">
        <v>26040</v>
      </c>
      <c r="Q730" s="107">
        <v>461950</v>
      </c>
      <c r="R730" s="102"/>
      <c r="S730" s="108"/>
      <c r="T730" s="109"/>
      <c r="U730" s="109"/>
      <c r="V730" s="102"/>
      <c r="W730" s="109" t="s">
        <v>30</v>
      </c>
      <c r="X730" s="109"/>
      <c r="Y730" s="110" t="s">
        <v>803</v>
      </c>
      <c r="Z730" s="111" t="str">
        <f>MID(E730,4,2)</f>
        <v>CA</v>
      </c>
    </row>
    <row r="731" spans="1:26" s="111" customFormat="1" x14ac:dyDescent="0.2">
      <c r="A731" s="101">
        <v>46244</v>
      </c>
      <c r="B731" s="91" t="s">
        <v>956</v>
      </c>
      <c r="C731" s="102" t="s">
        <v>957</v>
      </c>
      <c r="D731" s="103" t="s">
        <v>26</v>
      </c>
      <c r="E731" s="91" t="s">
        <v>958</v>
      </c>
      <c r="F731" s="91" t="s">
        <v>961</v>
      </c>
      <c r="G731" s="91" t="s">
        <v>962</v>
      </c>
      <c r="H731" s="104" t="str">
        <f t="shared" si="46"/>
        <v>M5100J20</v>
      </c>
      <c r="I731" s="104"/>
      <c r="J731" s="105">
        <v>0.74</v>
      </c>
      <c r="K731" s="106">
        <f t="shared" si="47"/>
        <v>50</v>
      </c>
      <c r="L731" s="106">
        <v>50</v>
      </c>
      <c r="M731" s="106">
        <f t="shared" si="45"/>
        <v>0</v>
      </c>
      <c r="N731" s="106">
        <v>50</v>
      </c>
      <c r="O731" s="106">
        <v>37</v>
      </c>
      <c r="P731" s="107">
        <v>26040</v>
      </c>
      <c r="Q731" s="107">
        <v>963480</v>
      </c>
      <c r="R731" s="102"/>
      <c r="S731" s="108"/>
      <c r="T731" s="109"/>
      <c r="U731" s="109"/>
      <c r="V731" s="102"/>
      <c r="W731" s="109" t="s">
        <v>30</v>
      </c>
      <c r="X731" s="109"/>
      <c r="Y731" s="110" t="s">
        <v>803</v>
      </c>
      <c r="Z731" s="111" t="str">
        <f>MID(E731,4,2)</f>
        <v>CA</v>
      </c>
    </row>
    <row r="732" spans="1:26" s="111" customFormat="1" x14ac:dyDescent="0.2">
      <c r="A732" s="101">
        <v>46244</v>
      </c>
      <c r="B732" s="91" t="s">
        <v>956</v>
      </c>
      <c r="C732" s="102" t="s">
        <v>957</v>
      </c>
      <c r="D732" s="103" t="s">
        <v>26</v>
      </c>
      <c r="E732" s="91" t="s">
        <v>958</v>
      </c>
      <c r="F732" s="91" t="s">
        <v>963</v>
      </c>
      <c r="G732" s="91" t="s">
        <v>964</v>
      </c>
      <c r="H732" s="104" t="str">
        <f t="shared" si="46"/>
        <v>M5820J20</v>
      </c>
      <c r="I732" s="104"/>
      <c r="J732" s="105">
        <v>1.56</v>
      </c>
      <c r="K732" s="106">
        <f t="shared" si="47"/>
        <v>49.28</v>
      </c>
      <c r="L732" s="106">
        <v>49.28</v>
      </c>
      <c r="M732" s="106">
        <f t="shared" si="45"/>
        <v>0</v>
      </c>
      <c r="N732" s="106">
        <v>49.28</v>
      </c>
      <c r="O732" s="106">
        <v>76.88</v>
      </c>
      <c r="P732" s="107">
        <v>26040</v>
      </c>
      <c r="Q732" s="107">
        <v>2001955</v>
      </c>
      <c r="R732" s="102"/>
      <c r="S732" s="108"/>
      <c r="T732" s="109"/>
      <c r="U732" s="109"/>
      <c r="V732" s="102"/>
      <c r="W732" s="109" t="s">
        <v>30</v>
      </c>
      <c r="X732" s="109"/>
      <c r="Y732" s="110" t="s">
        <v>803</v>
      </c>
      <c r="Z732" s="111" t="str">
        <f>MID(E732,4,2)</f>
        <v>CA</v>
      </c>
    </row>
    <row r="733" spans="1:26" s="111" customFormat="1" x14ac:dyDescent="0.2">
      <c r="A733" s="101">
        <v>46244</v>
      </c>
      <c r="B733" s="91" t="s">
        <v>965</v>
      </c>
      <c r="C733" s="102" t="s">
        <v>966</v>
      </c>
      <c r="D733" s="103" t="s">
        <v>26</v>
      </c>
      <c r="E733" s="91" t="s">
        <v>967</v>
      </c>
      <c r="F733" s="91" t="s">
        <v>968</v>
      </c>
      <c r="G733" s="91" t="s">
        <v>969</v>
      </c>
      <c r="H733" s="104" t="str">
        <f t="shared" si="46"/>
        <v>M4043J20</v>
      </c>
      <c r="I733" s="104"/>
      <c r="J733" s="105">
        <v>0.8</v>
      </c>
      <c r="K733" s="106">
        <f t="shared" si="47"/>
        <v>50</v>
      </c>
      <c r="L733" s="106">
        <v>50</v>
      </c>
      <c r="M733" s="106">
        <f t="shared" si="45"/>
        <v>0</v>
      </c>
      <c r="N733" s="106">
        <v>50</v>
      </c>
      <c r="O733" s="106">
        <v>40</v>
      </c>
      <c r="P733" s="107">
        <v>26040</v>
      </c>
      <c r="Q733" s="107">
        <v>1041600</v>
      </c>
      <c r="R733" s="102"/>
      <c r="S733" s="108"/>
      <c r="T733" s="109"/>
      <c r="U733" s="109"/>
      <c r="V733" s="102"/>
      <c r="W733" s="109" t="s">
        <v>30</v>
      </c>
      <c r="X733" s="109"/>
      <c r="Y733" s="110" t="s">
        <v>803</v>
      </c>
      <c r="Z733" s="111" t="str">
        <f>MID(E733,4,2)</f>
        <v>CA</v>
      </c>
    </row>
    <row r="734" spans="1:26" s="111" customFormat="1" x14ac:dyDescent="0.2">
      <c r="A734" s="101">
        <v>46244</v>
      </c>
      <c r="B734" s="91" t="s">
        <v>970</v>
      </c>
      <c r="C734" s="102" t="s">
        <v>971</v>
      </c>
      <c r="D734" s="103" t="s">
        <v>26</v>
      </c>
      <c r="E734" s="91" t="s">
        <v>972</v>
      </c>
      <c r="F734" s="91" t="s">
        <v>947</v>
      </c>
      <c r="G734" s="91" t="s">
        <v>948</v>
      </c>
      <c r="H734" s="104" t="str">
        <f t="shared" si="46"/>
        <v>C5111J20</v>
      </c>
      <c r="I734" s="104"/>
      <c r="J734" s="105">
        <v>7.81</v>
      </c>
      <c r="K734" s="106">
        <f>IF(D734="CAESARSTONE LTD",VLOOKUP(H734,'[2]GIA CA'!G:H,2,0),IF(OR(D734="STONE FACINGS LIMITED",D734="NORDIA SA",D734="INVICTUS STONE COUNTERTOPS INC",D734="QUARTZTOP LLC"),VLOOKUP(H734,'[2] Giá ngoài Mỹ - SI-GR'!$B$5:$AZ$84,51,0),IF(OR(D734="HYUNDAI L&amp;C CANADA INC",D734="Hyundai L&amp; C USA LLC"),VLOOKUP(H734,'[2]GIA HS'!A:D,4,0),IF(Y734="Mỹ",VLOOKUP(H734,'[2]giá mỹ từ 6.8.2025'!B:I,2,0),VLOOKUP(H734,'[2]giá ngoài mỹ 6.8.2025 (final)'!B:BP,51,0)))))</f>
        <v>55</v>
      </c>
      <c r="L734" s="106">
        <v>119.4</v>
      </c>
      <c r="M734" s="106">
        <f t="shared" si="45"/>
        <v>64.400000000000006</v>
      </c>
      <c r="N734" s="106">
        <v>119.4</v>
      </c>
      <c r="O734" s="106">
        <v>932.5</v>
      </c>
      <c r="P734" s="107">
        <v>26040</v>
      </c>
      <c r="Q734" s="107">
        <v>24282300</v>
      </c>
      <c r="R734" s="102"/>
      <c r="S734" s="108"/>
      <c r="T734" s="109" t="s">
        <v>30</v>
      </c>
      <c r="U734" s="109"/>
      <c r="V734" s="102"/>
      <c r="W734" s="109"/>
      <c r="X734" s="109"/>
      <c r="Y734" s="110" t="s">
        <v>803</v>
      </c>
      <c r="Z734" s="111" t="str">
        <f>MID(E734,4,2)</f>
        <v>CA</v>
      </c>
    </row>
    <row r="735" spans="1:26" s="111" customFormat="1" x14ac:dyDescent="0.2">
      <c r="A735" s="101">
        <v>46244</v>
      </c>
      <c r="B735" s="91" t="s">
        <v>970</v>
      </c>
      <c r="C735" s="102" t="s">
        <v>971</v>
      </c>
      <c r="D735" s="103" t="s">
        <v>26</v>
      </c>
      <c r="E735" s="91" t="s">
        <v>972</v>
      </c>
      <c r="F735" s="91" t="s">
        <v>973</v>
      </c>
      <c r="G735" s="91" t="s">
        <v>974</v>
      </c>
      <c r="H735" s="104" t="str">
        <f t="shared" si="46"/>
        <v>C5118J20</v>
      </c>
      <c r="I735" s="104"/>
      <c r="J735" s="105">
        <v>7.81</v>
      </c>
      <c r="K735" s="106">
        <f>IF(D735="CAESARSTONE LTD",VLOOKUP(H735,'[2]GIA CA'!G:H,2,0),IF(OR(D735="STONE FACINGS LIMITED",D735="NORDIA SA",D735="INVICTUS STONE COUNTERTOPS INC",D735="QUARTZTOP LLC"),VLOOKUP(H735,'[2] Giá ngoài Mỹ - SI-GR'!$B$5:$AZ$84,51,0),IF(OR(D735="HYUNDAI L&amp;C CANADA INC",D735="Hyundai L&amp; C USA LLC"),VLOOKUP(H735,'[2]GIA HS'!A:D,4,0),IF(Y735="Mỹ",VLOOKUP(H735,'[2]giá mỹ từ 6.8.2025'!B:I,2,0),VLOOKUP(H735,'[2]giá ngoài mỹ 6.8.2025 (final)'!B:BP,51,0)))))</f>
        <v>65</v>
      </c>
      <c r="L735" s="106">
        <v>129.32</v>
      </c>
      <c r="M735" s="106">
        <f t="shared" si="45"/>
        <v>64.319999999999993</v>
      </c>
      <c r="N735" s="106">
        <v>129.32</v>
      </c>
      <c r="O735" s="106">
        <v>1010</v>
      </c>
      <c r="P735" s="107">
        <v>26040</v>
      </c>
      <c r="Q735" s="107">
        <v>26300400</v>
      </c>
      <c r="R735" s="102"/>
      <c r="S735" s="108"/>
      <c r="T735" s="109" t="s">
        <v>30</v>
      </c>
      <c r="U735" s="109"/>
      <c r="V735" s="102"/>
      <c r="W735" s="109"/>
      <c r="X735" s="109"/>
      <c r="Y735" s="110" t="s">
        <v>803</v>
      </c>
      <c r="Z735" s="111" t="str">
        <f>MID(E735,4,2)</f>
        <v>CA</v>
      </c>
    </row>
    <row r="736" spans="1:26" s="111" customFormat="1" x14ac:dyDescent="0.2">
      <c r="A736" s="101">
        <v>46244</v>
      </c>
      <c r="B736" s="91" t="s">
        <v>970</v>
      </c>
      <c r="C736" s="102" t="s">
        <v>971</v>
      </c>
      <c r="D736" s="103" t="s">
        <v>26</v>
      </c>
      <c r="E736" s="91" t="s">
        <v>972</v>
      </c>
      <c r="F736" s="91" t="s">
        <v>863</v>
      </c>
      <c r="G736" s="91" t="s">
        <v>864</v>
      </c>
      <c r="H736" s="104" t="str">
        <f t="shared" si="46"/>
        <v>C5130J20</v>
      </c>
      <c r="I736" s="104"/>
      <c r="J736" s="105">
        <v>7.81</v>
      </c>
      <c r="K736" s="106">
        <f>IF(D736="CAESARSTONE LTD",VLOOKUP(H736,'[2]GIA CA'!G:H,2,0),IF(OR(D736="STONE FACINGS LIMITED",D736="NORDIA SA",D736="INVICTUS STONE COUNTERTOPS INC",D736="QUARTZTOP LLC"),VLOOKUP(H736,'[2] Giá ngoài Mỹ - SI-GR'!$B$5:$AZ$84,51,0),IF(OR(D736="HYUNDAI L&amp;C CANADA INC",D736="Hyundai L&amp; C USA LLC"),VLOOKUP(H736,'[2]GIA HS'!A:D,4,0),IF(Y736="Mỹ",VLOOKUP(H736,'[2]giá mỹ từ 6.8.2025'!B:I,2,0),VLOOKUP(H736,'[2]giá ngoài mỹ 6.8.2025 (final)'!B:BP,51,0)))))</f>
        <v>59</v>
      </c>
      <c r="L736" s="106">
        <v>94.75</v>
      </c>
      <c r="M736" s="106">
        <f t="shared" si="45"/>
        <v>35.75</v>
      </c>
      <c r="N736" s="106">
        <v>94.75</v>
      </c>
      <c r="O736" s="106">
        <v>740</v>
      </c>
      <c r="P736" s="107">
        <v>26040</v>
      </c>
      <c r="Q736" s="107">
        <v>19269600</v>
      </c>
      <c r="R736" s="102"/>
      <c r="S736" s="108"/>
      <c r="T736" s="109" t="s">
        <v>30</v>
      </c>
      <c r="U736" s="109"/>
      <c r="V736" s="102"/>
      <c r="W736" s="109"/>
      <c r="X736" s="109"/>
      <c r="Y736" s="110" t="s">
        <v>803</v>
      </c>
      <c r="Z736" s="111" t="str">
        <f>MID(E736,4,2)</f>
        <v>CA</v>
      </c>
    </row>
    <row r="737" spans="1:26" s="111" customFormat="1" x14ac:dyDescent="0.2">
      <c r="A737" s="101">
        <v>46244</v>
      </c>
      <c r="B737" s="91" t="s">
        <v>970</v>
      </c>
      <c r="C737" s="102" t="s">
        <v>971</v>
      </c>
      <c r="D737" s="103" t="s">
        <v>26</v>
      </c>
      <c r="E737" s="91" t="s">
        <v>972</v>
      </c>
      <c r="F737" s="91" t="s">
        <v>739</v>
      </c>
      <c r="G737" s="91" t="s">
        <v>740</v>
      </c>
      <c r="H737" s="104" t="str">
        <f t="shared" si="46"/>
        <v>C4011J30</v>
      </c>
      <c r="I737" s="104"/>
      <c r="J737" s="105">
        <v>76.239999999999995</v>
      </c>
      <c r="K737" s="106">
        <f>+L737</f>
        <v>74.790000000000006</v>
      </c>
      <c r="L737" s="106">
        <v>74.790000000000006</v>
      </c>
      <c r="M737" s="106">
        <f t="shared" si="45"/>
        <v>0</v>
      </c>
      <c r="N737" s="106">
        <v>74.790000000000006</v>
      </c>
      <c r="O737" s="106">
        <v>5702.06</v>
      </c>
      <c r="P737" s="107">
        <v>26040</v>
      </c>
      <c r="Q737" s="107">
        <v>148481642</v>
      </c>
      <c r="R737" s="102" t="s">
        <v>30</v>
      </c>
      <c r="S737" s="108"/>
      <c r="T737" s="109"/>
      <c r="U737" s="109"/>
      <c r="V737" s="102"/>
      <c r="W737" s="109"/>
      <c r="X737" s="109"/>
      <c r="Y737" s="110" t="s">
        <v>803</v>
      </c>
      <c r="Z737" s="111" t="str">
        <f>MID(E737,4,2)</f>
        <v>CA</v>
      </c>
    </row>
    <row r="738" spans="1:26" s="111" customFormat="1" x14ac:dyDescent="0.2">
      <c r="A738" s="101">
        <v>46244</v>
      </c>
      <c r="B738" s="91" t="s">
        <v>970</v>
      </c>
      <c r="C738" s="102" t="s">
        <v>971</v>
      </c>
      <c r="D738" s="103" t="s">
        <v>26</v>
      </c>
      <c r="E738" s="91" t="s">
        <v>972</v>
      </c>
      <c r="F738" s="91" t="s">
        <v>975</v>
      </c>
      <c r="G738" s="91" t="s">
        <v>976</v>
      </c>
      <c r="H738" s="104" t="str">
        <f t="shared" si="46"/>
        <v>C5000J20</v>
      </c>
      <c r="I738" s="104"/>
      <c r="J738" s="105">
        <v>108.9</v>
      </c>
      <c r="K738" s="106">
        <f>IF(D738="CAESARSTONE LTD",VLOOKUP(H738,'[2]GIA CA'!G:H,2,0),IF(OR(D738="STONE FACINGS LIMITED",D738="NORDIA SA",D738="INVICTUS STONE COUNTERTOPS INC",D738="QUARTZTOP LLC"),VLOOKUP(H738,'[2] Giá ngoài Mỹ - SI-GR'!$B$5:$AZ$84,51,0),IF(OR(D738="HYUNDAI L&amp;C CANADA INC",D738="Hyundai L&amp; C USA LLC"),VLOOKUP(H738,'[2]GIA HS'!A:D,4,0),IF(Y738="Mỹ",VLOOKUP(H738,'[2]giá mỹ từ 6.8.2025'!B:I,2,0),VLOOKUP(H738,'[2]giá ngoài mỹ 6.8.2025 (final)'!B:BP,51,0)))))</f>
        <v>55</v>
      </c>
      <c r="L738" s="106">
        <v>59.9</v>
      </c>
      <c r="M738" s="106">
        <f t="shared" si="45"/>
        <v>4.8999999999999986</v>
      </c>
      <c r="N738" s="106">
        <v>59.9</v>
      </c>
      <c r="O738" s="106">
        <v>6523.2</v>
      </c>
      <c r="P738" s="107">
        <v>26040</v>
      </c>
      <c r="Q738" s="107">
        <v>169864128</v>
      </c>
      <c r="R738" s="102" t="s">
        <v>30</v>
      </c>
      <c r="S738" s="108"/>
      <c r="T738" s="109"/>
      <c r="U738" s="109"/>
      <c r="V738" s="102"/>
      <c r="W738" s="109"/>
      <c r="X738" s="109"/>
      <c r="Y738" s="110" t="s">
        <v>803</v>
      </c>
      <c r="Z738" s="111" t="str">
        <f>MID(E738,4,2)</f>
        <v>CA</v>
      </c>
    </row>
    <row r="739" spans="1:26" s="111" customFormat="1" x14ac:dyDescent="0.2">
      <c r="A739" s="101">
        <v>46244</v>
      </c>
      <c r="B739" s="91" t="s">
        <v>970</v>
      </c>
      <c r="C739" s="102" t="s">
        <v>971</v>
      </c>
      <c r="D739" s="103" t="s">
        <v>26</v>
      </c>
      <c r="E739" s="91" t="s">
        <v>972</v>
      </c>
      <c r="F739" s="91" t="s">
        <v>203</v>
      </c>
      <c r="G739" s="91" t="s">
        <v>204</v>
      </c>
      <c r="H739" s="104" t="str">
        <f t="shared" si="46"/>
        <v>F5132J20</v>
      </c>
      <c r="I739" s="104"/>
      <c r="J739" s="105">
        <v>147.02000000000001</v>
      </c>
      <c r="K739" s="106">
        <f>IF(D739="CAESARSTONE LTD",VLOOKUP(H739,'[2]GIA CA'!G:H,2,0),IF(OR(D739="STONE FACINGS LIMITED",D739="NORDIA SA",D739="INVICTUS STONE COUNTERTOPS INC",D739="QUARTZTOP LLC"),VLOOKUP(H739,'[2] Giá ngoài Mỹ - SI-GR'!$B$5:$AZ$84,51,0),IF(OR(D739="HYUNDAI L&amp;C CANADA INC",D739="Hyundai L&amp; C USA LLC"),VLOOKUP(H739,'[2]GIA HS'!A:D,4,0),IF(Y739="Mỹ",VLOOKUP(H739,'[2]giá mỹ từ 6.8.2025'!B:I,2,0),VLOOKUP(H739,'[2]giá ngoài mỹ 6.8.2025 (final)'!B:BP,51,0)))))</f>
        <v>62</v>
      </c>
      <c r="L739" s="106">
        <v>65.099999999999994</v>
      </c>
      <c r="M739" s="106">
        <f t="shared" si="45"/>
        <v>3.0999999999999943</v>
      </c>
      <c r="N739" s="106">
        <v>65.099999999999994</v>
      </c>
      <c r="O739" s="106">
        <v>9570.69</v>
      </c>
      <c r="P739" s="107">
        <v>26040</v>
      </c>
      <c r="Q739" s="107">
        <v>249220768</v>
      </c>
      <c r="R739" s="102" t="s">
        <v>30</v>
      </c>
      <c r="S739" s="108"/>
      <c r="T739" s="109"/>
      <c r="U739" s="109"/>
      <c r="V739" s="102"/>
      <c r="W739" s="109"/>
      <c r="X739" s="109"/>
      <c r="Y739" s="110" t="s">
        <v>803</v>
      </c>
      <c r="Z739" s="111" t="str">
        <f>MID(E739,4,2)</f>
        <v>CA</v>
      </c>
    </row>
    <row r="740" spans="1:26" s="111" customFormat="1" x14ac:dyDescent="0.2">
      <c r="A740" s="101">
        <v>46244</v>
      </c>
      <c r="B740" s="91" t="s">
        <v>970</v>
      </c>
      <c r="C740" s="102" t="s">
        <v>971</v>
      </c>
      <c r="D740" s="103" t="s">
        <v>26</v>
      </c>
      <c r="E740" s="91" t="s">
        <v>972</v>
      </c>
      <c r="F740" s="91" t="s">
        <v>977</v>
      </c>
      <c r="G740" s="91" t="s">
        <v>978</v>
      </c>
      <c r="H740" s="104" t="str">
        <f t="shared" si="46"/>
        <v>F5310J20</v>
      </c>
      <c r="I740" s="104"/>
      <c r="J740" s="105">
        <v>49</v>
      </c>
      <c r="K740" s="106">
        <f>IF(D740="CAESARSTONE LTD",VLOOKUP(H740,'[2]GIA CA'!G:H,2,0),IF(OR(D740="STONE FACINGS LIMITED",D740="NORDIA SA",D740="INVICTUS STONE COUNTERTOPS INC",D740="QUARTZTOP LLC"),VLOOKUP(H740,'[2] Giá ngoài Mỹ - SI-GR'!$B$5:$AZ$84,51,0),IF(OR(D740="HYUNDAI L&amp;C CANADA INC",D740="Hyundai L&amp; C USA LLC"),VLOOKUP(H740,'[2]GIA HS'!A:D,4,0),IF(Y740="Mỹ",VLOOKUP(H740,'[2]giá mỹ từ 6.8.2025'!B:I,2,0),VLOOKUP(H740,'[2]giá ngoài mỹ 6.8.2025 (final)'!B:BP,51,0)))))</f>
        <v>62</v>
      </c>
      <c r="L740" s="106">
        <v>65.099999999999994</v>
      </c>
      <c r="M740" s="106">
        <f t="shared" si="45"/>
        <v>3.0999999999999943</v>
      </c>
      <c r="N740" s="106">
        <v>65.099999999999994</v>
      </c>
      <c r="O740" s="106">
        <v>3189.9</v>
      </c>
      <c r="P740" s="107">
        <v>26040</v>
      </c>
      <c r="Q740" s="107">
        <v>83064996</v>
      </c>
      <c r="R740" s="102" t="s">
        <v>30</v>
      </c>
      <c r="S740" s="108"/>
      <c r="T740" s="109"/>
      <c r="U740" s="109"/>
      <c r="V740" s="102"/>
      <c r="W740" s="109"/>
      <c r="X740" s="109"/>
      <c r="Y740" s="110" t="s">
        <v>803</v>
      </c>
      <c r="Z740" s="111" t="str">
        <f>MID(E740,4,2)</f>
        <v>CA</v>
      </c>
    </row>
    <row r="741" spans="1:26" s="111" customFormat="1" x14ac:dyDescent="0.2">
      <c r="A741" s="101">
        <v>46244</v>
      </c>
      <c r="B741" s="91" t="s">
        <v>970</v>
      </c>
      <c r="C741" s="102" t="s">
        <v>971</v>
      </c>
      <c r="D741" s="103" t="s">
        <v>26</v>
      </c>
      <c r="E741" s="91" t="s">
        <v>972</v>
      </c>
      <c r="F741" s="91" t="s">
        <v>979</v>
      </c>
      <c r="G741" s="91" t="s">
        <v>978</v>
      </c>
      <c r="H741" s="104" t="str">
        <f t="shared" si="46"/>
        <v>F5310J20</v>
      </c>
      <c r="I741" s="104"/>
      <c r="J741" s="105">
        <v>5.45</v>
      </c>
      <c r="K741" s="106">
        <f>IF(D741="CAESARSTONE LTD",VLOOKUP(H741,'[2]GIA CA'!G:H,2,0),IF(OR(D741="STONE FACINGS LIMITED",D741="NORDIA SA",D741="INVICTUS STONE COUNTERTOPS INC",D741="QUARTZTOP LLC"),VLOOKUP(H741,'[2] Giá ngoài Mỹ - SI-GR'!$B$5:$AZ$84,51,0),IF(OR(D741="HYUNDAI L&amp;C CANADA INC",D741="Hyundai L&amp; C USA LLC"),VLOOKUP(H741,'[2]GIA HS'!A:D,4,0),IF(Y741="Mỹ",VLOOKUP(H741,'[2]giá mỹ từ 6.8.2025'!B:I,2,0),VLOOKUP(H741,'[2]giá ngoài mỹ 6.8.2025 (final)'!B:BP,51,0)))))</f>
        <v>62</v>
      </c>
      <c r="L741" s="106">
        <v>65.099999999999994</v>
      </c>
      <c r="M741" s="106">
        <f t="shared" si="45"/>
        <v>3.0999999999999943</v>
      </c>
      <c r="N741" s="106">
        <v>65.099999999999994</v>
      </c>
      <c r="O741" s="106">
        <v>354.8</v>
      </c>
      <c r="P741" s="107">
        <v>26040</v>
      </c>
      <c r="Q741" s="107">
        <v>9238992</v>
      </c>
      <c r="R741" s="102" t="s">
        <v>30</v>
      </c>
      <c r="S741" s="108"/>
      <c r="T741" s="109"/>
      <c r="U741" s="109"/>
      <c r="V741" s="102"/>
      <c r="W741" s="109"/>
      <c r="X741" s="109"/>
      <c r="Y741" s="110" t="s">
        <v>803</v>
      </c>
      <c r="Z741" s="111" t="str">
        <f>MID(E741,4,2)</f>
        <v>CA</v>
      </c>
    </row>
    <row r="742" spans="1:26" s="111" customFormat="1" x14ac:dyDescent="0.2">
      <c r="A742" s="101">
        <v>46244</v>
      </c>
      <c r="B742" s="91" t="s">
        <v>980</v>
      </c>
      <c r="C742" s="102" t="s">
        <v>981</v>
      </c>
      <c r="D742" s="103" t="s">
        <v>26</v>
      </c>
      <c r="E742" s="91" t="s">
        <v>982</v>
      </c>
      <c r="F742" s="91" t="s">
        <v>110</v>
      </c>
      <c r="G742" s="91" t="s">
        <v>111</v>
      </c>
      <c r="H742" s="104" t="str">
        <f t="shared" si="46"/>
        <v>C4023J20</v>
      </c>
      <c r="I742" s="104"/>
      <c r="J742" s="105">
        <v>76.23</v>
      </c>
      <c r="K742" s="106">
        <f>+L742</f>
        <v>59.9</v>
      </c>
      <c r="L742" s="106">
        <v>59.9</v>
      </c>
      <c r="M742" s="106">
        <f t="shared" si="45"/>
        <v>0</v>
      </c>
      <c r="N742" s="106">
        <v>59.9</v>
      </c>
      <c r="O742" s="107">
        <v>4566.24</v>
      </c>
      <c r="P742" s="107">
        <v>26040</v>
      </c>
      <c r="Q742" s="107">
        <v>118904890</v>
      </c>
      <c r="R742" s="102" t="s">
        <v>30</v>
      </c>
      <c r="S742" s="108"/>
      <c r="T742" s="109"/>
      <c r="U742" s="109"/>
      <c r="V742" s="102"/>
      <c r="W742" s="109"/>
      <c r="X742" s="109"/>
      <c r="Y742" s="110" t="s">
        <v>932</v>
      </c>
      <c r="Z742" s="111" t="str">
        <f>MID(E742,4,2)</f>
        <v>CA</v>
      </c>
    </row>
    <row r="743" spans="1:26" s="111" customFormat="1" x14ac:dyDescent="0.2">
      <c r="A743" s="101">
        <v>46244</v>
      </c>
      <c r="B743" s="91" t="s">
        <v>980</v>
      </c>
      <c r="C743" s="102" t="s">
        <v>981</v>
      </c>
      <c r="D743" s="103" t="s">
        <v>26</v>
      </c>
      <c r="E743" s="91" t="s">
        <v>982</v>
      </c>
      <c r="F743" s="91" t="s">
        <v>983</v>
      </c>
      <c r="G743" s="91" t="s">
        <v>984</v>
      </c>
      <c r="H743" s="104" t="str">
        <f t="shared" si="46"/>
        <v>G5115J30</v>
      </c>
      <c r="I743" s="104"/>
      <c r="J743" s="105">
        <v>65.34</v>
      </c>
      <c r="K743" s="106">
        <f>IF(D743="CAESARSTONE LTD",VLOOKUP(H743,'[2]GIA CA'!G:H,2,0),IF(OR(D743="STONE FACINGS LIMITED",D743="NORDIA SA",D743="INVICTUS STONE COUNTERTOPS INC",D743="QUARTZTOP LLC"),VLOOKUP(H743,'[2] Giá ngoài Mỹ - SI-GR'!$B$5:$AZ$84,51,0),IF(OR(D743="HYUNDAI L&amp;C CANADA INC",D743="Hyundai L&amp; C USA LLC"),VLOOKUP(H743,'[2]GIA HS'!A:D,4,0),IF(Y743="Mỹ",VLOOKUP(H743,'[2]giá mỹ từ 6.8.2025'!B:I,2,0),VLOOKUP(H743,'[2]giá ngoài mỹ 6.8.2025 (final)'!B:BP,51,0)))))</f>
        <v>85</v>
      </c>
      <c r="L743" s="106">
        <v>89.3</v>
      </c>
      <c r="M743" s="106">
        <f t="shared" si="45"/>
        <v>4.2999999999999972</v>
      </c>
      <c r="N743" s="106">
        <v>89.3</v>
      </c>
      <c r="O743" s="107">
        <v>5834.88</v>
      </c>
      <c r="P743" s="107">
        <v>26040</v>
      </c>
      <c r="Q743" s="107">
        <v>151940275</v>
      </c>
      <c r="R743" s="102" t="s">
        <v>30</v>
      </c>
      <c r="S743" s="108"/>
      <c r="T743" s="109"/>
      <c r="U743" s="109"/>
      <c r="V743" s="102"/>
      <c r="W743" s="109"/>
      <c r="X743" s="109"/>
      <c r="Y743" s="110" t="s">
        <v>932</v>
      </c>
      <c r="Z743" s="111" t="str">
        <f>MID(E743,4,2)</f>
        <v>CA</v>
      </c>
    </row>
    <row r="744" spans="1:26" s="111" customFormat="1" x14ac:dyDescent="0.2">
      <c r="A744" s="101">
        <v>46244</v>
      </c>
      <c r="B744" s="91" t="s">
        <v>980</v>
      </c>
      <c r="C744" s="102" t="s">
        <v>981</v>
      </c>
      <c r="D744" s="103" t="s">
        <v>26</v>
      </c>
      <c r="E744" s="91" t="s">
        <v>982</v>
      </c>
      <c r="F744" s="91" t="s">
        <v>985</v>
      </c>
      <c r="G744" s="91" t="s">
        <v>984</v>
      </c>
      <c r="H744" s="104" t="str">
        <f t="shared" si="46"/>
        <v>G5115J30</v>
      </c>
      <c r="I744" s="104"/>
      <c r="J744" s="105">
        <v>152.46</v>
      </c>
      <c r="K744" s="106">
        <f>IF(D744="CAESARSTONE LTD",VLOOKUP(H744,'[2]GIA CA'!G:H,2,0),IF(OR(D744="STONE FACINGS LIMITED",D744="NORDIA SA",D744="INVICTUS STONE COUNTERTOPS INC",D744="QUARTZTOP LLC"),VLOOKUP(H744,'[2] Giá ngoài Mỹ - SI-GR'!$B$5:$AZ$84,51,0),IF(OR(D744="HYUNDAI L&amp;C CANADA INC",D744="Hyundai L&amp; C USA LLC"),VLOOKUP(H744,'[2]GIA HS'!A:D,4,0),IF(Y744="Mỹ",VLOOKUP(H744,'[2]giá mỹ từ 6.8.2025'!B:I,2,0),VLOOKUP(H744,'[2]giá ngoài mỹ 6.8.2025 (final)'!B:BP,51,0)))))</f>
        <v>85</v>
      </c>
      <c r="L744" s="106">
        <v>89.3</v>
      </c>
      <c r="M744" s="106">
        <f t="shared" si="45"/>
        <v>4.2999999999999972</v>
      </c>
      <c r="N744" s="106">
        <v>89.3</v>
      </c>
      <c r="O744" s="107">
        <v>13614.72</v>
      </c>
      <c r="P744" s="107">
        <v>26040</v>
      </c>
      <c r="Q744" s="107">
        <v>354527309</v>
      </c>
      <c r="R744" s="102" t="s">
        <v>30</v>
      </c>
      <c r="S744" s="108"/>
      <c r="T744" s="109"/>
      <c r="U744" s="109"/>
      <c r="V744" s="102"/>
      <c r="W744" s="109"/>
      <c r="X744" s="109"/>
      <c r="Y744" s="110" t="s">
        <v>932</v>
      </c>
      <c r="Z744" s="111" t="str">
        <f>MID(E744,4,2)</f>
        <v>CA</v>
      </c>
    </row>
    <row r="745" spans="1:26" s="111" customFormat="1" x14ac:dyDescent="0.2">
      <c r="A745" s="101">
        <v>46244</v>
      </c>
      <c r="B745" s="91" t="s">
        <v>980</v>
      </c>
      <c r="C745" s="102" t="s">
        <v>981</v>
      </c>
      <c r="D745" s="103" t="s">
        <v>26</v>
      </c>
      <c r="E745" s="91" t="s">
        <v>982</v>
      </c>
      <c r="F745" s="91" t="s">
        <v>986</v>
      </c>
      <c r="G745" s="91" t="s">
        <v>987</v>
      </c>
      <c r="H745" s="104" t="str">
        <f t="shared" si="46"/>
        <v>G5171J30</v>
      </c>
      <c r="I745" s="104"/>
      <c r="J745" s="105">
        <v>38.119999999999997</v>
      </c>
      <c r="K745" s="106">
        <f>IF(D745="CAESARSTONE LTD",VLOOKUP(H745,'[2]GIA CA'!G:H,2,0),IF(OR(D745="STONE FACINGS LIMITED",D745="NORDIA SA",D745="INVICTUS STONE COUNTERTOPS INC",D745="QUARTZTOP LLC"),VLOOKUP(H745,'[2] Giá ngoài Mỹ - SI-GR'!$B$5:$AZ$84,51,0),IF(OR(D745="HYUNDAI L&amp;C CANADA INC",D745="Hyundai L&amp; C USA LLC"),VLOOKUP(H745,'[2]GIA HS'!A:D,4,0),IF(Y745="Mỹ",VLOOKUP(H745,'[2]giá mỹ từ 6.8.2025'!B:I,2,0),VLOOKUP(H745,'[2]giá ngoài mỹ 6.8.2025 (final)'!B:BP,51,0)))))</f>
        <v>77.5</v>
      </c>
      <c r="L745" s="106">
        <v>81.39</v>
      </c>
      <c r="M745" s="106">
        <f t="shared" si="45"/>
        <v>3.8900000000000006</v>
      </c>
      <c r="N745" s="106">
        <v>81.39</v>
      </c>
      <c r="O745" s="107">
        <v>3102.54</v>
      </c>
      <c r="P745" s="107">
        <v>26040</v>
      </c>
      <c r="Q745" s="107">
        <v>80790142</v>
      </c>
      <c r="R745" s="102" t="s">
        <v>30</v>
      </c>
      <c r="S745" s="108"/>
      <c r="T745" s="109"/>
      <c r="U745" s="109"/>
      <c r="V745" s="102"/>
      <c r="W745" s="109"/>
      <c r="X745" s="109"/>
      <c r="Y745" s="110" t="s">
        <v>932</v>
      </c>
      <c r="Z745" s="111" t="str">
        <f>MID(E745,4,2)</f>
        <v>CA</v>
      </c>
    </row>
    <row r="746" spans="1:26" s="111" customFormat="1" x14ac:dyDescent="0.2">
      <c r="A746" s="101">
        <v>46244</v>
      </c>
      <c r="B746" s="91" t="s">
        <v>988</v>
      </c>
      <c r="C746" s="102" t="s">
        <v>989</v>
      </c>
      <c r="D746" s="103" t="s">
        <v>26</v>
      </c>
      <c r="E746" s="91" t="s">
        <v>990</v>
      </c>
      <c r="F746" s="91" t="s">
        <v>991</v>
      </c>
      <c r="G746" s="91" t="s">
        <v>992</v>
      </c>
      <c r="H746" s="104" t="str">
        <f t="shared" si="46"/>
        <v>C4023J30</v>
      </c>
      <c r="I746" s="104"/>
      <c r="J746" s="105">
        <v>152.46</v>
      </c>
      <c r="K746" s="106">
        <f t="shared" ref="K746:K749" si="48">+L746</f>
        <v>74.8</v>
      </c>
      <c r="L746" s="106">
        <v>74.8</v>
      </c>
      <c r="M746" s="106">
        <f t="shared" si="45"/>
        <v>0</v>
      </c>
      <c r="N746" s="106">
        <v>74.8</v>
      </c>
      <c r="O746" s="107">
        <v>11404.12</v>
      </c>
      <c r="P746" s="107">
        <v>26040</v>
      </c>
      <c r="Q746" s="107">
        <v>296963285</v>
      </c>
      <c r="R746" s="102" t="s">
        <v>30</v>
      </c>
      <c r="S746" s="108"/>
      <c r="T746" s="109"/>
      <c r="U746" s="109"/>
      <c r="V746" s="102"/>
      <c r="W746" s="109"/>
      <c r="X746" s="109"/>
      <c r="Y746" s="110" t="s">
        <v>932</v>
      </c>
      <c r="Z746" s="111" t="str">
        <f>MID(E746,4,2)</f>
        <v>CA</v>
      </c>
    </row>
    <row r="747" spans="1:26" s="111" customFormat="1" x14ac:dyDescent="0.2">
      <c r="A747" s="101">
        <v>46244</v>
      </c>
      <c r="B747" s="91" t="s">
        <v>988</v>
      </c>
      <c r="C747" s="102" t="s">
        <v>989</v>
      </c>
      <c r="D747" s="103" t="s">
        <v>26</v>
      </c>
      <c r="E747" s="91" t="s">
        <v>990</v>
      </c>
      <c r="F747" s="91" t="s">
        <v>270</v>
      </c>
      <c r="G747" s="91" t="s">
        <v>271</v>
      </c>
      <c r="H747" s="104" t="str">
        <f t="shared" si="46"/>
        <v>F4044J20</v>
      </c>
      <c r="I747" s="104"/>
      <c r="J747" s="105">
        <v>119.79</v>
      </c>
      <c r="K747" s="106">
        <f t="shared" si="48"/>
        <v>63</v>
      </c>
      <c r="L747" s="106">
        <v>63</v>
      </c>
      <c r="M747" s="106">
        <f t="shared" si="45"/>
        <v>0</v>
      </c>
      <c r="N747" s="106">
        <v>63</v>
      </c>
      <c r="O747" s="106">
        <v>7546.88</v>
      </c>
      <c r="P747" s="107">
        <v>26040</v>
      </c>
      <c r="Q747" s="107">
        <v>196520755</v>
      </c>
      <c r="R747" s="102" t="s">
        <v>30</v>
      </c>
      <c r="S747" s="108"/>
      <c r="T747" s="109"/>
      <c r="U747" s="109"/>
      <c r="V747" s="102"/>
      <c r="W747" s="109"/>
      <c r="X747" s="109"/>
      <c r="Y747" s="110" t="s">
        <v>932</v>
      </c>
      <c r="Z747" s="111" t="str">
        <f>MID(E747,4,2)</f>
        <v>CA</v>
      </c>
    </row>
    <row r="748" spans="1:26" s="111" customFormat="1" x14ac:dyDescent="0.2">
      <c r="A748" s="101">
        <v>46244</v>
      </c>
      <c r="B748" s="91" t="s">
        <v>988</v>
      </c>
      <c r="C748" s="102" t="s">
        <v>989</v>
      </c>
      <c r="D748" s="103" t="s">
        <v>26</v>
      </c>
      <c r="E748" s="91" t="s">
        <v>990</v>
      </c>
      <c r="F748" s="91" t="s">
        <v>388</v>
      </c>
      <c r="G748" s="91" t="s">
        <v>271</v>
      </c>
      <c r="H748" s="104" t="str">
        <f t="shared" si="46"/>
        <v>F4044J20</v>
      </c>
      <c r="I748" s="104"/>
      <c r="J748" s="105">
        <v>98.01</v>
      </c>
      <c r="K748" s="106">
        <f t="shared" si="48"/>
        <v>63</v>
      </c>
      <c r="L748" s="106">
        <v>63</v>
      </c>
      <c r="M748" s="106">
        <f t="shared" si="45"/>
        <v>0</v>
      </c>
      <c r="N748" s="106">
        <v>63</v>
      </c>
      <c r="O748" s="106">
        <v>6174.72</v>
      </c>
      <c r="P748" s="107">
        <v>26040</v>
      </c>
      <c r="Q748" s="107">
        <v>160789709</v>
      </c>
      <c r="R748" s="102" t="s">
        <v>30</v>
      </c>
      <c r="S748" s="108"/>
      <c r="T748" s="109"/>
      <c r="U748" s="109"/>
      <c r="V748" s="102"/>
      <c r="W748" s="109"/>
      <c r="X748" s="109"/>
      <c r="Y748" s="110" t="s">
        <v>932</v>
      </c>
      <c r="Z748" s="111" t="str">
        <f>MID(E748,4,2)</f>
        <v>CA</v>
      </c>
    </row>
    <row r="749" spans="1:26" s="111" customFormat="1" x14ac:dyDescent="0.2">
      <c r="A749" s="101">
        <v>46244</v>
      </c>
      <c r="B749" s="91" t="s">
        <v>993</v>
      </c>
      <c r="C749" s="102" t="s">
        <v>994</v>
      </c>
      <c r="D749" s="103" t="s">
        <v>26</v>
      </c>
      <c r="E749" s="91" t="s">
        <v>995</v>
      </c>
      <c r="F749" s="91" t="s">
        <v>120</v>
      </c>
      <c r="G749" s="91" t="s">
        <v>121</v>
      </c>
      <c r="H749" s="104" t="str">
        <f t="shared" si="46"/>
        <v>C5222J20</v>
      </c>
      <c r="I749" s="104"/>
      <c r="J749" s="105">
        <v>0.32</v>
      </c>
      <c r="K749" s="106">
        <f t="shared" si="48"/>
        <v>95.16</v>
      </c>
      <c r="L749" s="106">
        <v>95.16</v>
      </c>
      <c r="M749" s="106">
        <f t="shared" si="45"/>
        <v>0</v>
      </c>
      <c r="N749" s="106">
        <v>95.16</v>
      </c>
      <c r="O749" s="107">
        <v>30.45</v>
      </c>
      <c r="P749" s="107">
        <v>26040</v>
      </c>
      <c r="Q749" s="107">
        <v>792918</v>
      </c>
      <c r="R749" s="102"/>
      <c r="S749" s="108"/>
      <c r="T749" s="109" t="s">
        <v>30</v>
      </c>
      <c r="U749" s="109"/>
      <c r="V749" s="102"/>
      <c r="W749" s="109"/>
      <c r="X749" s="109"/>
      <c r="Y749" s="110" t="s">
        <v>996</v>
      </c>
      <c r="Z749" s="111" t="str">
        <f>MID(E749,4,2)</f>
        <v>CA</v>
      </c>
    </row>
    <row r="750" spans="1:26" s="111" customFormat="1" x14ac:dyDescent="0.2">
      <c r="A750" s="101">
        <v>46244</v>
      </c>
      <c r="B750" s="91" t="s">
        <v>993</v>
      </c>
      <c r="C750" s="102" t="s">
        <v>994</v>
      </c>
      <c r="D750" s="103" t="s">
        <v>26</v>
      </c>
      <c r="E750" s="91" t="s">
        <v>995</v>
      </c>
      <c r="F750" s="91" t="s">
        <v>863</v>
      </c>
      <c r="G750" s="91" t="s">
        <v>864</v>
      </c>
      <c r="H750" s="104" t="str">
        <f t="shared" si="46"/>
        <v>C5130J20</v>
      </c>
      <c r="I750" s="104"/>
      <c r="J750" s="105">
        <v>1.56</v>
      </c>
      <c r="K750" s="106">
        <f>IF(D750="CAESARSTONE LTD",VLOOKUP(H750,'[2]GIA CA'!G:H,2,0),IF(OR(D750="STONE FACINGS LIMITED",D750="NORDIA SA",D750="INVICTUS STONE COUNTERTOPS INC",D750="QUARTZTOP LLC"),VLOOKUP(H750,'[2] Giá ngoài Mỹ - SI-GR'!$B$5:$AZ$84,51,0),IF(OR(D750="HYUNDAI L&amp;C CANADA INC",D750="Hyundai L&amp; C USA LLC"),VLOOKUP(H750,'[2]GIA HS'!A:D,4,0),IF(Y750="Mỹ",VLOOKUP(H750,'[2]giá mỹ từ 6.8.2025'!B:I,2,0),VLOOKUP(H750,'[2]giá ngoài mỹ 6.8.2025 (final)'!B:BP,51,0)))))</f>
        <v>59</v>
      </c>
      <c r="L750" s="106">
        <v>94.87</v>
      </c>
      <c r="M750" s="106">
        <f t="shared" si="45"/>
        <v>35.870000000000005</v>
      </c>
      <c r="N750" s="106">
        <v>94.87</v>
      </c>
      <c r="O750" s="107">
        <v>148</v>
      </c>
      <c r="P750" s="107">
        <v>26040</v>
      </c>
      <c r="Q750" s="107">
        <v>3853920</v>
      </c>
      <c r="R750" s="102"/>
      <c r="S750" s="108"/>
      <c r="T750" s="109" t="s">
        <v>30</v>
      </c>
      <c r="U750" s="109"/>
      <c r="V750" s="102"/>
      <c r="W750" s="109"/>
      <c r="X750" s="109"/>
      <c r="Y750" s="110" t="s">
        <v>996</v>
      </c>
      <c r="Z750" s="111" t="str">
        <f>MID(E750,4,2)</f>
        <v>CA</v>
      </c>
    </row>
    <row r="751" spans="1:26" s="111" customFormat="1" x14ac:dyDescent="0.2">
      <c r="A751" s="101">
        <v>46244</v>
      </c>
      <c r="B751" s="91" t="s">
        <v>993</v>
      </c>
      <c r="C751" s="102" t="s">
        <v>994</v>
      </c>
      <c r="D751" s="103" t="s">
        <v>26</v>
      </c>
      <c r="E751" s="91" t="s">
        <v>995</v>
      </c>
      <c r="F751" s="91" t="s">
        <v>474</v>
      </c>
      <c r="G751" s="91" t="s">
        <v>475</v>
      </c>
      <c r="H751" s="104" t="str">
        <f t="shared" si="46"/>
        <v>C5100J20</v>
      </c>
      <c r="I751" s="104"/>
      <c r="J751" s="105">
        <v>0.64</v>
      </c>
      <c r="K751" s="106">
        <f>IF(D751="CAESARSTONE LTD",VLOOKUP(H751,'[2]GIA CA'!G:H,2,0),IF(OR(D751="STONE FACINGS LIMITED",D751="NORDIA SA",D751="INVICTUS STONE COUNTERTOPS INC",D751="QUARTZTOP LLC"),VLOOKUP(H751,'[2] Giá ngoài Mỹ - SI-GR'!$B$5:$AZ$84,51,0),IF(OR(D751="HYUNDAI L&amp;C CANADA INC",D751="Hyundai L&amp; C USA LLC"),VLOOKUP(H751,'[2]GIA HS'!A:D,4,0),IF(Y751="Mỹ",VLOOKUP(H751,'[2]giá mỹ từ 6.8.2025'!B:I,2,0),VLOOKUP(H751,'[2]giá ngoài mỹ 6.8.2025 (final)'!B:BP,51,0)))))</f>
        <v>59</v>
      </c>
      <c r="L751" s="106">
        <v>95.16</v>
      </c>
      <c r="M751" s="106">
        <f t="shared" si="45"/>
        <v>36.159999999999997</v>
      </c>
      <c r="N751" s="106">
        <v>95.16</v>
      </c>
      <c r="O751" s="107">
        <v>60.9</v>
      </c>
      <c r="P751" s="107">
        <v>26040</v>
      </c>
      <c r="Q751" s="107">
        <v>1585836</v>
      </c>
      <c r="R751" s="102"/>
      <c r="S751" s="108"/>
      <c r="T751" s="109" t="s">
        <v>30</v>
      </c>
      <c r="U751" s="109"/>
      <c r="V751" s="102"/>
      <c r="W751" s="109"/>
      <c r="X751" s="109"/>
      <c r="Y751" s="110" t="s">
        <v>996</v>
      </c>
      <c r="Z751" s="111" t="str">
        <f>MID(E751,4,2)</f>
        <v>CA</v>
      </c>
    </row>
    <row r="752" spans="1:26" s="111" customFormat="1" x14ac:dyDescent="0.2">
      <c r="A752" s="101">
        <v>46244</v>
      </c>
      <c r="B752" s="91" t="s">
        <v>993</v>
      </c>
      <c r="C752" s="102" t="s">
        <v>994</v>
      </c>
      <c r="D752" s="103" t="s">
        <v>26</v>
      </c>
      <c r="E752" s="91" t="s">
        <v>995</v>
      </c>
      <c r="F752" s="91" t="s">
        <v>997</v>
      </c>
      <c r="G752" s="91" t="s">
        <v>998</v>
      </c>
      <c r="H752" s="104" t="str">
        <f t="shared" si="46"/>
        <v>F8250J20</v>
      </c>
      <c r="I752" s="104"/>
      <c r="J752" s="105">
        <v>1</v>
      </c>
      <c r="K752" s="106">
        <f>IF(D752="CAESARSTONE LTD",VLOOKUP(H752,'[2]GIA CA'!G:H,2,0),IF(OR(D752="STONE FACINGS LIMITED",D752="NORDIA SA",D752="INVICTUS STONE COUNTERTOPS INC",D752="QUARTZTOP LLC"),VLOOKUP(H752,'[2] Giá ngoài Mỹ - SI-GR'!$B$5:$AZ$84,51,0),IF(OR(D752="HYUNDAI L&amp;C CANADA INC",D752="Hyundai L&amp; C USA LLC"),VLOOKUP(H752,'[2]GIA HS'!A:D,4,0),IF(Y752="Mỹ",VLOOKUP(H752,'[2]giá mỹ từ 6.8.2025'!B:I,2,0),VLOOKUP(H752,'[2]giá ngoài mỹ 6.8.2025 (final)'!B:BP,51,0)))))</f>
        <v>74</v>
      </c>
      <c r="L752" s="106">
        <v>143</v>
      </c>
      <c r="M752" s="106">
        <f t="shared" si="45"/>
        <v>69</v>
      </c>
      <c r="N752" s="106">
        <v>143</v>
      </c>
      <c r="O752" s="107">
        <v>143</v>
      </c>
      <c r="P752" s="107">
        <v>26040</v>
      </c>
      <c r="Q752" s="107">
        <v>3723720</v>
      </c>
      <c r="R752" s="102"/>
      <c r="S752" s="108"/>
      <c r="T752" s="109" t="s">
        <v>30</v>
      </c>
      <c r="U752" s="109"/>
      <c r="V752" s="102"/>
      <c r="W752" s="109"/>
      <c r="X752" s="109"/>
      <c r="Y752" s="110" t="s">
        <v>996</v>
      </c>
      <c r="Z752" s="111" t="str">
        <f>MID(E752,4,2)</f>
        <v>CA</v>
      </c>
    </row>
    <row r="753" spans="1:26" s="111" customFormat="1" x14ac:dyDescent="0.2">
      <c r="A753" s="101">
        <v>46244</v>
      </c>
      <c r="B753" s="91" t="s">
        <v>993</v>
      </c>
      <c r="C753" s="102" t="s">
        <v>994</v>
      </c>
      <c r="D753" s="103" t="s">
        <v>26</v>
      </c>
      <c r="E753" s="91" t="s">
        <v>995</v>
      </c>
      <c r="F753" s="91" t="s">
        <v>110</v>
      </c>
      <c r="G753" s="91" t="s">
        <v>111</v>
      </c>
      <c r="H753" s="104" t="str">
        <f t="shared" si="46"/>
        <v>C4023J20</v>
      </c>
      <c r="I753" s="104"/>
      <c r="J753" s="105">
        <v>108.9</v>
      </c>
      <c r="K753" s="106">
        <f>+L753</f>
        <v>59.9</v>
      </c>
      <c r="L753" s="106">
        <v>59.9</v>
      </c>
      <c r="M753" s="106">
        <f t="shared" si="45"/>
        <v>0</v>
      </c>
      <c r="N753" s="106">
        <v>59.9</v>
      </c>
      <c r="O753" s="107">
        <v>6523.2</v>
      </c>
      <c r="P753" s="107">
        <v>26040</v>
      </c>
      <c r="Q753" s="107">
        <v>169864128</v>
      </c>
      <c r="R753" s="102" t="s">
        <v>30</v>
      </c>
      <c r="S753" s="108"/>
      <c r="T753" s="109"/>
      <c r="U753" s="109"/>
      <c r="V753" s="102"/>
      <c r="W753" s="109"/>
      <c r="X753" s="109"/>
      <c r="Y753" s="110" t="s">
        <v>996</v>
      </c>
      <c r="Z753" s="111" t="str">
        <f>MID(E753,4,2)</f>
        <v>CA</v>
      </c>
    </row>
    <row r="754" spans="1:26" s="111" customFormat="1" x14ac:dyDescent="0.2">
      <c r="A754" s="101">
        <v>46244</v>
      </c>
      <c r="B754" s="91" t="s">
        <v>993</v>
      </c>
      <c r="C754" s="102" t="s">
        <v>994</v>
      </c>
      <c r="D754" s="103" t="s">
        <v>26</v>
      </c>
      <c r="E754" s="91" t="s">
        <v>995</v>
      </c>
      <c r="F754" s="91" t="s">
        <v>124</v>
      </c>
      <c r="G754" s="91" t="s">
        <v>113</v>
      </c>
      <c r="H754" s="104" t="str">
        <f t="shared" si="46"/>
        <v>C5212J20</v>
      </c>
      <c r="I754" s="104"/>
      <c r="J754" s="105">
        <v>54.45</v>
      </c>
      <c r="K754" s="106">
        <f>IF(D754="CAESARSTONE LTD",VLOOKUP(H754,'[2]GIA CA'!G:H,2,0),IF(OR(D754="STONE FACINGS LIMITED",D754="NORDIA SA",D754="INVICTUS STONE COUNTERTOPS INC",D754="QUARTZTOP LLC"),VLOOKUP(H754,'[2] Giá ngoài Mỹ - SI-GR'!$B$5:$AZ$84,51,0),IF(OR(D754="HYUNDAI L&amp;C CANADA INC",D754="Hyundai L&amp; C USA LLC"),VLOOKUP(H754,'[2]GIA HS'!A:D,4,0),IF(Y754="Mỹ",VLOOKUP(H754,'[2]giá mỹ từ 6.8.2025'!B:I,2,0),VLOOKUP(H754,'[2]giá ngoài mỹ 6.8.2025 (final)'!B:BP,51,0)))))</f>
        <v>59</v>
      </c>
      <c r="L754" s="106">
        <v>62</v>
      </c>
      <c r="M754" s="106">
        <f t="shared" si="45"/>
        <v>3</v>
      </c>
      <c r="N754" s="106">
        <v>62</v>
      </c>
      <c r="O754" s="107">
        <v>3375.9</v>
      </c>
      <c r="P754" s="107">
        <v>26040</v>
      </c>
      <c r="Q754" s="107">
        <v>87908436</v>
      </c>
      <c r="R754" s="102" t="s">
        <v>30</v>
      </c>
      <c r="S754" s="108"/>
      <c r="T754" s="109"/>
      <c r="U754" s="109"/>
      <c r="V754" s="102"/>
      <c r="W754" s="109"/>
      <c r="X754" s="109"/>
      <c r="Y754" s="110" t="s">
        <v>996</v>
      </c>
      <c r="Z754" s="111" t="str">
        <f>MID(E754,4,2)</f>
        <v>CA</v>
      </c>
    </row>
    <row r="755" spans="1:26" s="111" customFormat="1" x14ac:dyDescent="0.2">
      <c r="A755" s="101">
        <v>46244</v>
      </c>
      <c r="B755" s="91" t="s">
        <v>993</v>
      </c>
      <c r="C755" s="102" t="s">
        <v>994</v>
      </c>
      <c r="D755" s="103" t="s">
        <v>26</v>
      </c>
      <c r="E755" s="91" t="s">
        <v>995</v>
      </c>
      <c r="F755" s="91" t="s">
        <v>125</v>
      </c>
      <c r="G755" s="91" t="s">
        <v>126</v>
      </c>
      <c r="H755" s="104" t="str">
        <f t="shared" si="46"/>
        <v>C6046J20</v>
      </c>
      <c r="I755" s="104"/>
      <c r="J755" s="105">
        <v>38.119999999999997</v>
      </c>
      <c r="K755" s="106">
        <f>IF(D755="CAESARSTONE LTD",VLOOKUP(H755,'[2]GIA CA'!G:H,2,0),IF(OR(D755="STONE FACINGS LIMITED",D755="NORDIA SA",D755="INVICTUS STONE COUNTERTOPS INC",D755="QUARTZTOP LLC"),VLOOKUP(H755,'[2] Giá ngoài Mỹ - SI-GR'!$B$5:$AZ$84,51,0),IF(OR(D755="HYUNDAI L&amp;C CANADA INC",D755="Hyundai L&amp; C USA LLC"),VLOOKUP(H755,'[2]GIA HS'!A:D,4,0),IF(Y755="Mỹ",VLOOKUP(H755,'[2]giá mỹ từ 6.8.2025'!B:I,2,0),VLOOKUP(H755,'[2]giá ngoài mỹ 6.8.2025 (final)'!B:BP,51,0)))))</f>
        <v>59</v>
      </c>
      <c r="L755" s="106">
        <v>62</v>
      </c>
      <c r="M755" s="106">
        <f t="shared" si="45"/>
        <v>3</v>
      </c>
      <c r="N755" s="106">
        <v>62</v>
      </c>
      <c r="O755" s="107">
        <v>2363.44</v>
      </c>
      <c r="P755" s="107">
        <v>26040</v>
      </c>
      <c r="Q755" s="107">
        <v>61543978</v>
      </c>
      <c r="R755" s="102" t="s">
        <v>30</v>
      </c>
      <c r="S755" s="108"/>
      <c r="T755" s="109"/>
      <c r="U755" s="109"/>
      <c r="V755" s="102"/>
      <c r="W755" s="109"/>
      <c r="X755" s="109"/>
      <c r="Y755" s="110" t="s">
        <v>996</v>
      </c>
      <c r="Z755" s="111" t="str">
        <f>MID(E755,4,2)</f>
        <v>CA</v>
      </c>
    </row>
    <row r="756" spans="1:26" s="111" customFormat="1" x14ac:dyDescent="0.2">
      <c r="A756" s="101">
        <v>46244</v>
      </c>
      <c r="B756" s="91" t="s">
        <v>993</v>
      </c>
      <c r="C756" s="102" t="s">
        <v>994</v>
      </c>
      <c r="D756" s="103" t="s">
        <v>26</v>
      </c>
      <c r="E756" s="91" t="s">
        <v>995</v>
      </c>
      <c r="F756" s="91" t="s">
        <v>379</v>
      </c>
      <c r="G756" s="91" t="s">
        <v>126</v>
      </c>
      <c r="H756" s="104" t="str">
        <f t="shared" si="46"/>
        <v>C6046J20</v>
      </c>
      <c r="I756" s="104"/>
      <c r="J756" s="105">
        <v>16.329999999999998</v>
      </c>
      <c r="K756" s="106">
        <f>IF(D756="CAESARSTONE LTD",VLOOKUP(H756,'[2]GIA CA'!G:H,2,0),IF(OR(D756="STONE FACINGS LIMITED",D756="NORDIA SA",D756="INVICTUS STONE COUNTERTOPS INC",D756="QUARTZTOP LLC"),VLOOKUP(H756,'[2] Giá ngoài Mỹ - SI-GR'!$B$5:$AZ$84,51,0),IF(OR(D756="HYUNDAI L&amp;C CANADA INC",D756="Hyundai L&amp; C USA LLC"),VLOOKUP(H756,'[2]GIA HS'!A:D,4,0),IF(Y756="Mỹ",VLOOKUP(H756,'[2]giá mỹ từ 6.8.2025'!B:I,2,0),VLOOKUP(H756,'[2]giá ngoài mỹ 6.8.2025 (final)'!B:BP,51,0)))))</f>
        <v>59</v>
      </c>
      <c r="L756" s="106">
        <v>62</v>
      </c>
      <c r="M756" s="106">
        <f t="shared" si="45"/>
        <v>3</v>
      </c>
      <c r="N756" s="106">
        <v>62</v>
      </c>
      <c r="O756" s="107">
        <v>1012.46</v>
      </c>
      <c r="P756" s="107">
        <v>26040</v>
      </c>
      <c r="Q756" s="107">
        <v>26364458</v>
      </c>
      <c r="R756" s="102" t="s">
        <v>30</v>
      </c>
      <c r="S756" s="108"/>
      <c r="T756" s="109"/>
      <c r="U756" s="109"/>
      <c r="V756" s="102"/>
      <c r="W756" s="109"/>
      <c r="X756" s="109"/>
      <c r="Y756" s="110" t="s">
        <v>996</v>
      </c>
      <c r="Z756" s="111" t="str">
        <f>MID(E756,4,2)</f>
        <v>CA</v>
      </c>
    </row>
    <row r="757" spans="1:26" s="111" customFormat="1" x14ac:dyDescent="0.2">
      <c r="A757" s="101">
        <v>46244</v>
      </c>
      <c r="B757" s="91" t="s">
        <v>993</v>
      </c>
      <c r="C757" s="102" t="s">
        <v>994</v>
      </c>
      <c r="D757" s="103" t="s">
        <v>26</v>
      </c>
      <c r="E757" s="91" t="s">
        <v>995</v>
      </c>
      <c r="F757" s="91" t="s">
        <v>778</v>
      </c>
      <c r="G757" s="91" t="s">
        <v>779</v>
      </c>
      <c r="H757" s="104" t="str">
        <f t="shared" si="46"/>
        <v>C6131J20</v>
      </c>
      <c r="I757" s="104"/>
      <c r="J757" s="105">
        <v>54.45</v>
      </c>
      <c r="K757" s="106">
        <f>IF(D757="CAESARSTONE LTD",VLOOKUP(H757,'[2]GIA CA'!G:H,2,0),IF(OR(D757="STONE FACINGS LIMITED",D757="NORDIA SA",D757="INVICTUS STONE COUNTERTOPS INC",D757="QUARTZTOP LLC"),VLOOKUP(H757,'[2] Giá ngoài Mỹ - SI-GR'!$B$5:$AZ$84,51,0),IF(OR(D757="HYUNDAI L&amp;C CANADA INC",D757="Hyundai L&amp; C USA LLC"),VLOOKUP(H757,'[2]GIA HS'!A:D,4,0),IF(Y757="Mỹ",VLOOKUP(H757,'[2]giá mỹ từ 6.8.2025'!B:I,2,0),VLOOKUP(H757,'[2]giá ngoài mỹ 6.8.2025 (final)'!B:BP,51,0)))))</f>
        <v>59</v>
      </c>
      <c r="L757" s="106">
        <v>62</v>
      </c>
      <c r="M757" s="106">
        <f t="shared" si="45"/>
        <v>3</v>
      </c>
      <c r="N757" s="106">
        <v>62</v>
      </c>
      <c r="O757" s="107">
        <v>3375.9</v>
      </c>
      <c r="P757" s="107">
        <v>26040</v>
      </c>
      <c r="Q757" s="107">
        <v>87908436</v>
      </c>
      <c r="R757" s="102" t="s">
        <v>30</v>
      </c>
      <c r="S757" s="108"/>
      <c r="T757" s="109"/>
      <c r="U757" s="109"/>
      <c r="V757" s="102"/>
      <c r="W757" s="109"/>
      <c r="X757" s="109"/>
      <c r="Y757" s="110" t="s">
        <v>996</v>
      </c>
      <c r="Z757" s="111" t="str">
        <f>MID(E757,4,2)</f>
        <v>CA</v>
      </c>
    </row>
    <row r="758" spans="1:26" s="111" customFormat="1" x14ac:dyDescent="0.2">
      <c r="A758" s="101">
        <v>46244</v>
      </c>
      <c r="B758" s="91" t="s">
        <v>993</v>
      </c>
      <c r="C758" s="102" t="s">
        <v>994</v>
      </c>
      <c r="D758" s="103" t="s">
        <v>26</v>
      </c>
      <c r="E758" s="91" t="s">
        <v>995</v>
      </c>
      <c r="F758" s="91" t="s">
        <v>999</v>
      </c>
      <c r="G758" s="91" t="s">
        <v>1000</v>
      </c>
      <c r="H758" s="104" t="str">
        <f t="shared" si="46"/>
        <v>F5144J20</v>
      </c>
      <c r="I758" s="104"/>
      <c r="J758" s="105">
        <v>108.9</v>
      </c>
      <c r="K758" s="106">
        <f>IF(D758="CAESARSTONE LTD",VLOOKUP(H758,'[2]GIA CA'!G:H,2,0),IF(OR(D758="STONE FACINGS LIMITED",D758="NORDIA SA",D758="INVICTUS STONE COUNTERTOPS INC",D758="QUARTZTOP LLC"),VLOOKUP(H758,'[2] Giá ngoài Mỹ - SI-GR'!$B$5:$AZ$84,51,0),IF(OR(D758="HYUNDAI L&amp;C CANADA INC",D758="Hyundai L&amp; C USA LLC"),VLOOKUP(H758,'[2]GIA HS'!A:D,4,0),IF(Y758="Mỹ",VLOOKUP(H758,'[2]giá mỹ từ 6.8.2025'!B:I,2,0),VLOOKUP(H758,'[2]giá ngoài mỹ 6.8.2025 (final)'!B:BP,51,0)))))</f>
        <v>62</v>
      </c>
      <c r="L758" s="106">
        <v>65.099999999999994</v>
      </c>
      <c r="M758" s="106">
        <f t="shared" si="45"/>
        <v>3.0999999999999943</v>
      </c>
      <c r="N758" s="106">
        <v>65.099999999999994</v>
      </c>
      <c r="O758" s="107">
        <v>7089.4</v>
      </c>
      <c r="P758" s="107">
        <v>26040</v>
      </c>
      <c r="Q758" s="107">
        <v>184607976</v>
      </c>
      <c r="R758" s="102" t="s">
        <v>30</v>
      </c>
      <c r="S758" s="108"/>
      <c r="T758" s="109"/>
      <c r="U758" s="109"/>
      <c r="V758" s="102"/>
      <c r="W758" s="109"/>
      <c r="X758" s="109"/>
      <c r="Y758" s="110" t="s">
        <v>996</v>
      </c>
      <c r="Z758" s="111" t="str">
        <f>MID(E758,4,2)</f>
        <v>CA</v>
      </c>
    </row>
    <row r="759" spans="1:26" s="111" customFormat="1" x14ac:dyDescent="0.2">
      <c r="A759" s="101">
        <v>46244</v>
      </c>
      <c r="B759" s="91" t="s">
        <v>993</v>
      </c>
      <c r="C759" s="102" t="s">
        <v>994</v>
      </c>
      <c r="D759" s="103" t="s">
        <v>26</v>
      </c>
      <c r="E759" s="91" t="s">
        <v>995</v>
      </c>
      <c r="F759" s="91" t="s">
        <v>1001</v>
      </c>
      <c r="G759" s="91" t="s">
        <v>978</v>
      </c>
      <c r="H759" s="104" t="str">
        <f t="shared" si="46"/>
        <v>F5310J20</v>
      </c>
      <c r="I759" s="104"/>
      <c r="J759" s="105">
        <v>54.45</v>
      </c>
      <c r="K759" s="106">
        <f>IF(D759="CAESARSTONE LTD",VLOOKUP(H759,'[2]GIA CA'!G:H,2,0),IF(OR(D759="STONE FACINGS LIMITED",D759="NORDIA SA",D759="INVICTUS STONE COUNTERTOPS INC",D759="QUARTZTOP LLC"),VLOOKUP(H759,'[2] Giá ngoài Mỹ - SI-GR'!$B$5:$AZ$84,51,0),IF(OR(D759="HYUNDAI L&amp;C CANADA INC",D759="Hyundai L&amp; C USA LLC"),VLOOKUP(H759,'[2]GIA HS'!A:D,4,0),IF(Y759="Mỹ",VLOOKUP(H759,'[2]giá mỹ từ 6.8.2025'!B:I,2,0),VLOOKUP(H759,'[2]giá ngoài mỹ 6.8.2025 (final)'!B:BP,51,0)))))</f>
        <v>62</v>
      </c>
      <c r="L759" s="106">
        <v>65.099999999999994</v>
      </c>
      <c r="M759" s="106">
        <f t="shared" si="45"/>
        <v>3.0999999999999943</v>
      </c>
      <c r="N759" s="106">
        <v>65.099999999999994</v>
      </c>
      <c r="O759" s="107">
        <v>3544.7</v>
      </c>
      <c r="P759" s="107">
        <v>26040</v>
      </c>
      <c r="Q759" s="107">
        <v>92303988</v>
      </c>
      <c r="R759" s="102" t="s">
        <v>30</v>
      </c>
      <c r="S759" s="108"/>
      <c r="T759" s="109"/>
      <c r="U759" s="109"/>
      <c r="V759" s="102"/>
      <c r="W759" s="109"/>
      <c r="X759" s="109"/>
      <c r="Y759" s="110" t="s">
        <v>996</v>
      </c>
      <c r="Z759" s="111" t="str">
        <f>MID(E759,4,2)</f>
        <v>CA</v>
      </c>
    </row>
    <row r="760" spans="1:26" s="111" customFormat="1" x14ac:dyDescent="0.2">
      <c r="A760" s="101">
        <v>46244</v>
      </c>
      <c r="B760" s="91" t="s">
        <v>1002</v>
      </c>
      <c r="C760" s="102" t="s">
        <v>1003</v>
      </c>
      <c r="D760" s="103" t="s">
        <v>26</v>
      </c>
      <c r="E760" s="91" t="s">
        <v>1004</v>
      </c>
      <c r="F760" s="91" t="s">
        <v>278</v>
      </c>
      <c r="G760" s="91" t="s">
        <v>71</v>
      </c>
      <c r="H760" s="104" t="str">
        <f t="shared" si="46"/>
        <v>C5116J30</v>
      </c>
      <c r="I760" s="104"/>
      <c r="J760" s="105">
        <v>54.45</v>
      </c>
      <c r="K760" s="106">
        <f>IF(D760="CAESARSTONE LTD",VLOOKUP(H760,'[2]GIA CA'!G:H,2,0),IF(OR(D760="STONE FACINGS LIMITED",D760="NORDIA SA",D760="INVICTUS STONE COUNTERTOPS INC",D760="QUARTZTOP LLC"),VLOOKUP(H760,'[2] Giá ngoài Mỹ - SI-GR'!$B$5:$AZ$84,51,0),IF(OR(D760="HYUNDAI L&amp;C CANADA INC",D760="Hyundai L&amp; C USA LLC"),VLOOKUP(H760,'[2]GIA HS'!A:D,4,0),IF(Y760="Mỹ",VLOOKUP(H760,'[2]giá mỹ từ 6.8.2025'!B:I,2,0),VLOOKUP(H760,'[2]giá ngoài mỹ 6.8.2025 (final)'!B:BP,51,0)))))</f>
        <v>81.25</v>
      </c>
      <c r="L760" s="106">
        <v>85.3</v>
      </c>
      <c r="M760" s="106">
        <f t="shared" si="45"/>
        <v>4.0499999999999972</v>
      </c>
      <c r="N760" s="106">
        <v>85.3</v>
      </c>
      <c r="O760" s="107">
        <v>4644.6000000000004</v>
      </c>
      <c r="P760" s="107">
        <v>26040</v>
      </c>
      <c r="Q760" s="107">
        <v>120945384</v>
      </c>
      <c r="R760" s="102" t="s">
        <v>30</v>
      </c>
      <c r="S760" s="108"/>
      <c r="T760" s="109"/>
      <c r="U760" s="109"/>
      <c r="V760" s="102"/>
      <c r="W760" s="109"/>
      <c r="X760" s="109"/>
      <c r="Y760" s="110" t="s">
        <v>932</v>
      </c>
      <c r="Z760" s="111" t="str">
        <f>MID(E760,4,2)</f>
        <v>CA</v>
      </c>
    </row>
    <row r="761" spans="1:26" s="111" customFormat="1" x14ac:dyDescent="0.2">
      <c r="A761" s="101">
        <v>46244</v>
      </c>
      <c r="B761" s="91" t="s">
        <v>1002</v>
      </c>
      <c r="C761" s="102" t="s">
        <v>1003</v>
      </c>
      <c r="D761" s="103" t="s">
        <v>26</v>
      </c>
      <c r="E761" s="91" t="s">
        <v>1004</v>
      </c>
      <c r="F761" s="91" t="s">
        <v>70</v>
      </c>
      <c r="G761" s="91" t="s">
        <v>71</v>
      </c>
      <c r="H761" s="104" t="str">
        <f t="shared" si="46"/>
        <v>C5116J30</v>
      </c>
      <c r="I761" s="104"/>
      <c r="J761" s="105">
        <v>250.47</v>
      </c>
      <c r="K761" s="106">
        <f>IF(D761="CAESARSTONE LTD",VLOOKUP(H761,'[2]GIA CA'!G:H,2,0),IF(OR(D761="STONE FACINGS LIMITED",D761="NORDIA SA",D761="INVICTUS STONE COUNTERTOPS INC",D761="QUARTZTOP LLC"),VLOOKUP(H761,'[2] Giá ngoài Mỹ - SI-GR'!$B$5:$AZ$84,51,0),IF(OR(D761="HYUNDAI L&amp;C CANADA INC",D761="Hyundai L&amp; C USA LLC"),VLOOKUP(H761,'[2]GIA HS'!A:D,4,0),IF(Y761="Mỹ",VLOOKUP(H761,'[2]giá mỹ từ 6.8.2025'!B:I,2,0),VLOOKUP(H761,'[2]giá ngoài mỹ 6.8.2025 (final)'!B:BP,51,0)))))</f>
        <v>81.25</v>
      </c>
      <c r="L761" s="106">
        <v>85.3</v>
      </c>
      <c r="M761" s="106">
        <f t="shared" si="45"/>
        <v>4.0499999999999972</v>
      </c>
      <c r="N761" s="106">
        <v>85.3</v>
      </c>
      <c r="O761" s="107">
        <v>21365.16</v>
      </c>
      <c r="P761" s="107">
        <v>26040</v>
      </c>
      <c r="Q761" s="107">
        <v>556348766</v>
      </c>
      <c r="R761" s="102" t="s">
        <v>30</v>
      </c>
      <c r="S761" s="108"/>
      <c r="T761" s="109"/>
      <c r="U761" s="109"/>
      <c r="V761" s="102"/>
      <c r="W761" s="109"/>
      <c r="X761" s="109"/>
      <c r="Y761" s="110" t="s">
        <v>932</v>
      </c>
      <c r="Z761" s="111" t="str">
        <f>MID(E761,4,2)</f>
        <v>CA</v>
      </c>
    </row>
    <row r="762" spans="1:26" s="111" customFormat="1" x14ac:dyDescent="0.2">
      <c r="A762" s="101">
        <v>46245</v>
      </c>
      <c r="B762" s="91" t="s">
        <v>1005</v>
      </c>
      <c r="C762" s="102" t="s">
        <v>1006</v>
      </c>
      <c r="D762" s="103" t="s">
        <v>47</v>
      </c>
      <c r="E762" s="91" t="s">
        <v>1007</v>
      </c>
      <c r="F762" s="91" t="s">
        <v>1008</v>
      </c>
      <c r="G762" s="91" t="s">
        <v>1009</v>
      </c>
      <c r="H762" s="104" t="str">
        <f t="shared" si="46"/>
        <v>C4342J20</v>
      </c>
      <c r="I762" s="104"/>
      <c r="J762" s="105">
        <v>119.79</v>
      </c>
      <c r="K762" s="106"/>
      <c r="L762" s="106">
        <v>0</v>
      </c>
      <c r="M762" s="106">
        <f t="shared" si="45"/>
        <v>0</v>
      </c>
      <c r="N762" s="106">
        <v>72.45</v>
      </c>
      <c r="O762" s="107">
        <v>8678.69</v>
      </c>
      <c r="P762" s="107">
        <v>26040</v>
      </c>
      <c r="Q762" s="107">
        <v>225993088</v>
      </c>
      <c r="R762" s="102" t="s">
        <v>30</v>
      </c>
      <c r="S762" s="108"/>
      <c r="T762" s="109"/>
      <c r="U762" s="109"/>
      <c r="V762" s="102"/>
      <c r="W762" s="109"/>
      <c r="X762" s="109"/>
      <c r="Y762" s="110" t="s">
        <v>31</v>
      </c>
      <c r="Z762" s="111" t="str">
        <f>MID(E762,4,2)</f>
        <v>AT</v>
      </c>
    </row>
    <row r="763" spans="1:26" s="111" customFormat="1" x14ac:dyDescent="0.2">
      <c r="A763" s="101">
        <v>46245</v>
      </c>
      <c r="B763" s="91" t="s">
        <v>1005</v>
      </c>
      <c r="C763" s="102" t="s">
        <v>1006</v>
      </c>
      <c r="D763" s="103" t="s">
        <v>47</v>
      </c>
      <c r="E763" s="91" t="s">
        <v>1007</v>
      </c>
      <c r="F763" s="91" t="s">
        <v>1010</v>
      </c>
      <c r="G763" s="91" t="s">
        <v>1009</v>
      </c>
      <c r="H763" s="104" t="str">
        <f t="shared" si="46"/>
        <v>C4342J20</v>
      </c>
      <c r="I763" s="104"/>
      <c r="J763" s="105">
        <v>353.93</v>
      </c>
      <c r="K763" s="106"/>
      <c r="L763" s="106">
        <v>0</v>
      </c>
      <c r="M763" s="106">
        <f t="shared" si="45"/>
        <v>0</v>
      </c>
      <c r="N763" s="106">
        <v>72.45</v>
      </c>
      <c r="O763" s="106">
        <v>25641.94</v>
      </c>
      <c r="P763" s="107">
        <v>26040</v>
      </c>
      <c r="Q763" s="107">
        <v>667716118</v>
      </c>
      <c r="R763" s="102" t="s">
        <v>30</v>
      </c>
      <c r="S763" s="108"/>
      <c r="T763" s="109"/>
      <c r="U763" s="109"/>
      <c r="V763" s="102"/>
      <c r="W763" s="109"/>
      <c r="X763" s="109"/>
      <c r="Y763" s="110" t="s">
        <v>31</v>
      </c>
      <c r="Z763" s="111" t="str">
        <f>MID(E763,4,2)</f>
        <v>AT</v>
      </c>
    </row>
    <row r="764" spans="1:26" s="111" customFormat="1" x14ac:dyDescent="0.2">
      <c r="A764" s="101">
        <v>46245</v>
      </c>
      <c r="B764" s="91" t="s">
        <v>1011</v>
      </c>
      <c r="C764" s="102" t="s">
        <v>1012</v>
      </c>
      <c r="D764" s="103" t="s">
        <v>26</v>
      </c>
      <c r="E764" s="91" t="s">
        <v>1013</v>
      </c>
      <c r="F764" s="91" t="s">
        <v>1014</v>
      </c>
      <c r="G764" s="91" t="s">
        <v>896</v>
      </c>
      <c r="H764" s="104" t="str">
        <f t="shared" si="46"/>
        <v>C4143J30</v>
      </c>
      <c r="I764" s="104"/>
      <c r="J764" s="105">
        <v>10.89</v>
      </c>
      <c r="K764" s="106"/>
      <c r="L764" s="106">
        <v>0</v>
      </c>
      <c r="M764" s="106">
        <f t="shared" si="45"/>
        <v>0</v>
      </c>
      <c r="N764" s="106">
        <v>74.8</v>
      </c>
      <c r="O764" s="106">
        <v>814.56</v>
      </c>
      <c r="P764" s="107">
        <v>26040</v>
      </c>
      <c r="Q764" s="107">
        <v>21211142</v>
      </c>
      <c r="R764" s="102" t="s">
        <v>30</v>
      </c>
      <c r="S764" s="108"/>
      <c r="T764" s="109"/>
      <c r="U764" s="109"/>
      <c r="V764" s="102"/>
      <c r="W764" s="109"/>
      <c r="X764" s="109"/>
      <c r="Y764" s="110" t="s">
        <v>132</v>
      </c>
      <c r="Z764" s="111" t="str">
        <f>MID(E764,4,2)</f>
        <v>CA</v>
      </c>
    </row>
    <row r="765" spans="1:26" s="111" customFormat="1" x14ac:dyDescent="0.2">
      <c r="A765" s="101">
        <v>46245</v>
      </c>
      <c r="B765" s="91" t="s">
        <v>1011</v>
      </c>
      <c r="C765" s="102" t="s">
        <v>1012</v>
      </c>
      <c r="D765" s="103" t="s">
        <v>26</v>
      </c>
      <c r="E765" s="91" t="s">
        <v>1013</v>
      </c>
      <c r="F765" s="91" t="s">
        <v>895</v>
      </c>
      <c r="G765" s="91" t="s">
        <v>896</v>
      </c>
      <c r="H765" s="104" t="str">
        <f t="shared" si="46"/>
        <v>C4143J30</v>
      </c>
      <c r="I765" s="104"/>
      <c r="J765" s="105">
        <v>277.7</v>
      </c>
      <c r="K765" s="106"/>
      <c r="L765" s="106">
        <v>0</v>
      </c>
      <c r="M765" s="106">
        <f t="shared" si="45"/>
        <v>0</v>
      </c>
      <c r="N765" s="106">
        <v>74.8</v>
      </c>
      <c r="O765" s="106">
        <v>20771.48</v>
      </c>
      <c r="P765" s="107">
        <v>26040</v>
      </c>
      <c r="Q765" s="107">
        <v>540889339</v>
      </c>
      <c r="R765" s="102" t="s">
        <v>30</v>
      </c>
      <c r="S765" s="108"/>
      <c r="T765" s="109"/>
      <c r="U765" s="109"/>
      <c r="V765" s="102"/>
      <c r="W765" s="109"/>
      <c r="X765" s="109"/>
      <c r="Y765" s="110" t="s">
        <v>132</v>
      </c>
      <c r="Z765" s="111" t="str">
        <f>MID(E765,4,2)</f>
        <v>CA</v>
      </c>
    </row>
    <row r="766" spans="1:26" s="111" customFormat="1" x14ac:dyDescent="0.2">
      <c r="A766" s="101">
        <v>46245</v>
      </c>
      <c r="B766" s="91" t="s">
        <v>1011</v>
      </c>
      <c r="C766" s="102" t="s">
        <v>1012</v>
      </c>
      <c r="D766" s="103" t="s">
        <v>26</v>
      </c>
      <c r="E766" s="91" t="s">
        <v>1013</v>
      </c>
      <c r="F766" s="91" t="s">
        <v>895</v>
      </c>
      <c r="G766" s="91" t="s">
        <v>896</v>
      </c>
      <c r="H766" s="104" t="str">
        <f t="shared" si="46"/>
        <v>C4143J30</v>
      </c>
      <c r="I766" s="104"/>
      <c r="J766" s="105">
        <v>16.34</v>
      </c>
      <c r="K766" s="106"/>
      <c r="L766" s="106">
        <v>0</v>
      </c>
      <c r="M766" s="106">
        <f t="shared" si="45"/>
        <v>0</v>
      </c>
      <c r="N766" s="106">
        <v>74.8</v>
      </c>
      <c r="O766" s="106">
        <v>1222.2</v>
      </c>
      <c r="P766" s="107">
        <v>26040</v>
      </c>
      <c r="Q766" s="107">
        <v>31826088</v>
      </c>
      <c r="R766" s="102" t="s">
        <v>30</v>
      </c>
      <c r="S766" s="108"/>
      <c r="T766" s="109"/>
      <c r="U766" s="109"/>
      <c r="V766" s="102"/>
      <c r="W766" s="109"/>
      <c r="X766" s="109"/>
      <c r="Y766" s="110" t="s">
        <v>132</v>
      </c>
      <c r="Z766" s="111" t="str">
        <f>MID(E766,4,2)</f>
        <v>CA</v>
      </c>
    </row>
    <row r="767" spans="1:26" s="111" customFormat="1" x14ac:dyDescent="0.2">
      <c r="A767" s="101">
        <v>46245</v>
      </c>
      <c r="B767" s="91" t="s">
        <v>1015</v>
      </c>
      <c r="C767" s="102" t="s">
        <v>1016</v>
      </c>
      <c r="D767" s="103" t="s">
        <v>215</v>
      </c>
      <c r="E767" s="91" t="s">
        <v>1017</v>
      </c>
      <c r="F767" s="91" t="s">
        <v>893</v>
      </c>
      <c r="G767" s="91" t="s">
        <v>894</v>
      </c>
      <c r="H767" s="104" t="str">
        <f t="shared" si="46"/>
        <v>C4143J20</v>
      </c>
      <c r="I767" s="104"/>
      <c r="J767" s="105">
        <v>1.94</v>
      </c>
      <c r="K767" s="106"/>
      <c r="L767" s="106">
        <v>0</v>
      </c>
      <c r="M767" s="106">
        <f t="shared" si="45"/>
        <v>0</v>
      </c>
      <c r="N767" s="106">
        <v>60</v>
      </c>
      <c r="O767" s="106">
        <v>116.4</v>
      </c>
      <c r="P767" s="107">
        <v>26040</v>
      </c>
      <c r="Q767" s="107">
        <v>3031056</v>
      </c>
      <c r="R767" s="102"/>
      <c r="S767" s="108"/>
      <c r="T767" s="109"/>
      <c r="U767" s="109" t="s">
        <v>30</v>
      </c>
      <c r="V767" s="102"/>
      <c r="W767" s="109"/>
      <c r="X767" s="109"/>
      <c r="Y767" s="110" t="s">
        <v>31</v>
      </c>
      <c r="Z767" s="111" t="str">
        <f>MID(E767,4,2)</f>
        <v>DM</v>
      </c>
    </row>
    <row r="768" spans="1:26" s="111" customFormat="1" x14ac:dyDescent="0.2">
      <c r="A768" s="101">
        <v>46245</v>
      </c>
      <c r="B768" s="91" t="s">
        <v>1015</v>
      </c>
      <c r="C768" s="102" t="s">
        <v>1016</v>
      </c>
      <c r="D768" s="103" t="s">
        <v>215</v>
      </c>
      <c r="E768" s="91" t="s">
        <v>1017</v>
      </c>
      <c r="F768" s="91" t="s">
        <v>895</v>
      </c>
      <c r="G768" s="91" t="s">
        <v>896</v>
      </c>
      <c r="H768" s="104" t="str">
        <f t="shared" si="46"/>
        <v>C4143J30</v>
      </c>
      <c r="I768" s="104"/>
      <c r="J768" s="105">
        <v>299.48</v>
      </c>
      <c r="K768" s="106">
        <f>IF(D768="CAESARSTONE LTD",VLOOKUP(H768,'[2]GIA CA'!G:H,2,0),IF(OR(D768="STONE FACINGS LIMITED",D768="NORDIA SA",D768="INVICTUS STONE COUNTERTOPS INC",D768="QUARTZTOP LLC"),VLOOKUP(H768,'[2] Giá ngoài Mỹ - SI-GR'!$B$5:$AZ$84,51,0),IF(OR(D768="HYUNDAI L&amp;C CANADA INC",D768="Hyundai L&amp; C USA LLC"),VLOOKUP(H768,'[2]GIA HS'!A:D,4,0),IF(Y768="Mỹ",VLOOKUP(H768,'[2]giá mỹ từ 6.8.2025'!B:I,2,0),VLOOKUP(H768,'[2]giá ngoài mỹ 6.8.2025 (final)'!B:BP,51,0)))))</f>
        <v>71</v>
      </c>
      <c r="L768" s="106">
        <v>75.599999999999994</v>
      </c>
      <c r="M768" s="106">
        <f t="shared" si="45"/>
        <v>4.5999999999999943</v>
      </c>
      <c r="N768" s="106">
        <v>75.209999999999994</v>
      </c>
      <c r="O768" s="106">
        <v>22524.29</v>
      </c>
      <c r="P768" s="107">
        <v>26040</v>
      </c>
      <c r="Q768" s="107">
        <v>586532512</v>
      </c>
      <c r="R768" s="102" t="s">
        <v>30</v>
      </c>
      <c r="S768" s="108"/>
      <c r="T768" s="109"/>
      <c r="U768" s="109"/>
      <c r="V768" s="102"/>
      <c r="W768" s="109"/>
      <c r="X768" s="109"/>
      <c r="Y768" s="110" t="s">
        <v>31</v>
      </c>
      <c r="Z768" s="111" t="str">
        <f>MID(E768,4,2)</f>
        <v>DM</v>
      </c>
    </row>
    <row r="769" spans="1:26" s="111" customFormat="1" x14ac:dyDescent="0.2">
      <c r="A769" s="101">
        <v>46245</v>
      </c>
      <c r="B769" s="91" t="s">
        <v>1018</v>
      </c>
      <c r="C769" s="102" t="s">
        <v>1019</v>
      </c>
      <c r="D769" s="103" t="s">
        <v>215</v>
      </c>
      <c r="E769" s="91" t="s">
        <v>1020</v>
      </c>
      <c r="F769" s="91" t="s">
        <v>895</v>
      </c>
      <c r="G769" s="91" t="s">
        <v>896</v>
      </c>
      <c r="H769" s="104" t="str">
        <f t="shared" si="46"/>
        <v>C4143J30</v>
      </c>
      <c r="I769" s="104"/>
      <c r="J769" s="105">
        <v>299.48</v>
      </c>
      <c r="K769" s="106">
        <f>IF(D769="CAESARSTONE LTD",VLOOKUP(H769,'[2]GIA CA'!G:H,2,0),IF(OR(D769="STONE FACINGS LIMITED",D769="NORDIA SA",D769="INVICTUS STONE COUNTERTOPS INC",D769="QUARTZTOP LLC"),VLOOKUP(H769,'[2] Giá ngoài Mỹ - SI-GR'!$B$5:$AZ$84,51,0),IF(OR(D769="HYUNDAI L&amp;C CANADA INC",D769="Hyundai L&amp; C USA LLC"),VLOOKUP(H769,'[2]GIA HS'!A:D,4,0),IF(Y769="Mỹ",VLOOKUP(H769,'[2]giá mỹ từ 6.8.2025'!B:I,2,0),VLOOKUP(H769,'[2]giá ngoài mỹ 6.8.2025 (final)'!B:BP,51,0)))))</f>
        <v>71</v>
      </c>
      <c r="L769" s="106">
        <v>75.599999999999994</v>
      </c>
      <c r="M769" s="106">
        <f t="shared" si="45"/>
        <v>4.5999999999999943</v>
      </c>
      <c r="N769" s="106">
        <v>75.599999999999994</v>
      </c>
      <c r="O769" s="107">
        <v>22640.69</v>
      </c>
      <c r="P769" s="107">
        <v>26040</v>
      </c>
      <c r="Q769" s="107">
        <v>589563568</v>
      </c>
      <c r="R769" s="102" t="s">
        <v>30</v>
      </c>
      <c r="S769" s="108"/>
      <c r="T769" s="109"/>
      <c r="U769" s="109"/>
      <c r="V769" s="102"/>
      <c r="W769" s="109"/>
      <c r="X769" s="109"/>
      <c r="Y769" s="110" t="s">
        <v>31</v>
      </c>
      <c r="Z769" s="111" t="str">
        <f>MID(E769,4,2)</f>
        <v>DM</v>
      </c>
    </row>
    <row r="770" spans="1:26" s="111" customFormat="1" x14ac:dyDescent="0.2">
      <c r="A770" s="101">
        <v>46245</v>
      </c>
      <c r="B770" s="91" t="s">
        <v>1021</v>
      </c>
      <c r="C770" s="102" t="s">
        <v>1022</v>
      </c>
      <c r="D770" s="103" t="s">
        <v>215</v>
      </c>
      <c r="E770" s="91" t="s">
        <v>1023</v>
      </c>
      <c r="F770" s="91" t="s">
        <v>893</v>
      </c>
      <c r="G770" s="91" t="s">
        <v>894</v>
      </c>
      <c r="H770" s="104" t="str">
        <f t="shared" si="46"/>
        <v>C4143J20</v>
      </c>
      <c r="I770" s="104"/>
      <c r="J770" s="105">
        <v>1.94</v>
      </c>
      <c r="K770" s="106"/>
      <c r="L770" s="106">
        <v>0</v>
      </c>
      <c r="M770" s="106">
        <f t="shared" si="45"/>
        <v>0</v>
      </c>
      <c r="N770" s="106">
        <v>60</v>
      </c>
      <c r="O770" s="107">
        <v>116.4</v>
      </c>
      <c r="P770" s="107">
        <v>26040</v>
      </c>
      <c r="Q770" s="107">
        <v>3031056</v>
      </c>
      <c r="R770" s="102"/>
      <c r="S770" s="108"/>
      <c r="T770" s="109"/>
      <c r="U770" s="109" t="s">
        <v>30</v>
      </c>
      <c r="V770" s="102"/>
      <c r="W770" s="109"/>
      <c r="X770" s="109"/>
      <c r="Y770" s="110" t="s">
        <v>31</v>
      </c>
      <c r="Z770" s="111" t="str">
        <f>MID(E770,4,2)</f>
        <v>DM</v>
      </c>
    </row>
    <row r="771" spans="1:26" s="111" customFormat="1" x14ac:dyDescent="0.2">
      <c r="A771" s="101">
        <v>46245</v>
      </c>
      <c r="B771" s="91" t="s">
        <v>1021</v>
      </c>
      <c r="C771" s="102" t="s">
        <v>1022</v>
      </c>
      <c r="D771" s="103" t="s">
        <v>215</v>
      </c>
      <c r="E771" s="91" t="s">
        <v>1023</v>
      </c>
      <c r="F771" s="91" t="s">
        <v>895</v>
      </c>
      <c r="G771" s="91" t="s">
        <v>896</v>
      </c>
      <c r="H771" s="104" t="str">
        <f t="shared" si="46"/>
        <v>C4143J30</v>
      </c>
      <c r="I771" s="104"/>
      <c r="J771" s="105">
        <v>299.48</v>
      </c>
      <c r="K771" s="106">
        <f>IF(D771="CAESARSTONE LTD",VLOOKUP(H771,'[2]GIA CA'!G:H,2,0),IF(OR(D771="STONE FACINGS LIMITED",D771="NORDIA SA",D771="INVICTUS STONE COUNTERTOPS INC",D771="QUARTZTOP LLC"),VLOOKUP(H771,'[2] Giá ngoài Mỹ - SI-GR'!$B$5:$AZ$84,51,0),IF(OR(D771="HYUNDAI L&amp;C CANADA INC",D771="Hyundai L&amp; C USA LLC"),VLOOKUP(H771,'[2]GIA HS'!A:D,4,0),IF(Y771="Mỹ",VLOOKUP(H771,'[2]giá mỹ từ 6.8.2025'!B:I,2,0),VLOOKUP(H771,'[2]giá ngoài mỹ 6.8.2025 (final)'!B:BP,51,0)))))</f>
        <v>71</v>
      </c>
      <c r="L771" s="106">
        <v>75.599999999999994</v>
      </c>
      <c r="M771" s="106">
        <f t="shared" si="45"/>
        <v>4.5999999999999943</v>
      </c>
      <c r="N771" s="106">
        <v>75.209999999999994</v>
      </c>
      <c r="O771" s="107">
        <v>22524.29</v>
      </c>
      <c r="P771" s="107">
        <v>26040</v>
      </c>
      <c r="Q771" s="107">
        <v>586532512</v>
      </c>
      <c r="R771" s="102" t="s">
        <v>30</v>
      </c>
      <c r="S771" s="108"/>
      <c r="T771" s="109"/>
      <c r="U771" s="109"/>
      <c r="V771" s="102"/>
      <c r="W771" s="109"/>
      <c r="X771" s="109"/>
      <c r="Y771" s="110" t="s">
        <v>31</v>
      </c>
      <c r="Z771" s="111" t="str">
        <f>MID(E771,4,2)</f>
        <v>DM</v>
      </c>
    </row>
    <row r="772" spans="1:26" s="111" customFormat="1" x14ac:dyDescent="0.2">
      <c r="A772" s="101">
        <v>46245</v>
      </c>
      <c r="B772" s="91" t="s">
        <v>1024</v>
      </c>
      <c r="C772" s="102" t="s">
        <v>1025</v>
      </c>
      <c r="D772" s="103" t="s">
        <v>427</v>
      </c>
      <c r="E772" s="91" t="s">
        <v>1026</v>
      </c>
      <c r="F772" s="91" t="s">
        <v>445</v>
      </c>
      <c r="G772" s="91" t="s">
        <v>437</v>
      </c>
      <c r="H772" s="104" t="str">
        <f t="shared" si="46"/>
        <v>F5233J30</v>
      </c>
      <c r="I772" s="104"/>
      <c r="J772" s="105">
        <v>239.58</v>
      </c>
      <c r="K772" s="106">
        <f>IF(D772="CAESARSTONE LTD",VLOOKUP(H772,'[2]GIA CA'!G:H,2,0),IF(OR(D772="STONE FACINGS LIMITED",D772="NORDIA SA",D772="INVICTUS STONE COUNTERTOPS INC",D772="QUARTZTOP LLC"),VLOOKUP(H772,'[2] Giá ngoài Mỹ - SI-GR'!$B$5:$AZ$84,51,0),IF(OR(D772="HYUNDAI L&amp;C CANADA INC",D772="Hyundai L&amp; C USA LLC"),VLOOKUP(H772,'[2]GIA HS'!A:D,4,0),IF(Y772="Mỹ",VLOOKUP(H772,'[2]giá mỹ từ 6.8.2025'!B:I,2,0),VLOOKUP(H772,'[2]giá ngoài mỹ 6.8.2025 (final)'!B:BP,51,0)))))</f>
        <v>99</v>
      </c>
      <c r="L772" s="106">
        <v>103.95</v>
      </c>
      <c r="M772" s="106">
        <f t="shared" si="45"/>
        <v>4.9500000000000028</v>
      </c>
      <c r="N772" s="106">
        <v>103.02</v>
      </c>
      <c r="O772" s="107">
        <v>24682.46</v>
      </c>
      <c r="P772" s="107">
        <v>26040</v>
      </c>
      <c r="Q772" s="107">
        <v>642731258</v>
      </c>
      <c r="R772" s="102" t="s">
        <v>30</v>
      </c>
      <c r="S772" s="108"/>
      <c r="T772" s="109"/>
      <c r="U772" s="109"/>
      <c r="V772" s="102"/>
      <c r="W772" s="109"/>
      <c r="X772" s="109"/>
      <c r="Y772" s="110" t="s">
        <v>31</v>
      </c>
      <c r="Z772" s="111" t="str">
        <f>MID(E772,4,2)</f>
        <v>JD</v>
      </c>
    </row>
    <row r="773" spans="1:26" s="111" customFormat="1" x14ac:dyDescent="0.2">
      <c r="A773" s="101">
        <v>46245</v>
      </c>
      <c r="B773" s="91" t="s">
        <v>1024</v>
      </c>
      <c r="C773" s="102" t="s">
        <v>1025</v>
      </c>
      <c r="D773" s="103" t="s">
        <v>427</v>
      </c>
      <c r="E773" s="91" t="s">
        <v>1026</v>
      </c>
      <c r="F773" s="91" t="s">
        <v>443</v>
      </c>
      <c r="G773" s="91" t="s">
        <v>444</v>
      </c>
      <c r="H773" s="104" t="str">
        <f t="shared" si="46"/>
        <v>F5233J20</v>
      </c>
      <c r="I773" s="104"/>
      <c r="J773" s="105">
        <v>2.58</v>
      </c>
      <c r="K773" s="106"/>
      <c r="L773" s="106">
        <v>0</v>
      </c>
      <c r="M773" s="106">
        <f t="shared" si="45"/>
        <v>0</v>
      </c>
      <c r="N773" s="106">
        <v>86</v>
      </c>
      <c r="O773" s="107">
        <v>221.88</v>
      </c>
      <c r="P773" s="107">
        <v>26040</v>
      </c>
      <c r="Q773" s="107">
        <v>5777755</v>
      </c>
      <c r="R773" s="102"/>
      <c r="S773" s="108"/>
      <c r="T773" s="109"/>
      <c r="U773" s="109" t="s">
        <v>30</v>
      </c>
      <c r="V773" s="102"/>
      <c r="W773" s="109"/>
      <c r="X773" s="109"/>
      <c r="Y773" s="110" t="s">
        <v>31</v>
      </c>
      <c r="Z773" s="111" t="str">
        <f>MID(E773,4,2)</f>
        <v>JD</v>
      </c>
    </row>
    <row r="774" spans="1:26" s="111" customFormat="1" x14ac:dyDescent="0.2">
      <c r="A774" s="101">
        <v>46245</v>
      </c>
      <c r="B774" s="91" t="s">
        <v>1027</v>
      </c>
      <c r="C774" s="102" t="s">
        <v>1028</v>
      </c>
      <c r="D774" s="103" t="s">
        <v>1029</v>
      </c>
      <c r="E774" s="91" t="s">
        <v>1030</v>
      </c>
      <c r="F774" s="91" t="s">
        <v>1031</v>
      </c>
      <c r="G774" s="91" t="s">
        <v>1031</v>
      </c>
      <c r="H774" s="104" t="str">
        <f t="shared" si="46"/>
        <v>SR260J20</v>
      </c>
      <c r="I774" s="104"/>
      <c r="J774" s="105">
        <v>16.25</v>
      </c>
      <c r="K774" s="106">
        <f>L774</f>
        <v>145.88999999999999</v>
      </c>
      <c r="L774" s="106">
        <v>145.88999999999999</v>
      </c>
      <c r="M774" s="106">
        <f t="shared" si="45"/>
        <v>0</v>
      </c>
      <c r="N774" s="106">
        <v>145.88999999999999</v>
      </c>
      <c r="O774" s="107">
        <v>2370.7399999999998</v>
      </c>
      <c r="P774" s="107">
        <v>26040</v>
      </c>
      <c r="Q774" s="107">
        <v>61734070</v>
      </c>
      <c r="R774" s="102"/>
      <c r="S774" s="108" t="s">
        <v>30</v>
      </c>
      <c r="T774" s="109"/>
      <c r="U774" s="109"/>
      <c r="V774" s="102"/>
      <c r="W774" s="109"/>
      <c r="X774" s="109"/>
      <c r="Y774" s="110" t="s">
        <v>31</v>
      </c>
      <c r="Z774" s="111" t="str">
        <f>MID(E774,4,2)</f>
        <v>SR</v>
      </c>
    </row>
    <row r="775" spans="1:26" s="111" customFormat="1" x14ac:dyDescent="0.2">
      <c r="A775" s="101">
        <v>46245</v>
      </c>
      <c r="B775" s="91" t="s">
        <v>1027</v>
      </c>
      <c r="C775" s="102" t="s">
        <v>1028</v>
      </c>
      <c r="D775" s="103" t="s">
        <v>1029</v>
      </c>
      <c r="E775" s="91" t="s">
        <v>1030</v>
      </c>
      <c r="F775" s="91" t="s">
        <v>1032</v>
      </c>
      <c r="G775" s="91" t="s">
        <v>1032</v>
      </c>
      <c r="H775" s="104" t="str">
        <f t="shared" si="46"/>
        <v>SR260J20</v>
      </c>
      <c r="I775" s="104"/>
      <c r="J775" s="105">
        <v>0.97</v>
      </c>
      <c r="K775" s="106">
        <f t="shared" ref="K775:K838" si="49">L775</f>
        <v>145.88999999999999</v>
      </c>
      <c r="L775" s="106">
        <v>145.88999999999999</v>
      </c>
      <c r="M775" s="106">
        <f t="shared" si="45"/>
        <v>0</v>
      </c>
      <c r="N775" s="106">
        <v>145.88999999999999</v>
      </c>
      <c r="O775" s="107">
        <v>141.52000000000001</v>
      </c>
      <c r="P775" s="107">
        <v>26040</v>
      </c>
      <c r="Q775" s="107">
        <v>3685181</v>
      </c>
      <c r="R775" s="102"/>
      <c r="S775" s="108" t="s">
        <v>30</v>
      </c>
      <c r="T775" s="109"/>
      <c r="U775" s="109"/>
      <c r="V775" s="102"/>
      <c r="W775" s="109"/>
      <c r="X775" s="109"/>
      <c r="Y775" s="110" t="s">
        <v>31</v>
      </c>
      <c r="Z775" s="111" t="str">
        <f>MID(E775,4,2)</f>
        <v>SR</v>
      </c>
    </row>
    <row r="776" spans="1:26" s="111" customFormat="1" x14ac:dyDescent="0.2">
      <c r="A776" s="101">
        <v>46245</v>
      </c>
      <c r="B776" s="91" t="s">
        <v>1027</v>
      </c>
      <c r="C776" s="102" t="s">
        <v>1028</v>
      </c>
      <c r="D776" s="103" t="s">
        <v>1029</v>
      </c>
      <c r="E776" s="91" t="s">
        <v>1030</v>
      </c>
      <c r="F776" s="91" t="s">
        <v>1032</v>
      </c>
      <c r="G776" s="91" t="s">
        <v>1032</v>
      </c>
      <c r="H776" s="104" t="str">
        <f t="shared" si="46"/>
        <v>SR260J20</v>
      </c>
      <c r="I776" s="104"/>
      <c r="J776" s="105">
        <v>0.68</v>
      </c>
      <c r="K776" s="106">
        <f t="shared" si="49"/>
        <v>145.88999999999999</v>
      </c>
      <c r="L776" s="106">
        <v>145.88999999999999</v>
      </c>
      <c r="M776" s="106">
        <f t="shared" si="45"/>
        <v>0</v>
      </c>
      <c r="N776" s="106">
        <v>145.88999999999999</v>
      </c>
      <c r="O776" s="107">
        <v>99.21</v>
      </c>
      <c r="P776" s="107">
        <v>26040</v>
      </c>
      <c r="Q776" s="107">
        <v>2583428</v>
      </c>
      <c r="R776" s="102"/>
      <c r="S776" s="108" t="s">
        <v>30</v>
      </c>
      <c r="T776" s="109"/>
      <c r="U776" s="109"/>
      <c r="V776" s="102"/>
      <c r="W776" s="109"/>
      <c r="X776" s="109"/>
      <c r="Y776" s="110" t="s">
        <v>31</v>
      </c>
      <c r="Z776" s="111" t="str">
        <f>MID(E776,4,2)</f>
        <v>SR</v>
      </c>
    </row>
    <row r="777" spans="1:26" s="111" customFormat="1" x14ac:dyDescent="0.2">
      <c r="A777" s="101">
        <v>46245</v>
      </c>
      <c r="B777" s="91" t="s">
        <v>1027</v>
      </c>
      <c r="C777" s="102" t="s">
        <v>1028</v>
      </c>
      <c r="D777" s="103" t="s">
        <v>1029</v>
      </c>
      <c r="E777" s="91" t="s">
        <v>1030</v>
      </c>
      <c r="F777" s="91" t="s">
        <v>1032</v>
      </c>
      <c r="G777" s="91" t="s">
        <v>1032</v>
      </c>
      <c r="H777" s="104" t="str">
        <f t="shared" si="46"/>
        <v>SR260J20</v>
      </c>
      <c r="I777" s="104"/>
      <c r="J777" s="105">
        <v>0.68</v>
      </c>
      <c r="K777" s="106">
        <f t="shared" si="49"/>
        <v>145.88999999999999</v>
      </c>
      <c r="L777" s="106">
        <v>145.88999999999999</v>
      </c>
      <c r="M777" s="106">
        <f t="shared" si="45"/>
        <v>0</v>
      </c>
      <c r="N777" s="106">
        <v>145.88999999999999</v>
      </c>
      <c r="O777" s="106">
        <v>99.21</v>
      </c>
      <c r="P777" s="107">
        <v>26040</v>
      </c>
      <c r="Q777" s="107">
        <v>2583428</v>
      </c>
      <c r="R777" s="102"/>
      <c r="S777" s="108" t="s">
        <v>30</v>
      </c>
      <c r="T777" s="109"/>
      <c r="U777" s="109"/>
      <c r="V777" s="102"/>
      <c r="W777" s="109"/>
      <c r="X777" s="109"/>
      <c r="Y777" s="110" t="s">
        <v>31</v>
      </c>
      <c r="Z777" s="111" t="str">
        <f>MID(E777,4,2)</f>
        <v>SR</v>
      </c>
    </row>
    <row r="778" spans="1:26" s="111" customFormat="1" x14ac:dyDescent="0.2">
      <c r="A778" s="101">
        <v>46245</v>
      </c>
      <c r="B778" s="91" t="s">
        <v>1027</v>
      </c>
      <c r="C778" s="102" t="s">
        <v>1028</v>
      </c>
      <c r="D778" s="103" t="s">
        <v>1029</v>
      </c>
      <c r="E778" s="91" t="s">
        <v>1030</v>
      </c>
      <c r="F778" s="91" t="s">
        <v>1033</v>
      </c>
      <c r="G778" s="91" t="s">
        <v>1033</v>
      </c>
      <c r="H778" s="104" t="str">
        <f t="shared" si="46"/>
        <v>SR260J20</v>
      </c>
      <c r="I778" s="104"/>
      <c r="J778" s="105">
        <v>2.59</v>
      </c>
      <c r="K778" s="106">
        <f t="shared" si="49"/>
        <v>145.88999999999999</v>
      </c>
      <c r="L778" s="106">
        <v>145.88999999999999</v>
      </c>
      <c r="M778" s="106">
        <f t="shared" si="45"/>
        <v>0</v>
      </c>
      <c r="N778" s="106">
        <v>145.88999999999999</v>
      </c>
      <c r="O778" s="107">
        <v>377.85</v>
      </c>
      <c r="P778" s="107">
        <v>26040</v>
      </c>
      <c r="Q778" s="107">
        <v>9839214</v>
      </c>
      <c r="R778" s="102"/>
      <c r="S778" s="108" t="s">
        <v>30</v>
      </c>
      <c r="T778" s="109"/>
      <c r="U778" s="109"/>
      <c r="V778" s="102"/>
      <c r="W778" s="109"/>
      <c r="X778" s="109"/>
      <c r="Y778" s="110" t="s">
        <v>31</v>
      </c>
      <c r="Z778" s="111" t="str">
        <f>MID(E778,4,2)</f>
        <v>SR</v>
      </c>
    </row>
    <row r="779" spans="1:26" s="111" customFormat="1" x14ac:dyDescent="0.2">
      <c r="A779" s="101">
        <v>46245</v>
      </c>
      <c r="B779" s="91" t="s">
        <v>1027</v>
      </c>
      <c r="C779" s="102" t="s">
        <v>1028</v>
      </c>
      <c r="D779" s="103" t="s">
        <v>1029</v>
      </c>
      <c r="E779" s="91" t="s">
        <v>1030</v>
      </c>
      <c r="F779" s="91" t="s">
        <v>1031</v>
      </c>
      <c r="G779" s="91" t="s">
        <v>1031</v>
      </c>
      <c r="H779" s="104" t="str">
        <f t="shared" si="46"/>
        <v>SR260J20</v>
      </c>
      <c r="I779" s="104"/>
      <c r="J779" s="105">
        <v>13.55</v>
      </c>
      <c r="K779" s="106">
        <f t="shared" si="49"/>
        <v>145.88999999999999</v>
      </c>
      <c r="L779" s="106">
        <v>145.88999999999999</v>
      </c>
      <c r="M779" s="106">
        <f t="shared" si="45"/>
        <v>0</v>
      </c>
      <c r="N779" s="106">
        <v>145.88999999999999</v>
      </c>
      <c r="O779" s="107">
        <v>1976.84</v>
      </c>
      <c r="P779" s="107">
        <v>26040</v>
      </c>
      <c r="Q779" s="107">
        <v>51476914</v>
      </c>
      <c r="R779" s="102"/>
      <c r="S779" s="108" t="s">
        <v>30</v>
      </c>
      <c r="T779" s="109"/>
      <c r="U779" s="109"/>
      <c r="V779" s="102"/>
      <c r="W779" s="109"/>
      <c r="X779" s="109"/>
      <c r="Y779" s="110" t="s">
        <v>31</v>
      </c>
      <c r="Z779" s="111" t="str">
        <f>MID(E779,4,2)</f>
        <v>SR</v>
      </c>
    </row>
    <row r="780" spans="1:26" s="111" customFormat="1" x14ac:dyDescent="0.2">
      <c r="A780" s="101">
        <v>46245</v>
      </c>
      <c r="B780" s="91" t="s">
        <v>1027</v>
      </c>
      <c r="C780" s="102" t="s">
        <v>1028</v>
      </c>
      <c r="D780" s="103" t="s">
        <v>1029</v>
      </c>
      <c r="E780" s="91" t="s">
        <v>1030</v>
      </c>
      <c r="F780" s="91" t="s">
        <v>1032</v>
      </c>
      <c r="G780" s="91" t="s">
        <v>1032</v>
      </c>
      <c r="H780" s="104" t="str">
        <f t="shared" si="46"/>
        <v>SR260J20</v>
      </c>
      <c r="I780" s="104"/>
      <c r="J780" s="105">
        <v>0.81</v>
      </c>
      <c r="K780" s="106">
        <f t="shared" si="49"/>
        <v>145.88999999999999</v>
      </c>
      <c r="L780" s="106">
        <v>145.88999999999999</v>
      </c>
      <c r="M780" s="106">
        <f t="shared" si="45"/>
        <v>0</v>
      </c>
      <c r="N780" s="106">
        <v>145.88999999999999</v>
      </c>
      <c r="O780" s="107">
        <v>118.17</v>
      </c>
      <c r="P780" s="107">
        <v>26040</v>
      </c>
      <c r="Q780" s="107">
        <v>3077147</v>
      </c>
      <c r="R780" s="102"/>
      <c r="S780" s="108" t="s">
        <v>30</v>
      </c>
      <c r="T780" s="109"/>
      <c r="U780" s="109"/>
      <c r="V780" s="102"/>
      <c r="W780" s="109"/>
      <c r="X780" s="109"/>
      <c r="Y780" s="110" t="s">
        <v>31</v>
      </c>
      <c r="Z780" s="111" t="str">
        <f>MID(E780,4,2)</f>
        <v>SR</v>
      </c>
    </row>
    <row r="781" spans="1:26" s="111" customFormat="1" x14ac:dyDescent="0.2">
      <c r="A781" s="101">
        <v>46245</v>
      </c>
      <c r="B781" s="91" t="s">
        <v>1027</v>
      </c>
      <c r="C781" s="102" t="s">
        <v>1028</v>
      </c>
      <c r="D781" s="103" t="s">
        <v>1029</v>
      </c>
      <c r="E781" s="91" t="s">
        <v>1030</v>
      </c>
      <c r="F781" s="91" t="s">
        <v>1032</v>
      </c>
      <c r="G781" s="91" t="s">
        <v>1032</v>
      </c>
      <c r="H781" s="104" t="str">
        <f t="shared" si="46"/>
        <v>SR260J20</v>
      </c>
      <c r="I781" s="104"/>
      <c r="J781" s="105">
        <v>0.48</v>
      </c>
      <c r="K781" s="106">
        <f t="shared" si="49"/>
        <v>145.88999999999999</v>
      </c>
      <c r="L781" s="106">
        <v>145.88999999999999</v>
      </c>
      <c r="M781" s="106">
        <f t="shared" ref="M781:M844" si="50">L781-K781</f>
        <v>0</v>
      </c>
      <c r="N781" s="106">
        <v>145.88999999999999</v>
      </c>
      <c r="O781" s="107">
        <v>70.03</v>
      </c>
      <c r="P781" s="107">
        <v>26040</v>
      </c>
      <c r="Q781" s="107">
        <v>1823581</v>
      </c>
      <c r="R781" s="102"/>
      <c r="S781" s="108" t="s">
        <v>30</v>
      </c>
      <c r="T781" s="109"/>
      <c r="U781" s="109"/>
      <c r="V781" s="102"/>
      <c r="W781" s="109"/>
      <c r="X781" s="109"/>
      <c r="Y781" s="110" t="s">
        <v>31</v>
      </c>
      <c r="Z781" s="111" t="str">
        <f>MID(E781,4,2)</f>
        <v>SR</v>
      </c>
    </row>
    <row r="782" spans="1:26" s="111" customFormat="1" x14ac:dyDescent="0.2">
      <c r="A782" s="101">
        <v>46245</v>
      </c>
      <c r="B782" s="91" t="s">
        <v>1027</v>
      </c>
      <c r="C782" s="102" t="s">
        <v>1028</v>
      </c>
      <c r="D782" s="103" t="s">
        <v>1029</v>
      </c>
      <c r="E782" s="91" t="s">
        <v>1030</v>
      </c>
      <c r="F782" s="91" t="s">
        <v>1032</v>
      </c>
      <c r="G782" s="91" t="s">
        <v>1032</v>
      </c>
      <c r="H782" s="104" t="str">
        <f t="shared" ref="H782:H845" si="51">IF(LEN(G782)=13,LEFT(G782,5)&amp;MID(G782,SEARCH("-J",G782)+1,3),LEFT(G782,5)&amp;"J20")</f>
        <v>SR260J20</v>
      </c>
      <c r="I782" s="104"/>
      <c r="J782" s="105">
        <v>0.48</v>
      </c>
      <c r="K782" s="106">
        <f t="shared" si="49"/>
        <v>145.88999999999999</v>
      </c>
      <c r="L782" s="106">
        <v>145.88999999999999</v>
      </c>
      <c r="M782" s="106">
        <f t="shared" si="50"/>
        <v>0</v>
      </c>
      <c r="N782" s="106">
        <v>145.88999999999999</v>
      </c>
      <c r="O782" s="107">
        <v>70.03</v>
      </c>
      <c r="P782" s="107">
        <v>26040</v>
      </c>
      <c r="Q782" s="107">
        <v>1823581</v>
      </c>
      <c r="R782" s="102"/>
      <c r="S782" s="108" t="s">
        <v>30</v>
      </c>
      <c r="T782" s="109"/>
      <c r="U782" s="109"/>
      <c r="V782" s="102"/>
      <c r="W782" s="109"/>
      <c r="X782" s="109"/>
      <c r="Y782" s="110" t="s">
        <v>31</v>
      </c>
      <c r="Z782" s="111" t="str">
        <f>MID(E782,4,2)</f>
        <v>SR</v>
      </c>
    </row>
    <row r="783" spans="1:26" s="111" customFormat="1" x14ac:dyDescent="0.2">
      <c r="A783" s="101">
        <v>46245</v>
      </c>
      <c r="B783" s="91" t="s">
        <v>1027</v>
      </c>
      <c r="C783" s="102" t="s">
        <v>1028</v>
      </c>
      <c r="D783" s="103" t="s">
        <v>1029</v>
      </c>
      <c r="E783" s="91" t="s">
        <v>1030</v>
      </c>
      <c r="F783" s="91" t="s">
        <v>1033</v>
      </c>
      <c r="G783" s="91" t="s">
        <v>1033</v>
      </c>
      <c r="H783" s="104" t="str">
        <f t="shared" si="51"/>
        <v>SR260J20</v>
      </c>
      <c r="I783" s="104"/>
      <c r="J783" s="105">
        <v>2.16</v>
      </c>
      <c r="K783" s="106">
        <f t="shared" si="49"/>
        <v>145.88999999999999</v>
      </c>
      <c r="L783" s="106">
        <v>145.88999999999999</v>
      </c>
      <c r="M783" s="106">
        <f t="shared" si="50"/>
        <v>0</v>
      </c>
      <c r="N783" s="106">
        <v>145.88999999999999</v>
      </c>
      <c r="O783" s="107">
        <v>315.13</v>
      </c>
      <c r="P783" s="107">
        <v>26040</v>
      </c>
      <c r="Q783" s="107">
        <v>8205985</v>
      </c>
      <c r="R783" s="102"/>
      <c r="S783" s="108" t="s">
        <v>30</v>
      </c>
      <c r="T783" s="109"/>
      <c r="U783" s="109"/>
      <c r="V783" s="102"/>
      <c r="W783" s="109"/>
      <c r="X783" s="109"/>
      <c r="Y783" s="110" t="s">
        <v>31</v>
      </c>
      <c r="Z783" s="111" t="str">
        <f>MID(E783,4,2)</f>
        <v>SR</v>
      </c>
    </row>
    <row r="784" spans="1:26" s="111" customFormat="1" x14ac:dyDescent="0.2">
      <c r="A784" s="101">
        <v>46245</v>
      </c>
      <c r="B784" s="91" t="s">
        <v>1027</v>
      </c>
      <c r="C784" s="102" t="s">
        <v>1028</v>
      </c>
      <c r="D784" s="103" t="s">
        <v>1029</v>
      </c>
      <c r="E784" s="91" t="s">
        <v>1030</v>
      </c>
      <c r="F784" s="91" t="s">
        <v>1031</v>
      </c>
      <c r="G784" s="91" t="s">
        <v>1031</v>
      </c>
      <c r="H784" s="104" t="str">
        <f t="shared" si="51"/>
        <v>SR260J20</v>
      </c>
      <c r="I784" s="104"/>
      <c r="J784" s="105">
        <v>13.55</v>
      </c>
      <c r="K784" s="106">
        <f t="shared" si="49"/>
        <v>145.88999999999999</v>
      </c>
      <c r="L784" s="106">
        <v>145.88999999999999</v>
      </c>
      <c r="M784" s="106">
        <f t="shared" si="50"/>
        <v>0</v>
      </c>
      <c r="N784" s="106">
        <v>145.88999999999999</v>
      </c>
      <c r="O784" s="107">
        <v>1976.84</v>
      </c>
      <c r="P784" s="107">
        <v>26040</v>
      </c>
      <c r="Q784" s="107">
        <v>51476914</v>
      </c>
      <c r="R784" s="102"/>
      <c r="S784" s="108" t="s">
        <v>30</v>
      </c>
      <c r="T784" s="109"/>
      <c r="U784" s="109"/>
      <c r="V784" s="102"/>
      <c r="W784" s="109"/>
      <c r="X784" s="109"/>
      <c r="Y784" s="110" t="s">
        <v>31</v>
      </c>
      <c r="Z784" s="111" t="str">
        <f>MID(E784,4,2)</f>
        <v>SR</v>
      </c>
    </row>
    <row r="785" spans="1:26" s="111" customFormat="1" x14ac:dyDescent="0.2">
      <c r="A785" s="101">
        <v>46245</v>
      </c>
      <c r="B785" s="91" t="s">
        <v>1027</v>
      </c>
      <c r="C785" s="102" t="s">
        <v>1028</v>
      </c>
      <c r="D785" s="103" t="s">
        <v>1029</v>
      </c>
      <c r="E785" s="91" t="s">
        <v>1030</v>
      </c>
      <c r="F785" s="91" t="s">
        <v>1032</v>
      </c>
      <c r="G785" s="91" t="s">
        <v>1032</v>
      </c>
      <c r="H785" s="104" t="str">
        <f t="shared" si="51"/>
        <v>SR260J20</v>
      </c>
      <c r="I785" s="104"/>
      <c r="J785" s="105">
        <v>0.81</v>
      </c>
      <c r="K785" s="106">
        <f t="shared" si="49"/>
        <v>145.88999999999999</v>
      </c>
      <c r="L785" s="106">
        <v>145.88999999999999</v>
      </c>
      <c r="M785" s="106">
        <f t="shared" si="50"/>
        <v>0</v>
      </c>
      <c r="N785" s="106">
        <v>145.88999999999999</v>
      </c>
      <c r="O785" s="107">
        <v>118.17</v>
      </c>
      <c r="P785" s="107">
        <v>26040</v>
      </c>
      <c r="Q785" s="107">
        <v>3077147</v>
      </c>
      <c r="R785" s="102"/>
      <c r="S785" s="108" t="s">
        <v>30</v>
      </c>
      <c r="T785" s="109"/>
      <c r="U785" s="109"/>
      <c r="V785" s="102"/>
      <c r="W785" s="109"/>
      <c r="X785" s="109"/>
      <c r="Y785" s="110" t="s">
        <v>31</v>
      </c>
      <c r="Z785" s="111" t="str">
        <f>MID(E785,4,2)</f>
        <v>SR</v>
      </c>
    </row>
    <row r="786" spans="1:26" s="111" customFormat="1" x14ac:dyDescent="0.2">
      <c r="A786" s="101">
        <v>46245</v>
      </c>
      <c r="B786" s="91" t="s">
        <v>1027</v>
      </c>
      <c r="C786" s="102" t="s">
        <v>1028</v>
      </c>
      <c r="D786" s="103" t="s">
        <v>1029</v>
      </c>
      <c r="E786" s="91" t="s">
        <v>1030</v>
      </c>
      <c r="F786" s="91" t="s">
        <v>1032</v>
      </c>
      <c r="G786" s="91" t="s">
        <v>1032</v>
      </c>
      <c r="H786" s="104" t="str">
        <f t="shared" si="51"/>
        <v>SR260J20</v>
      </c>
      <c r="I786" s="104"/>
      <c r="J786" s="105">
        <v>0.48</v>
      </c>
      <c r="K786" s="106">
        <f t="shared" si="49"/>
        <v>145.88999999999999</v>
      </c>
      <c r="L786" s="106">
        <v>145.88999999999999</v>
      </c>
      <c r="M786" s="106">
        <f t="shared" si="50"/>
        <v>0</v>
      </c>
      <c r="N786" s="106">
        <v>145.88999999999999</v>
      </c>
      <c r="O786" s="107">
        <v>70.03</v>
      </c>
      <c r="P786" s="107">
        <v>26040</v>
      </c>
      <c r="Q786" s="107">
        <v>1823581</v>
      </c>
      <c r="R786" s="102"/>
      <c r="S786" s="108" t="s">
        <v>30</v>
      </c>
      <c r="T786" s="109"/>
      <c r="U786" s="109"/>
      <c r="V786" s="102"/>
      <c r="W786" s="109"/>
      <c r="X786" s="109"/>
      <c r="Y786" s="110" t="s">
        <v>31</v>
      </c>
      <c r="Z786" s="111" t="str">
        <f>MID(E786,4,2)</f>
        <v>SR</v>
      </c>
    </row>
    <row r="787" spans="1:26" s="111" customFormat="1" x14ac:dyDescent="0.2">
      <c r="A787" s="101">
        <v>46245</v>
      </c>
      <c r="B787" s="91" t="s">
        <v>1027</v>
      </c>
      <c r="C787" s="102" t="s">
        <v>1028</v>
      </c>
      <c r="D787" s="103" t="s">
        <v>1029</v>
      </c>
      <c r="E787" s="91" t="s">
        <v>1030</v>
      </c>
      <c r="F787" s="91" t="s">
        <v>1032</v>
      </c>
      <c r="G787" s="91" t="s">
        <v>1032</v>
      </c>
      <c r="H787" s="104" t="str">
        <f t="shared" si="51"/>
        <v>SR260J20</v>
      </c>
      <c r="I787" s="104"/>
      <c r="J787" s="105">
        <v>0.48</v>
      </c>
      <c r="K787" s="106">
        <f t="shared" si="49"/>
        <v>145.88999999999999</v>
      </c>
      <c r="L787" s="106">
        <v>145.88999999999999</v>
      </c>
      <c r="M787" s="106">
        <f t="shared" si="50"/>
        <v>0</v>
      </c>
      <c r="N787" s="106">
        <v>145.88999999999999</v>
      </c>
      <c r="O787" s="107">
        <v>70.03</v>
      </c>
      <c r="P787" s="107">
        <v>26040</v>
      </c>
      <c r="Q787" s="107">
        <v>1823581</v>
      </c>
      <c r="R787" s="102"/>
      <c r="S787" s="108" t="s">
        <v>30</v>
      </c>
      <c r="T787" s="109"/>
      <c r="U787" s="109"/>
      <c r="V787" s="102"/>
      <c r="W787" s="109"/>
      <c r="X787" s="109"/>
      <c r="Y787" s="110" t="s">
        <v>31</v>
      </c>
      <c r="Z787" s="111" t="str">
        <f>MID(E787,4,2)</f>
        <v>SR</v>
      </c>
    </row>
    <row r="788" spans="1:26" s="111" customFormat="1" x14ac:dyDescent="0.2">
      <c r="A788" s="101">
        <v>46245</v>
      </c>
      <c r="B788" s="91" t="s">
        <v>1027</v>
      </c>
      <c r="C788" s="102" t="s">
        <v>1028</v>
      </c>
      <c r="D788" s="103" t="s">
        <v>1029</v>
      </c>
      <c r="E788" s="91" t="s">
        <v>1030</v>
      </c>
      <c r="F788" s="91" t="s">
        <v>1033</v>
      </c>
      <c r="G788" s="91" t="s">
        <v>1033</v>
      </c>
      <c r="H788" s="104" t="str">
        <f t="shared" si="51"/>
        <v>SR260J20</v>
      </c>
      <c r="I788" s="104"/>
      <c r="J788" s="105">
        <v>2.16</v>
      </c>
      <c r="K788" s="106">
        <f t="shared" si="49"/>
        <v>145.88999999999999</v>
      </c>
      <c r="L788" s="106">
        <v>145.88999999999999</v>
      </c>
      <c r="M788" s="106">
        <f t="shared" si="50"/>
        <v>0</v>
      </c>
      <c r="N788" s="106">
        <v>145.88999999999999</v>
      </c>
      <c r="O788" s="107">
        <v>315.13</v>
      </c>
      <c r="P788" s="107">
        <v>26040</v>
      </c>
      <c r="Q788" s="107">
        <v>8205985</v>
      </c>
      <c r="R788" s="102"/>
      <c r="S788" s="108" t="s">
        <v>30</v>
      </c>
      <c r="T788" s="109"/>
      <c r="U788" s="109"/>
      <c r="V788" s="102"/>
      <c r="W788" s="109"/>
      <c r="X788" s="109"/>
      <c r="Y788" s="110" t="s">
        <v>31</v>
      </c>
      <c r="Z788" s="111" t="str">
        <f>MID(E788,4,2)</f>
        <v>SR</v>
      </c>
    </row>
    <row r="789" spans="1:26" s="111" customFormat="1" x14ac:dyDescent="0.2">
      <c r="A789" s="101">
        <v>46245</v>
      </c>
      <c r="B789" s="91" t="s">
        <v>1027</v>
      </c>
      <c r="C789" s="102" t="s">
        <v>1028</v>
      </c>
      <c r="D789" s="103" t="s">
        <v>1029</v>
      </c>
      <c r="E789" s="91" t="s">
        <v>1030</v>
      </c>
      <c r="F789" s="91" t="s">
        <v>1031</v>
      </c>
      <c r="G789" s="91" t="s">
        <v>1031</v>
      </c>
      <c r="H789" s="104" t="str">
        <f t="shared" si="51"/>
        <v>SR260J20</v>
      </c>
      <c r="I789" s="104"/>
      <c r="J789" s="105">
        <v>15.58</v>
      </c>
      <c r="K789" s="106">
        <f t="shared" si="49"/>
        <v>145.88999999999999</v>
      </c>
      <c r="L789" s="106">
        <v>145.88999999999999</v>
      </c>
      <c r="M789" s="106">
        <f t="shared" si="50"/>
        <v>0</v>
      </c>
      <c r="N789" s="106">
        <v>145.88999999999999</v>
      </c>
      <c r="O789" s="107">
        <v>2273</v>
      </c>
      <c r="P789" s="107">
        <v>26040</v>
      </c>
      <c r="Q789" s="107">
        <v>59188920</v>
      </c>
      <c r="R789" s="102"/>
      <c r="S789" s="108" t="s">
        <v>30</v>
      </c>
      <c r="T789" s="109"/>
      <c r="U789" s="109"/>
      <c r="V789" s="102"/>
      <c r="W789" s="109"/>
      <c r="X789" s="109"/>
      <c r="Y789" s="110" t="s">
        <v>31</v>
      </c>
      <c r="Z789" s="111" t="str">
        <f>MID(E789,4,2)</f>
        <v>SR</v>
      </c>
    </row>
    <row r="790" spans="1:26" s="111" customFormat="1" x14ac:dyDescent="0.2">
      <c r="A790" s="101">
        <v>46245</v>
      </c>
      <c r="B790" s="91" t="s">
        <v>1027</v>
      </c>
      <c r="C790" s="102" t="s">
        <v>1028</v>
      </c>
      <c r="D790" s="103" t="s">
        <v>1029</v>
      </c>
      <c r="E790" s="91" t="s">
        <v>1030</v>
      </c>
      <c r="F790" s="91" t="s">
        <v>1032</v>
      </c>
      <c r="G790" s="91" t="s">
        <v>1032</v>
      </c>
      <c r="H790" s="104" t="str">
        <f t="shared" si="51"/>
        <v>SR260J20</v>
      </c>
      <c r="I790" s="104"/>
      <c r="J790" s="105">
        <v>0.93</v>
      </c>
      <c r="K790" s="106">
        <f t="shared" si="49"/>
        <v>145.88999999999999</v>
      </c>
      <c r="L790" s="106">
        <v>145.88999999999999</v>
      </c>
      <c r="M790" s="106">
        <f t="shared" si="50"/>
        <v>0</v>
      </c>
      <c r="N790" s="106">
        <v>145.88999999999999</v>
      </c>
      <c r="O790" s="107">
        <v>135.68</v>
      </c>
      <c r="P790" s="107">
        <v>26040</v>
      </c>
      <c r="Q790" s="107">
        <v>3533107</v>
      </c>
      <c r="R790" s="102"/>
      <c r="S790" s="108" t="s">
        <v>30</v>
      </c>
      <c r="T790" s="109"/>
      <c r="U790" s="109"/>
      <c r="V790" s="102"/>
      <c r="W790" s="109"/>
      <c r="X790" s="109"/>
      <c r="Y790" s="110" t="s">
        <v>31</v>
      </c>
      <c r="Z790" s="111" t="str">
        <f>MID(E790,4,2)</f>
        <v>SR</v>
      </c>
    </row>
    <row r="791" spans="1:26" s="111" customFormat="1" x14ac:dyDescent="0.2">
      <c r="A791" s="101">
        <v>46245</v>
      </c>
      <c r="B791" s="91" t="s">
        <v>1027</v>
      </c>
      <c r="C791" s="102" t="s">
        <v>1028</v>
      </c>
      <c r="D791" s="103" t="s">
        <v>1029</v>
      </c>
      <c r="E791" s="91" t="s">
        <v>1030</v>
      </c>
      <c r="F791" s="91" t="s">
        <v>1032</v>
      </c>
      <c r="G791" s="91" t="s">
        <v>1032</v>
      </c>
      <c r="H791" s="104" t="str">
        <f t="shared" si="51"/>
        <v>SR260J20</v>
      </c>
      <c r="I791" s="104"/>
      <c r="J791" s="105">
        <v>0.55000000000000004</v>
      </c>
      <c r="K791" s="106">
        <f t="shared" si="49"/>
        <v>145.88999999999999</v>
      </c>
      <c r="L791" s="106">
        <v>145.88999999999999</v>
      </c>
      <c r="M791" s="106">
        <f t="shared" si="50"/>
        <v>0</v>
      </c>
      <c r="N791" s="106">
        <v>145.88999999999999</v>
      </c>
      <c r="O791" s="106">
        <v>80.239999999999995</v>
      </c>
      <c r="P791" s="107">
        <v>26040</v>
      </c>
      <c r="Q791" s="107">
        <v>2089450</v>
      </c>
      <c r="R791" s="102"/>
      <c r="S791" s="108" t="s">
        <v>30</v>
      </c>
      <c r="T791" s="109"/>
      <c r="U791" s="109"/>
      <c r="V791" s="102"/>
      <c r="W791" s="109"/>
      <c r="X791" s="109"/>
      <c r="Y791" s="110" t="s">
        <v>31</v>
      </c>
      <c r="Z791" s="111" t="str">
        <f>MID(E791,4,2)</f>
        <v>SR</v>
      </c>
    </row>
    <row r="792" spans="1:26" s="111" customFormat="1" x14ac:dyDescent="0.2">
      <c r="A792" s="101">
        <v>46245</v>
      </c>
      <c r="B792" s="91" t="s">
        <v>1027</v>
      </c>
      <c r="C792" s="102" t="s">
        <v>1028</v>
      </c>
      <c r="D792" s="103" t="s">
        <v>1029</v>
      </c>
      <c r="E792" s="91" t="s">
        <v>1030</v>
      </c>
      <c r="F792" s="91" t="s">
        <v>1032</v>
      </c>
      <c r="G792" s="91" t="s">
        <v>1032</v>
      </c>
      <c r="H792" s="104" t="str">
        <f t="shared" si="51"/>
        <v>SR260J20</v>
      </c>
      <c r="I792" s="104"/>
      <c r="J792" s="105">
        <v>0.55000000000000004</v>
      </c>
      <c r="K792" s="106">
        <f t="shared" si="49"/>
        <v>145.88999999999999</v>
      </c>
      <c r="L792" s="106">
        <v>145.88999999999999</v>
      </c>
      <c r="M792" s="106">
        <f t="shared" si="50"/>
        <v>0</v>
      </c>
      <c r="N792" s="106">
        <v>145.88999999999999</v>
      </c>
      <c r="O792" s="106">
        <v>80.239999999999995</v>
      </c>
      <c r="P792" s="107">
        <v>26040</v>
      </c>
      <c r="Q792" s="107">
        <v>2089450</v>
      </c>
      <c r="R792" s="102"/>
      <c r="S792" s="108" t="s">
        <v>30</v>
      </c>
      <c r="T792" s="109"/>
      <c r="U792" s="109"/>
      <c r="V792" s="102"/>
      <c r="W792" s="109"/>
      <c r="X792" s="109"/>
      <c r="Y792" s="110" t="s">
        <v>31</v>
      </c>
      <c r="Z792" s="111" t="str">
        <f>MID(E792,4,2)</f>
        <v>SR</v>
      </c>
    </row>
    <row r="793" spans="1:26" s="111" customFormat="1" x14ac:dyDescent="0.2">
      <c r="A793" s="101">
        <v>46245</v>
      </c>
      <c r="B793" s="91" t="s">
        <v>1027</v>
      </c>
      <c r="C793" s="102" t="s">
        <v>1028</v>
      </c>
      <c r="D793" s="103" t="s">
        <v>1029</v>
      </c>
      <c r="E793" s="91" t="s">
        <v>1030</v>
      </c>
      <c r="F793" s="91" t="s">
        <v>1033</v>
      </c>
      <c r="G793" s="91" t="s">
        <v>1033</v>
      </c>
      <c r="H793" s="104" t="str">
        <f t="shared" si="51"/>
        <v>SR260J20</v>
      </c>
      <c r="I793" s="104"/>
      <c r="J793" s="105">
        <v>2.4900000000000002</v>
      </c>
      <c r="K793" s="106">
        <f t="shared" si="49"/>
        <v>145.88999999999999</v>
      </c>
      <c r="L793" s="106">
        <v>145.88999999999999</v>
      </c>
      <c r="M793" s="106">
        <f t="shared" si="50"/>
        <v>0</v>
      </c>
      <c r="N793" s="106">
        <v>145.88999999999999</v>
      </c>
      <c r="O793" s="106">
        <v>363.27</v>
      </c>
      <c r="P793" s="107">
        <v>26040</v>
      </c>
      <c r="Q793" s="107">
        <v>9459551</v>
      </c>
      <c r="R793" s="102"/>
      <c r="S793" s="108" t="s">
        <v>30</v>
      </c>
      <c r="T793" s="109"/>
      <c r="U793" s="109"/>
      <c r="V793" s="102"/>
      <c r="W793" s="109"/>
      <c r="X793" s="109"/>
      <c r="Y793" s="110" t="s">
        <v>31</v>
      </c>
      <c r="Z793" s="111" t="str">
        <f>MID(E793,4,2)</f>
        <v>SR</v>
      </c>
    </row>
    <row r="794" spans="1:26" s="111" customFormat="1" x14ac:dyDescent="0.2">
      <c r="A794" s="101">
        <v>46245</v>
      </c>
      <c r="B794" s="91" t="s">
        <v>1027</v>
      </c>
      <c r="C794" s="102" t="s">
        <v>1028</v>
      </c>
      <c r="D794" s="103" t="s">
        <v>1029</v>
      </c>
      <c r="E794" s="91" t="s">
        <v>1030</v>
      </c>
      <c r="F794" s="91" t="s">
        <v>1031</v>
      </c>
      <c r="G794" s="91" t="s">
        <v>1031</v>
      </c>
      <c r="H794" s="104" t="str">
        <f t="shared" si="51"/>
        <v>SR260J20</v>
      </c>
      <c r="I794" s="104"/>
      <c r="J794" s="105">
        <v>0.48</v>
      </c>
      <c r="K794" s="106">
        <f t="shared" si="49"/>
        <v>145.88999999999999</v>
      </c>
      <c r="L794" s="106">
        <v>145.88999999999999</v>
      </c>
      <c r="M794" s="106">
        <f t="shared" si="50"/>
        <v>0</v>
      </c>
      <c r="N794" s="106">
        <v>145.88999999999999</v>
      </c>
      <c r="O794" s="106">
        <v>70.03</v>
      </c>
      <c r="P794" s="107">
        <v>26040</v>
      </c>
      <c r="Q794" s="107">
        <v>1823581</v>
      </c>
      <c r="R794" s="102"/>
      <c r="S794" s="108" t="s">
        <v>30</v>
      </c>
      <c r="T794" s="109"/>
      <c r="U794" s="109"/>
      <c r="V794" s="102"/>
      <c r="W794" s="109"/>
      <c r="X794" s="109"/>
      <c r="Y794" s="110" t="s">
        <v>31</v>
      </c>
      <c r="Z794" s="111" t="str">
        <f>MID(E794,4,2)</f>
        <v>SR</v>
      </c>
    </row>
    <row r="795" spans="1:26" s="111" customFormat="1" x14ac:dyDescent="0.2">
      <c r="A795" s="101">
        <v>46245</v>
      </c>
      <c r="B795" s="91" t="s">
        <v>1027</v>
      </c>
      <c r="C795" s="102" t="s">
        <v>1028</v>
      </c>
      <c r="D795" s="103" t="s">
        <v>1029</v>
      </c>
      <c r="E795" s="91" t="s">
        <v>1030</v>
      </c>
      <c r="F795" s="91" t="s">
        <v>1032</v>
      </c>
      <c r="G795" s="91" t="s">
        <v>1032</v>
      </c>
      <c r="H795" s="104" t="str">
        <f t="shared" si="51"/>
        <v>SR260J20</v>
      </c>
      <c r="I795" s="104"/>
      <c r="J795" s="105">
        <v>0.03</v>
      </c>
      <c r="K795" s="106">
        <f t="shared" si="49"/>
        <v>145.88999999999999</v>
      </c>
      <c r="L795" s="106">
        <v>145.88999999999999</v>
      </c>
      <c r="M795" s="106">
        <f t="shared" si="50"/>
        <v>0</v>
      </c>
      <c r="N795" s="106">
        <v>145.88999999999999</v>
      </c>
      <c r="O795" s="106">
        <v>4.38</v>
      </c>
      <c r="P795" s="107">
        <v>26040</v>
      </c>
      <c r="Q795" s="107">
        <v>114055</v>
      </c>
      <c r="R795" s="102"/>
      <c r="S795" s="108" t="s">
        <v>30</v>
      </c>
      <c r="T795" s="109"/>
      <c r="U795" s="109"/>
      <c r="V795" s="102"/>
      <c r="W795" s="109"/>
      <c r="X795" s="109"/>
      <c r="Y795" s="110" t="s">
        <v>31</v>
      </c>
      <c r="Z795" s="111" t="str">
        <f>MID(E795,4,2)</f>
        <v>SR</v>
      </c>
    </row>
    <row r="796" spans="1:26" s="111" customFormat="1" x14ac:dyDescent="0.2">
      <c r="A796" s="101">
        <v>46245</v>
      </c>
      <c r="B796" s="91" t="s">
        <v>1027</v>
      </c>
      <c r="C796" s="102" t="s">
        <v>1028</v>
      </c>
      <c r="D796" s="103" t="s">
        <v>1029</v>
      </c>
      <c r="E796" s="91" t="s">
        <v>1030</v>
      </c>
      <c r="F796" s="91" t="s">
        <v>1032</v>
      </c>
      <c r="G796" s="91" t="s">
        <v>1032</v>
      </c>
      <c r="H796" s="104" t="str">
        <f t="shared" si="51"/>
        <v>SR260J20</v>
      </c>
      <c r="I796" s="104"/>
      <c r="J796" s="105">
        <v>0.02</v>
      </c>
      <c r="K796" s="106">
        <f t="shared" si="49"/>
        <v>145.88999999999999</v>
      </c>
      <c r="L796" s="106">
        <v>145.88999999999999</v>
      </c>
      <c r="M796" s="106">
        <f t="shared" si="50"/>
        <v>0</v>
      </c>
      <c r="N796" s="106">
        <v>145.88999999999999</v>
      </c>
      <c r="O796" s="106">
        <v>2.92</v>
      </c>
      <c r="P796" s="107">
        <v>26040</v>
      </c>
      <c r="Q796" s="107">
        <v>76037</v>
      </c>
      <c r="R796" s="102"/>
      <c r="S796" s="108" t="s">
        <v>30</v>
      </c>
      <c r="T796" s="109"/>
      <c r="U796" s="109"/>
      <c r="V796" s="102"/>
      <c r="W796" s="109"/>
      <c r="X796" s="109"/>
      <c r="Y796" s="110" t="s">
        <v>31</v>
      </c>
      <c r="Z796" s="111" t="str">
        <f>MID(E796,4,2)</f>
        <v>SR</v>
      </c>
    </row>
    <row r="797" spans="1:26" s="111" customFormat="1" x14ac:dyDescent="0.2">
      <c r="A797" s="101">
        <v>46245</v>
      </c>
      <c r="B797" s="91" t="s">
        <v>1027</v>
      </c>
      <c r="C797" s="102" t="s">
        <v>1028</v>
      </c>
      <c r="D797" s="103" t="s">
        <v>1029</v>
      </c>
      <c r="E797" s="91" t="s">
        <v>1030</v>
      </c>
      <c r="F797" s="91" t="s">
        <v>1032</v>
      </c>
      <c r="G797" s="91" t="s">
        <v>1032</v>
      </c>
      <c r="H797" s="104" t="str">
        <f t="shared" si="51"/>
        <v>SR260J20</v>
      </c>
      <c r="I797" s="104"/>
      <c r="J797" s="105">
        <v>0.02</v>
      </c>
      <c r="K797" s="106">
        <f t="shared" si="49"/>
        <v>145.88999999999999</v>
      </c>
      <c r="L797" s="106">
        <v>145.88999999999999</v>
      </c>
      <c r="M797" s="106">
        <f t="shared" si="50"/>
        <v>0</v>
      </c>
      <c r="N797" s="106">
        <v>145.88999999999999</v>
      </c>
      <c r="O797" s="106">
        <v>2.92</v>
      </c>
      <c r="P797" s="107">
        <v>26040</v>
      </c>
      <c r="Q797" s="107">
        <v>76037</v>
      </c>
      <c r="R797" s="102"/>
      <c r="S797" s="108" t="s">
        <v>30</v>
      </c>
      <c r="T797" s="109"/>
      <c r="U797" s="109"/>
      <c r="V797" s="102"/>
      <c r="W797" s="109"/>
      <c r="X797" s="109"/>
      <c r="Y797" s="110" t="s">
        <v>31</v>
      </c>
      <c r="Z797" s="111" t="str">
        <f>MID(E797,4,2)</f>
        <v>SR</v>
      </c>
    </row>
    <row r="798" spans="1:26" s="111" customFormat="1" x14ac:dyDescent="0.2">
      <c r="A798" s="101">
        <v>46245</v>
      </c>
      <c r="B798" s="91" t="s">
        <v>1027</v>
      </c>
      <c r="C798" s="102" t="s">
        <v>1028</v>
      </c>
      <c r="D798" s="103" t="s">
        <v>1029</v>
      </c>
      <c r="E798" s="91" t="s">
        <v>1030</v>
      </c>
      <c r="F798" s="91" t="s">
        <v>1033</v>
      </c>
      <c r="G798" s="91" t="s">
        <v>1033</v>
      </c>
      <c r="H798" s="104" t="str">
        <f t="shared" si="51"/>
        <v>SR260J20</v>
      </c>
      <c r="I798" s="104"/>
      <c r="J798" s="105">
        <v>0.08</v>
      </c>
      <c r="K798" s="106">
        <f t="shared" si="49"/>
        <v>145.88999999999999</v>
      </c>
      <c r="L798" s="106">
        <v>145.88999999999999</v>
      </c>
      <c r="M798" s="106">
        <f t="shared" si="50"/>
        <v>0</v>
      </c>
      <c r="N798" s="106">
        <v>145.88999999999999</v>
      </c>
      <c r="O798" s="106">
        <v>11.67</v>
      </c>
      <c r="P798" s="107">
        <v>26040</v>
      </c>
      <c r="Q798" s="107">
        <v>303887</v>
      </c>
      <c r="R798" s="102"/>
      <c r="S798" s="108" t="s">
        <v>30</v>
      </c>
      <c r="T798" s="109"/>
      <c r="U798" s="109"/>
      <c r="V798" s="102"/>
      <c r="W798" s="109"/>
      <c r="X798" s="109"/>
      <c r="Y798" s="110" t="s">
        <v>31</v>
      </c>
      <c r="Z798" s="111" t="str">
        <f>MID(E798,4,2)</f>
        <v>SR</v>
      </c>
    </row>
    <row r="799" spans="1:26" s="111" customFormat="1" x14ac:dyDescent="0.2">
      <c r="A799" s="101">
        <v>46245</v>
      </c>
      <c r="B799" s="91" t="s">
        <v>1027</v>
      </c>
      <c r="C799" s="102" t="s">
        <v>1028</v>
      </c>
      <c r="D799" s="103" t="s">
        <v>1029</v>
      </c>
      <c r="E799" s="91" t="s">
        <v>1030</v>
      </c>
      <c r="F799" s="91" t="s">
        <v>1031</v>
      </c>
      <c r="G799" s="91" t="s">
        <v>1031</v>
      </c>
      <c r="H799" s="104" t="str">
        <f t="shared" si="51"/>
        <v>SR260J20</v>
      </c>
      <c r="I799" s="104"/>
      <c r="J799" s="105">
        <v>10.45</v>
      </c>
      <c r="K799" s="106">
        <f t="shared" si="49"/>
        <v>145.88999999999999</v>
      </c>
      <c r="L799" s="106">
        <v>145.88999999999999</v>
      </c>
      <c r="M799" s="106">
        <f t="shared" si="50"/>
        <v>0</v>
      </c>
      <c r="N799" s="106">
        <v>145.88999999999999</v>
      </c>
      <c r="O799" s="106">
        <v>1524.57</v>
      </c>
      <c r="P799" s="107">
        <v>26040</v>
      </c>
      <c r="Q799" s="107">
        <v>39699803</v>
      </c>
      <c r="R799" s="102"/>
      <c r="S799" s="108" t="s">
        <v>30</v>
      </c>
      <c r="T799" s="109"/>
      <c r="U799" s="109"/>
      <c r="V799" s="102"/>
      <c r="W799" s="109"/>
      <c r="X799" s="109"/>
      <c r="Y799" s="110" t="s">
        <v>31</v>
      </c>
      <c r="Z799" s="111" t="str">
        <f>MID(E799,4,2)</f>
        <v>SR</v>
      </c>
    </row>
    <row r="800" spans="1:26" s="111" customFormat="1" x14ac:dyDescent="0.2">
      <c r="A800" s="101">
        <v>46245</v>
      </c>
      <c r="B800" s="91" t="s">
        <v>1027</v>
      </c>
      <c r="C800" s="102" t="s">
        <v>1028</v>
      </c>
      <c r="D800" s="103" t="s">
        <v>1029</v>
      </c>
      <c r="E800" s="91" t="s">
        <v>1030</v>
      </c>
      <c r="F800" s="91" t="s">
        <v>1032</v>
      </c>
      <c r="G800" s="91" t="s">
        <v>1032</v>
      </c>
      <c r="H800" s="104" t="str">
        <f t="shared" si="51"/>
        <v>SR260J20</v>
      </c>
      <c r="I800" s="104"/>
      <c r="J800" s="105">
        <v>0.63</v>
      </c>
      <c r="K800" s="106">
        <f t="shared" si="49"/>
        <v>145.88999999999999</v>
      </c>
      <c r="L800" s="106">
        <v>145.88999999999999</v>
      </c>
      <c r="M800" s="106">
        <f t="shared" si="50"/>
        <v>0</v>
      </c>
      <c r="N800" s="106">
        <v>145.88999999999999</v>
      </c>
      <c r="O800" s="106">
        <v>91.91</v>
      </c>
      <c r="P800" s="107">
        <v>26040</v>
      </c>
      <c r="Q800" s="107">
        <v>2393336</v>
      </c>
      <c r="R800" s="102"/>
      <c r="S800" s="108" t="s">
        <v>30</v>
      </c>
      <c r="T800" s="109"/>
      <c r="U800" s="109"/>
      <c r="V800" s="102"/>
      <c r="W800" s="109"/>
      <c r="X800" s="109"/>
      <c r="Y800" s="110" t="s">
        <v>31</v>
      </c>
      <c r="Z800" s="111" t="str">
        <f>MID(E800,4,2)</f>
        <v>SR</v>
      </c>
    </row>
    <row r="801" spans="1:26" s="111" customFormat="1" x14ac:dyDescent="0.2">
      <c r="A801" s="101">
        <v>46245</v>
      </c>
      <c r="B801" s="91" t="s">
        <v>1027</v>
      </c>
      <c r="C801" s="102" t="s">
        <v>1028</v>
      </c>
      <c r="D801" s="103" t="s">
        <v>1029</v>
      </c>
      <c r="E801" s="91" t="s">
        <v>1030</v>
      </c>
      <c r="F801" s="91" t="s">
        <v>1032</v>
      </c>
      <c r="G801" s="91" t="s">
        <v>1032</v>
      </c>
      <c r="H801" s="104" t="str">
        <f t="shared" si="51"/>
        <v>SR260J20</v>
      </c>
      <c r="I801" s="104"/>
      <c r="J801" s="105">
        <v>0.28999999999999998</v>
      </c>
      <c r="K801" s="106">
        <f t="shared" si="49"/>
        <v>145.88999999999999</v>
      </c>
      <c r="L801" s="106">
        <v>145.88999999999999</v>
      </c>
      <c r="M801" s="106">
        <f t="shared" si="50"/>
        <v>0</v>
      </c>
      <c r="N801" s="106">
        <v>145.88999999999999</v>
      </c>
      <c r="O801" s="106">
        <v>42.31</v>
      </c>
      <c r="P801" s="107">
        <v>26040</v>
      </c>
      <c r="Q801" s="107">
        <v>1101752</v>
      </c>
      <c r="R801" s="102"/>
      <c r="S801" s="108" t="s">
        <v>30</v>
      </c>
      <c r="T801" s="109"/>
      <c r="U801" s="109"/>
      <c r="V801" s="102"/>
      <c r="W801" s="109"/>
      <c r="X801" s="109"/>
      <c r="Y801" s="110" t="s">
        <v>31</v>
      </c>
      <c r="Z801" s="111" t="str">
        <f>MID(E801,4,2)</f>
        <v>SR</v>
      </c>
    </row>
    <row r="802" spans="1:26" s="111" customFormat="1" x14ac:dyDescent="0.2">
      <c r="A802" s="101">
        <v>46245</v>
      </c>
      <c r="B802" s="91" t="s">
        <v>1027</v>
      </c>
      <c r="C802" s="102" t="s">
        <v>1028</v>
      </c>
      <c r="D802" s="103" t="s">
        <v>1029</v>
      </c>
      <c r="E802" s="91" t="s">
        <v>1030</v>
      </c>
      <c r="F802" s="91" t="s">
        <v>1032</v>
      </c>
      <c r="G802" s="91" t="s">
        <v>1032</v>
      </c>
      <c r="H802" s="104" t="str">
        <f t="shared" si="51"/>
        <v>SR260J20</v>
      </c>
      <c r="I802" s="104"/>
      <c r="J802" s="105">
        <v>0.28999999999999998</v>
      </c>
      <c r="K802" s="106">
        <f t="shared" si="49"/>
        <v>145.88999999999999</v>
      </c>
      <c r="L802" s="106">
        <v>145.88999999999999</v>
      </c>
      <c r="M802" s="106">
        <f t="shared" si="50"/>
        <v>0</v>
      </c>
      <c r="N802" s="106">
        <v>145.88999999999999</v>
      </c>
      <c r="O802" s="106">
        <v>42.31</v>
      </c>
      <c r="P802" s="107">
        <v>26040</v>
      </c>
      <c r="Q802" s="107">
        <v>1101752</v>
      </c>
      <c r="R802" s="102"/>
      <c r="S802" s="108" t="s">
        <v>30</v>
      </c>
      <c r="T802" s="109"/>
      <c r="U802" s="109"/>
      <c r="V802" s="102"/>
      <c r="W802" s="109"/>
      <c r="X802" s="109"/>
      <c r="Y802" s="110" t="s">
        <v>31</v>
      </c>
      <c r="Z802" s="111" t="str">
        <f>MID(E802,4,2)</f>
        <v>SR</v>
      </c>
    </row>
    <row r="803" spans="1:26" s="111" customFormat="1" x14ac:dyDescent="0.2">
      <c r="A803" s="101">
        <v>46245</v>
      </c>
      <c r="B803" s="91" t="s">
        <v>1027</v>
      </c>
      <c r="C803" s="102" t="s">
        <v>1028</v>
      </c>
      <c r="D803" s="103" t="s">
        <v>1029</v>
      </c>
      <c r="E803" s="91" t="s">
        <v>1030</v>
      </c>
      <c r="F803" s="91" t="s">
        <v>1033</v>
      </c>
      <c r="G803" s="91" t="s">
        <v>1033</v>
      </c>
      <c r="H803" s="104" t="str">
        <f t="shared" si="51"/>
        <v>SR260J20</v>
      </c>
      <c r="I803" s="104"/>
      <c r="J803" s="105">
        <v>1.67</v>
      </c>
      <c r="K803" s="106">
        <f t="shared" si="49"/>
        <v>145.88999999999999</v>
      </c>
      <c r="L803" s="106">
        <v>145.88999999999999</v>
      </c>
      <c r="M803" s="106">
        <f t="shared" si="50"/>
        <v>0</v>
      </c>
      <c r="N803" s="106">
        <v>145.88999999999999</v>
      </c>
      <c r="O803" s="106">
        <v>243.64</v>
      </c>
      <c r="P803" s="107">
        <v>26040</v>
      </c>
      <c r="Q803" s="107">
        <v>6344386</v>
      </c>
      <c r="R803" s="102"/>
      <c r="S803" s="108" t="s">
        <v>30</v>
      </c>
      <c r="T803" s="109"/>
      <c r="U803" s="109"/>
      <c r="V803" s="102"/>
      <c r="W803" s="109"/>
      <c r="X803" s="109"/>
      <c r="Y803" s="110" t="s">
        <v>31</v>
      </c>
      <c r="Z803" s="111" t="str">
        <f>MID(E803,4,2)</f>
        <v>SR</v>
      </c>
    </row>
    <row r="804" spans="1:26" s="111" customFormat="1" x14ac:dyDescent="0.2">
      <c r="A804" s="101">
        <v>46245</v>
      </c>
      <c r="B804" s="91" t="s">
        <v>1027</v>
      </c>
      <c r="C804" s="102" t="s">
        <v>1028</v>
      </c>
      <c r="D804" s="103" t="s">
        <v>1029</v>
      </c>
      <c r="E804" s="91" t="s">
        <v>1030</v>
      </c>
      <c r="F804" s="91" t="s">
        <v>1031</v>
      </c>
      <c r="G804" s="91" t="s">
        <v>1031</v>
      </c>
      <c r="H804" s="104" t="str">
        <f t="shared" si="51"/>
        <v>SR260J20</v>
      </c>
      <c r="I804" s="104"/>
      <c r="J804" s="105">
        <v>10.45</v>
      </c>
      <c r="K804" s="106">
        <f t="shared" si="49"/>
        <v>145.88999999999999</v>
      </c>
      <c r="L804" s="106">
        <v>145.88999999999999</v>
      </c>
      <c r="M804" s="106">
        <f t="shared" si="50"/>
        <v>0</v>
      </c>
      <c r="N804" s="106">
        <v>145.88999999999999</v>
      </c>
      <c r="O804" s="106">
        <v>1524.57</v>
      </c>
      <c r="P804" s="107">
        <v>26040</v>
      </c>
      <c r="Q804" s="107">
        <v>39699803</v>
      </c>
      <c r="R804" s="102"/>
      <c r="S804" s="108" t="s">
        <v>30</v>
      </c>
      <c r="T804" s="109"/>
      <c r="U804" s="109"/>
      <c r="V804" s="102"/>
      <c r="W804" s="109"/>
      <c r="X804" s="109"/>
      <c r="Y804" s="110" t="s">
        <v>31</v>
      </c>
      <c r="Z804" s="111" t="str">
        <f>MID(E804,4,2)</f>
        <v>SR</v>
      </c>
    </row>
    <row r="805" spans="1:26" s="111" customFormat="1" x14ac:dyDescent="0.2">
      <c r="A805" s="101">
        <v>46245</v>
      </c>
      <c r="B805" s="91" t="s">
        <v>1027</v>
      </c>
      <c r="C805" s="102" t="s">
        <v>1028</v>
      </c>
      <c r="D805" s="103" t="s">
        <v>1029</v>
      </c>
      <c r="E805" s="91" t="s">
        <v>1030</v>
      </c>
      <c r="F805" s="91" t="s">
        <v>1032</v>
      </c>
      <c r="G805" s="91" t="s">
        <v>1032</v>
      </c>
      <c r="H805" s="104" t="str">
        <f t="shared" si="51"/>
        <v>SR260J20</v>
      </c>
      <c r="I805" s="104"/>
      <c r="J805" s="105">
        <v>0.63</v>
      </c>
      <c r="K805" s="106">
        <f t="shared" si="49"/>
        <v>145.88999999999999</v>
      </c>
      <c r="L805" s="106">
        <v>145.88999999999999</v>
      </c>
      <c r="M805" s="106">
        <f t="shared" si="50"/>
        <v>0</v>
      </c>
      <c r="N805" s="106">
        <v>145.88999999999999</v>
      </c>
      <c r="O805" s="106">
        <v>91.91</v>
      </c>
      <c r="P805" s="107">
        <v>26040</v>
      </c>
      <c r="Q805" s="107">
        <v>2393336</v>
      </c>
      <c r="R805" s="102"/>
      <c r="S805" s="108" t="s">
        <v>30</v>
      </c>
      <c r="T805" s="109"/>
      <c r="U805" s="109"/>
      <c r="V805" s="102"/>
      <c r="W805" s="109"/>
      <c r="X805" s="109"/>
      <c r="Y805" s="110" t="s">
        <v>31</v>
      </c>
      <c r="Z805" s="111" t="str">
        <f>MID(E805,4,2)</f>
        <v>SR</v>
      </c>
    </row>
    <row r="806" spans="1:26" s="111" customFormat="1" x14ac:dyDescent="0.2">
      <c r="A806" s="101">
        <v>46245</v>
      </c>
      <c r="B806" s="91" t="s">
        <v>1027</v>
      </c>
      <c r="C806" s="102" t="s">
        <v>1028</v>
      </c>
      <c r="D806" s="103" t="s">
        <v>1029</v>
      </c>
      <c r="E806" s="91" t="s">
        <v>1030</v>
      </c>
      <c r="F806" s="91" t="s">
        <v>1032</v>
      </c>
      <c r="G806" s="91" t="s">
        <v>1032</v>
      </c>
      <c r="H806" s="104" t="str">
        <f t="shared" si="51"/>
        <v>SR260J20</v>
      </c>
      <c r="I806" s="104"/>
      <c r="J806" s="105">
        <v>0.28999999999999998</v>
      </c>
      <c r="K806" s="106">
        <f t="shared" si="49"/>
        <v>145.88999999999999</v>
      </c>
      <c r="L806" s="106">
        <v>145.88999999999999</v>
      </c>
      <c r="M806" s="106">
        <f t="shared" si="50"/>
        <v>0</v>
      </c>
      <c r="N806" s="106">
        <v>145.88999999999999</v>
      </c>
      <c r="O806" s="106">
        <v>42.31</v>
      </c>
      <c r="P806" s="107">
        <v>26040</v>
      </c>
      <c r="Q806" s="107">
        <v>1101752</v>
      </c>
      <c r="R806" s="102"/>
      <c r="S806" s="108" t="s">
        <v>30</v>
      </c>
      <c r="T806" s="109"/>
      <c r="U806" s="109"/>
      <c r="V806" s="102"/>
      <c r="W806" s="109"/>
      <c r="X806" s="109"/>
      <c r="Y806" s="110" t="s">
        <v>31</v>
      </c>
      <c r="Z806" s="111" t="str">
        <f>MID(E806,4,2)</f>
        <v>SR</v>
      </c>
    </row>
    <row r="807" spans="1:26" s="111" customFormat="1" x14ac:dyDescent="0.2">
      <c r="A807" s="101">
        <v>46245</v>
      </c>
      <c r="B807" s="91" t="s">
        <v>1027</v>
      </c>
      <c r="C807" s="102" t="s">
        <v>1028</v>
      </c>
      <c r="D807" s="103" t="s">
        <v>1029</v>
      </c>
      <c r="E807" s="91" t="s">
        <v>1030</v>
      </c>
      <c r="F807" s="91" t="s">
        <v>1032</v>
      </c>
      <c r="G807" s="91" t="s">
        <v>1032</v>
      </c>
      <c r="H807" s="104" t="str">
        <f t="shared" si="51"/>
        <v>SR260J20</v>
      </c>
      <c r="I807" s="104"/>
      <c r="J807" s="105">
        <v>0.28999999999999998</v>
      </c>
      <c r="K807" s="106">
        <f t="shared" si="49"/>
        <v>145.88999999999999</v>
      </c>
      <c r="L807" s="106">
        <v>145.88999999999999</v>
      </c>
      <c r="M807" s="106">
        <f t="shared" si="50"/>
        <v>0</v>
      </c>
      <c r="N807" s="106">
        <v>145.88999999999999</v>
      </c>
      <c r="O807" s="106">
        <v>42.31</v>
      </c>
      <c r="P807" s="107">
        <v>26040</v>
      </c>
      <c r="Q807" s="107">
        <v>1101752</v>
      </c>
      <c r="R807" s="102"/>
      <c r="S807" s="108" t="s">
        <v>30</v>
      </c>
      <c r="T807" s="109"/>
      <c r="U807" s="109"/>
      <c r="V807" s="102"/>
      <c r="W807" s="109"/>
      <c r="X807" s="109"/>
      <c r="Y807" s="110" t="s">
        <v>31</v>
      </c>
      <c r="Z807" s="111" t="str">
        <f>MID(E807,4,2)</f>
        <v>SR</v>
      </c>
    </row>
    <row r="808" spans="1:26" s="111" customFormat="1" x14ac:dyDescent="0.2">
      <c r="A808" s="101">
        <v>46245</v>
      </c>
      <c r="B808" s="91" t="s">
        <v>1027</v>
      </c>
      <c r="C808" s="102" t="s">
        <v>1028</v>
      </c>
      <c r="D808" s="103" t="s">
        <v>1029</v>
      </c>
      <c r="E808" s="91" t="s">
        <v>1030</v>
      </c>
      <c r="F808" s="91" t="s">
        <v>1033</v>
      </c>
      <c r="G808" s="91" t="s">
        <v>1033</v>
      </c>
      <c r="H808" s="104" t="str">
        <f t="shared" si="51"/>
        <v>SR260J20</v>
      </c>
      <c r="I808" s="104"/>
      <c r="J808" s="105">
        <v>1.67</v>
      </c>
      <c r="K808" s="106">
        <f t="shared" si="49"/>
        <v>145.88999999999999</v>
      </c>
      <c r="L808" s="106">
        <v>145.88999999999999</v>
      </c>
      <c r="M808" s="106">
        <f t="shared" si="50"/>
        <v>0</v>
      </c>
      <c r="N808" s="106">
        <v>145.88999999999999</v>
      </c>
      <c r="O808" s="106">
        <v>243.64</v>
      </c>
      <c r="P808" s="107">
        <v>26040</v>
      </c>
      <c r="Q808" s="107">
        <v>6344386</v>
      </c>
      <c r="R808" s="102"/>
      <c r="S808" s="108" t="s">
        <v>30</v>
      </c>
      <c r="T808" s="109"/>
      <c r="U808" s="109"/>
      <c r="V808" s="102"/>
      <c r="W808" s="109"/>
      <c r="X808" s="109"/>
      <c r="Y808" s="110" t="s">
        <v>31</v>
      </c>
      <c r="Z808" s="111" t="str">
        <f>MID(E808,4,2)</f>
        <v>SR</v>
      </c>
    </row>
    <row r="809" spans="1:26" s="111" customFormat="1" x14ac:dyDescent="0.2">
      <c r="A809" s="101">
        <v>46245</v>
      </c>
      <c r="B809" s="91" t="s">
        <v>1027</v>
      </c>
      <c r="C809" s="102" t="s">
        <v>1028</v>
      </c>
      <c r="D809" s="103" t="s">
        <v>1029</v>
      </c>
      <c r="E809" s="91" t="s">
        <v>1030</v>
      </c>
      <c r="F809" s="91" t="s">
        <v>1031</v>
      </c>
      <c r="G809" s="91" t="s">
        <v>1031</v>
      </c>
      <c r="H809" s="104" t="str">
        <f t="shared" si="51"/>
        <v>SR260J20</v>
      </c>
      <c r="I809" s="104"/>
      <c r="J809" s="105">
        <v>10.45</v>
      </c>
      <c r="K809" s="106">
        <f t="shared" si="49"/>
        <v>145.88999999999999</v>
      </c>
      <c r="L809" s="106">
        <v>145.88999999999999</v>
      </c>
      <c r="M809" s="106">
        <f t="shared" si="50"/>
        <v>0</v>
      </c>
      <c r="N809" s="106">
        <v>145.88999999999999</v>
      </c>
      <c r="O809" s="107">
        <v>1524.57</v>
      </c>
      <c r="P809" s="107">
        <v>26040</v>
      </c>
      <c r="Q809" s="107">
        <v>39699803</v>
      </c>
      <c r="R809" s="102"/>
      <c r="S809" s="108" t="s">
        <v>30</v>
      </c>
      <c r="T809" s="109"/>
      <c r="U809" s="109"/>
      <c r="V809" s="102"/>
      <c r="W809" s="109"/>
      <c r="X809" s="109"/>
      <c r="Y809" s="110" t="s">
        <v>31</v>
      </c>
      <c r="Z809" s="111" t="str">
        <f>MID(E809,4,2)</f>
        <v>SR</v>
      </c>
    </row>
    <row r="810" spans="1:26" s="111" customFormat="1" x14ac:dyDescent="0.2">
      <c r="A810" s="101">
        <v>46245</v>
      </c>
      <c r="B810" s="91" t="s">
        <v>1027</v>
      </c>
      <c r="C810" s="102" t="s">
        <v>1028</v>
      </c>
      <c r="D810" s="103" t="s">
        <v>1029</v>
      </c>
      <c r="E810" s="91" t="s">
        <v>1030</v>
      </c>
      <c r="F810" s="91" t="s">
        <v>1032</v>
      </c>
      <c r="G810" s="91" t="s">
        <v>1032</v>
      </c>
      <c r="H810" s="104" t="str">
        <f t="shared" si="51"/>
        <v>SR260J20</v>
      </c>
      <c r="I810" s="104"/>
      <c r="J810" s="105">
        <v>0.63</v>
      </c>
      <c r="K810" s="106">
        <f t="shared" si="49"/>
        <v>145.88999999999999</v>
      </c>
      <c r="L810" s="106">
        <v>145.88999999999999</v>
      </c>
      <c r="M810" s="106">
        <f t="shared" si="50"/>
        <v>0</v>
      </c>
      <c r="N810" s="106">
        <v>145.88999999999999</v>
      </c>
      <c r="O810" s="107">
        <v>91.91</v>
      </c>
      <c r="P810" s="107">
        <v>26040</v>
      </c>
      <c r="Q810" s="107">
        <v>2393336</v>
      </c>
      <c r="R810" s="102"/>
      <c r="S810" s="108" t="s">
        <v>30</v>
      </c>
      <c r="T810" s="109"/>
      <c r="U810" s="109"/>
      <c r="V810" s="102"/>
      <c r="W810" s="109"/>
      <c r="X810" s="109"/>
      <c r="Y810" s="110" t="s">
        <v>31</v>
      </c>
      <c r="Z810" s="111" t="str">
        <f>MID(E810,4,2)</f>
        <v>SR</v>
      </c>
    </row>
    <row r="811" spans="1:26" s="111" customFormat="1" x14ac:dyDescent="0.2">
      <c r="A811" s="101">
        <v>46245</v>
      </c>
      <c r="B811" s="91" t="s">
        <v>1027</v>
      </c>
      <c r="C811" s="102" t="s">
        <v>1028</v>
      </c>
      <c r="D811" s="103" t="s">
        <v>1029</v>
      </c>
      <c r="E811" s="91" t="s">
        <v>1030</v>
      </c>
      <c r="F811" s="91" t="s">
        <v>1032</v>
      </c>
      <c r="G811" s="91" t="s">
        <v>1032</v>
      </c>
      <c r="H811" s="104" t="str">
        <f t="shared" si="51"/>
        <v>SR260J20</v>
      </c>
      <c r="I811" s="104"/>
      <c r="J811" s="105">
        <v>0.28999999999999998</v>
      </c>
      <c r="K811" s="106">
        <f t="shared" si="49"/>
        <v>145.88999999999999</v>
      </c>
      <c r="L811" s="106">
        <v>145.88999999999999</v>
      </c>
      <c r="M811" s="106">
        <f t="shared" si="50"/>
        <v>0</v>
      </c>
      <c r="N811" s="106">
        <v>145.88999999999999</v>
      </c>
      <c r="O811" s="106">
        <v>42.31</v>
      </c>
      <c r="P811" s="107">
        <v>26040</v>
      </c>
      <c r="Q811" s="107">
        <v>1101752</v>
      </c>
      <c r="R811" s="102"/>
      <c r="S811" s="108" t="s">
        <v>30</v>
      </c>
      <c r="T811" s="109"/>
      <c r="U811" s="109"/>
      <c r="V811" s="102"/>
      <c r="W811" s="109"/>
      <c r="X811" s="109"/>
      <c r="Y811" s="110" t="s">
        <v>31</v>
      </c>
      <c r="Z811" s="111" t="str">
        <f>MID(E811,4,2)</f>
        <v>SR</v>
      </c>
    </row>
    <row r="812" spans="1:26" s="111" customFormat="1" x14ac:dyDescent="0.2">
      <c r="A812" s="101">
        <v>46245</v>
      </c>
      <c r="B812" s="91" t="s">
        <v>1027</v>
      </c>
      <c r="C812" s="102" t="s">
        <v>1028</v>
      </c>
      <c r="D812" s="103" t="s">
        <v>1029</v>
      </c>
      <c r="E812" s="91" t="s">
        <v>1030</v>
      </c>
      <c r="F812" s="91" t="s">
        <v>1032</v>
      </c>
      <c r="G812" s="91" t="s">
        <v>1032</v>
      </c>
      <c r="H812" s="104" t="str">
        <f t="shared" si="51"/>
        <v>SR260J20</v>
      </c>
      <c r="I812" s="104"/>
      <c r="J812" s="105">
        <v>0.28999999999999998</v>
      </c>
      <c r="K812" s="106">
        <f t="shared" si="49"/>
        <v>145.88999999999999</v>
      </c>
      <c r="L812" s="106">
        <v>145.88999999999999</v>
      </c>
      <c r="M812" s="106">
        <f t="shared" si="50"/>
        <v>0</v>
      </c>
      <c r="N812" s="106">
        <v>145.88999999999999</v>
      </c>
      <c r="O812" s="106">
        <v>42.31</v>
      </c>
      <c r="P812" s="107">
        <v>26040</v>
      </c>
      <c r="Q812" s="107">
        <v>1101752</v>
      </c>
      <c r="R812" s="102"/>
      <c r="S812" s="108" t="s">
        <v>30</v>
      </c>
      <c r="T812" s="109"/>
      <c r="U812" s="109"/>
      <c r="V812" s="102"/>
      <c r="W812" s="109"/>
      <c r="X812" s="109"/>
      <c r="Y812" s="110" t="s">
        <v>31</v>
      </c>
      <c r="Z812" s="111" t="str">
        <f>MID(E812,4,2)</f>
        <v>SR</v>
      </c>
    </row>
    <row r="813" spans="1:26" s="111" customFormat="1" x14ac:dyDescent="0.2">
      <c r="A813" s="101">
        <v>46245</v>
      </c>
      <c r="B813" s="91" t="s">
        <v>1027</v>
      </c>
      <c r="C813" s="102" t="s">
        <v>1028</v>
      </c>
      <c r="D813" s="103" t="s">
        <v>1029</v>
      </c>
      <c r="E813" s="91" t="s">
        <v>1030</v>
      </c>
      <c r="F813" s="91" t="s">
        <v>1033</v>
      </c>
      <c r="G813" s="91" t="s">
        <v>1033</v>
      </c>
      <c r="H813" s="104" t="str">
        <f t="shared" si="51"/>
        <v>SR260J20</v>
      </c>
      <c r="I813" s="104"/>
      <c r="J813" s="105">
        <v>1.67</v>
      </c>
      <c r="K813" s="106">
        <f t="shared" si="49"/>
        <v>145.88999999999999</v>
      </c>
      <c r="L813" s="106">
        <v>145.88999999999999</v>
      </c>
      <c r="M813" s="106">
        <f t="shared" si="50"/>
        <v>0</v>
      </c>
      <c r="N813" s="106">
        <v>145.88999999999999</v>
      </c>
      <c r="O813" s="106">
        <v>243.64</v>
      </c>
      <c r="P813" s="107">
        <v>26040</v>
      </c>
      <c r="Q813" s="107">
        <v>6344386</v>
      </c>
      <c r="R813" s="102"/>
      <c r="S813" s="108" t="s">
        <v>30</v>
      </c>
      <c r="T813" s="109"/>
      <c r="U813" s="109"/>
      <c r="V813" s="102"/>
      <c r="W813" s="109"/>
      <c r="X813" s="109"/>
      <c r="Y813" s="110" t="s">
        <v>31</v>
      </c>
      <c r="Z813" s="111" t="str">
        <f>MID(E813,4,2)</f>
        <v>SR</v>
      </c>
    </row>
    <row r="814" spans="1:26" s="111" customFormat="1" x14ac:dyDescent="0.2">
      <c r="A814" s="101">
        <v>46245</v>
      </c>
      <c r="B814" s="91" t="s">
        <v>1027</v>
      </c>
      <c r="C814" s="102" t="s">
        <v>1028</v>
      </c>
      <c r="D814" s="103" t="s">
        <v>1029</v>
      </c>
      <c r="E814" s="91" t="s">
        <v>1030</v>
      </c>
      <c r="F814" s="91" t="s">
        <v>1031</v>
      </c>
      <c r="G814" s="91" t="s">
        <v>1031</v>
      </c>
      <c r="H814" s="104" t="str">
        <f t="shared" si="51"/>
        <v>SR260J20</v>
      </c>
      <c r="I814" s="104"/>
      <c r="J814" s="105">
        <v>10.45</v>
      </c>
      <c r="K814" s="106">
        <f t="shared" si="49"/>
        <v>145.88999999999999</v>
      </c>
      <c r="L814" s="106">
        <v>145.88999999999999</v>
      </c>
      <c r="M814" s="106">
        <f t="shared" si="50"/>
        <v>0</v>
      </c>
      <c r="N814" s="106">
        <v>145.88999999999999</v>
      </c>
      <c r="O814" s="106">
        <v>1524.57</v>
      </c>
      <c r="P814" s="107">
        <v>26040</v>
      </c>
      <c r="Q814" s="107">
        <v>39699803</v>
      </c>
      <c r="R814" s="102"/>
      <c r="S814" s="108" t="s">
        <v>30</v>
      </c>
      <c r="T814" s="109"/>
      <c r="U814" s="109"/>
      <c r="V814" s="102"/>
      <c r="W814" s="109"/>
      <c r="X814" s="109"/>
      <c r="Y814" s="110" t="s">
        <v>31</v>
      </c>
      <c r="Z814" s="111" t="str">
        <f>MID(E814,4,2)</f>
        <v>SR</v>
      </c>
    </row>
    <row r="815" spans="1:26" s="111" customFormat="1" x14ac:dyDescent="0.2">
      <c r="A815" s="101">
        <v>46245</v>
      </c>
      <c r="B815" s="91" t="s">
        <v>1027</v>
      </c>
      <c r="C815" s="102" t="s">
        <v>1028</v>
      </c>
      <c r="D815" s="103" t="s">
        <v>1029</v>
      </c>
      <c r="E815" s="91" t="s">
        <v>1030</v>
      </c>
      <c r="F815" s="91" t="s">
        <v>1032</v>
      </c>
      <c r="G815" s="91" t="s">
        <v>1032</v>
      </c>
      <c r="H815" s="104" t="str">
        <f t="shared" si="51"/>
        <v>SR260J20</v>
      </c>
      <c r="I815" s="104"/>
      <c r="J815" s="105">
        <v>0.63</v>
      </c>
      <c r="K815" s="106">
        <f t="shared" si="49"/>
        <v>145.88999999999999</v>
      </c>
      <c r="L815" s="106">
        <v>145.88999999999999</v>
      </c>
      <c r="M815" s="106">
        <f t="shared" si="50"/>
        <v>0</v>
      </c>
      <c r="N815" s="106">
        <v>145.88999999999999</v>
      </c>
      <c r="O815" s="106">
        <v>91.91</v>
      </c>
      <c r="P815" s="107">
        <v>26040</v>
      </c>
      <c r="Q815" s="107">
        <v>2393336</v>
      </c>
      <c r="R815" s="102"/>
      <c r="S815" s="108" t="s">
        <v>30</v>
      </c>
      <c r="T815" s="109"/>
      <c r="U815" s="109"/>
      <c r="V815" s="102"/>
      <c r="W815" s="109"/>
      <c r="X815" s="109"/>
      <c r="Y815" s="110" t="s">
        <v>31</v>
      </c>
      <c r="Z815" s="111" t="str">
        <f>MID(E815,4,2)</f>
        <v>SR</v>
      </c>
    </row>
    <row r="816" spans="1:26" s="111" customFormat="1" x14ac:dyDescent="0.2">
      <c r="A816" s="101">
        <v>46245</v>
      </c>
      <c r="B816" s="91" t="s">
        <v>1027</v>
      </c>
      <c r="C816" s="102" t="s">
        <v>1028</v>
      </c>
      <c r="D816" s="103" t="s">
        <v>1029</v>
      </c>
      <c r="E816" s="91" t="s">
        <v>1030</v>
      </c>
      <c r="F816" s="91" t="s">
        <v>1032</v>
      </c>
      <c r="G816" s="91" t="s">
        <v>1032</v>
      </c>
      <c r="H816" s="104" t="str">
        <f t="shared" si="51"/>
        <v>SR260J20</v>
      </c>
      <c r="I816" s="104"/>
      <c r="J816" s="105">
        <v>0.28999999999999998</v>
      </c>
      <c r="K816" s="106">
        <f t="shared" si="49"/>
        <v>145.88999999999999</v>
      </c>
      <c r="L816" s="106">
        <v>145.88999999999999</v>
      </c>
      <c r="M816" s="106">
        <f t="shared" si="50"/>
        <v>0</v>
      </c>
      <c r="N816" s="106">
        <v>145.88999999999999</v>
      </c>
      <c r="O816" s="106">
        <v>42.31</v>
      </c>
      <c r="P816" s="107">
        <v>26040</v>
      </c>
      <c r="Q816" s="107">
        <v>1101752</v>
      </c>
      <c r="R816" s="102"/>
      <c r="S816" s="108" t="s">
        <v>30</v>
      </c>
      <c r="T816" s="109"/>
      <c r="U816" s="109"/>
      <c r="V816" s="102"/>
      <c r="W816" s="109"/>
      <c r="X816" s="109"/>
      <c r="Y816" s="110" t="s">
        <v>31</v>
      </c>
      <c r="Z816" s="111" t="str">
        <f>MID(E816,4,2)</f>
        <v>SR</v>
      </c>
    </row>
    <row r="817" spans="1:26" s="111" customFormat="1" x14ac:dyDescent="0.2">
      <c r="A817" s="101">
        <v>46245</v>
      </c>
      <c r="B817" s="91" t="s">
        <v>1027</v>
      </c>
      <c r="C817" s="102" t="s">
        <v>1028</v>
      </c>
      <c r="D817" s="103" t="s">
        <v>1029</v>
      </c>
      <c r="E817" s="91" t="s">
        <v>1030</v>
      </c>
      <c r="F817" s="91" t="s">
        <v>1032</v>
      </c>
      <c r="G817" s="91" t="s">
        <v>1032</v>
      </c>
      <c r="H817" s="104" t="str">
        <f t="shared" si="51"/>
        <v>SR260J20</v>
      </c>
      <c r="I817" s="104"/>
      <c r="J817" s="105">
        <v>0.28999999999999998</v>
      </c>
      <c r="K817" s="106">
        <f t="shared" si="49"/>
        <v>145.88999999999999</v>
      </c>
      <c r="L817" s="106">
        <v>145.88999999999999</v>
      </c>
      <c r="M817" s="106">
        <f t="shared" si="50"/>
        <v>0</v>
      </c>
      <c r="N817" s="106">
        <v>145.88999999999999</v>
      </c>
      <c r="O817" s="106">
        <v>42.31</v>
      </c>
      <c r="P817" s="107">
        <v>26040</v>
      </c>
      <c r="Q817" s="107">
        <v>1101752</v>
      </c>
      <c r="R817" s="102"/>
      <c r="S817" s="108" t="s">
        <v>30</v>
      </c>
      <c r="T817" s="109"/>
      <c r="U817" s="109"/>
      <c r="V817" s="102"/>
      <c r="W817" s="109"/>
      <c r="X817" s="109"/>
      <c r="Y817" s="110" t="s">
        <v>31</v>
      </c>
      <c r="Z817" s="111" t="str">
        <f>MID(E817,4,2)</f>
        <v>SR</v>
      </c>
    </row>
    <row r="818" spans="1:26" s="111" customFormat="1" x14ac:dyDescent="0.2">
      <c r="A818" s="101">
        <v>46245</v>
      </c>
      <c r="B818" s="91" t="s">
        <v>1027</v>
      </c>
      <c r="C818" s="102" t="s">
        <v>1028</v>
      </c>
      <c r="D818" s="103" t="s">
        <v>1029</v>
      </c>
      <c r="E818" s="91" t="s">
        <v>1030</v>
      </c>
      <c r="F818" s="91" t="s">
        <v>1033</v>
      </c>
      <c r="G818" s="91" t="s">
        <v>1033</v>
      </c>
      <c r="H818" s="104" t="str">
        <f t="shared" si="51"/>
        <v>SR260J20</v>
      </c>
      <c r="I818" s="104"/>
      <c r="J818" s="105">
        <v>1.67</v>
      </c>
      <c r="K818" s="106">
        <f t="shared" si="49"/>
        <v>145.88999999999999</v>
      </c>
      <c r="L818" s="106">
        <v>145.88999999999999</v>
      </c>
      <c r="M818" s="106">
        <f t="shared" si="50"/>
        <v>0</v>
      </c>
      <c r="N818" s="106">
        <v>145.88999999999999</v>
      </c>
      <c r="O818" s="106">
        <v>243.64</v>
      </c>
      <c r="P818" s="107">
        <v>26040</v>
      </c>
      <c r="Q818" s="107">
        <v>6344386</v>
      </c>
      <c r="R818" s="102"/>
      <c r="S818" s="108" t="s">
        <v>30</v>
      </c>
      <c r="T818" s="109"/>
      <c r="U818" s="109"/>
      <c r="V818" s="102"/>
      <c r="W818" s="109"/>
      <c r="X818" s="109"/>
      <c r="Y818" s="110" t="s">
        <v>31</v>
      </c>
      <c r="Z818" s="111" t="str">
        <f>MID(E818,4,2)</f>
        <v>SR</v>
      </c>
    </row>
    <row r="819" spans="1:26" s="111" customFormat="1" x14ac:dyDescent="0.2">
      <c r="A819" s="101">
        <v>46245</v>
      </c>
      <c r="B819" s="91" t="s">
        <v>1027</v>
      </c>
      <c r="C819" s="102" t="s">
        <v>1028</v>
      </c>
      <c r="D819" s="103" t="s">
        <v>1029</v>
      </c>
      <c r="E819" s="91" t="s">
        <v>1030</v>
      </c>
      <c r="F819" s="91" t="s">
        <v>1031</v>
      </c>
      <c r="G819" s="91" t="s">
        <v>1031</v>
      </c>
      <c r="H819" s="104" t="str">
        <f t="shared" si="51"/>
        <v>SR260J20</v>
      </c>
      <c r="I819" s="104"/>
      <c r="J819" s="105">
        <v>10.45</v>
      </c>
      <c r="K819" s="106">
        <f t="shared" si="49"/>
        <v>145.88999999999999</v>
      </c>
      <c r="L819" s="106">
        <v>145.88999999999999</v>
      </c>
      <c r="M819" s="106">
        <f t="shared" si="50"/>
        <v>0</v>
      </c>
      <c r="N819" s="106">
        <v>145.88999999999999</v>
      </c>
      <c r="O819" s="106">
        <v>1524.57</v>
      </c>
      <c r="P819" s="107">
        <v>26040</v>
      </c>
      <c r="Q819" s="107">
        <v>39699803</v>
      </c>
      <c r="R819" s="102"/>
      <c r="S819" s="108" t="s">
        <v>30</v>
      </c>
      <c r="T819" s="109"/>
      <c r="U819" s="109"/>
      <c r="V819" s="102"/>
      <c r="W819" s="109"/>
      <c r="X819" s="109"/>
      <c r="Y819" s="110" t="s">
        <v>31</v>
      </c>
      <c r="Z819" s="111" t="str">
        <f>MID(E819,4,2)</f>
        <v>SR</v>
      </c>
    </row>
    <row r="820" spans="1:26" s="111" customFormat="1" x14ac:dyDescent="0.2">
      <c r="A820" s="101">
        <v>46245</v>
      </c>
      <c r="B820" s="91" t="s">
        <v>1027</v>
      </c>
      <c r="C820" s="102" t="s">
        <v>1028</v>
      </c>
      <c r="D820" s="103" t="s">
        <v>1029</v>
      </c>
      <c r="E820" s="91" t="s">
        <v>1030</v>
      </c>
      <c r="F820" s="91" t="s">
        <v>1032</v>
      </c>
      <c r="G820" s="91" t="s">
        <v>1032</v>
      </c>
      <c r="H820" s="104" t="str">
        <f t="shared" si="51"/>
        <v>SR260J20</v>
      </c>
      <c r="I820" s="104"/>
      <c r="J820" s="105">
        <v>0.63</v>
      </c>
      <c r="K820" s="106">
        <f t="shared" si="49"/>
        <v>145.88999999999999</v>
      </c>
      <c r="L820" s="106">
        <v>145.88999999999999</v>
      </c>
      <c r="M820" s="106">
        <f t="shared" si="50"/>
        <v>0</v>
      </c>
      <c r="N820" s="106">
        <v>145.88999999999999</v>
      </c>
      <c r="O820" s="106">
        <v>91.91</v>
      </c>
      <c r="P820" s="107">
        <v>26040</v>
      </c>
      <c r="Q820" s="107">
        <v>2393336</v>
      </c>
      <c r="R820" s="102"/>
      <c r="S820" s="108" t="s">
        <v>30</v>
      </c>
      <c r="T820" s="109"/>
      <c r="U820" s="109"/>
      <c r="V820" s="102"/>
      <c r="W820" s="109"/>
      <c r="X820" s="109"/>
      <c r="Y820" s="110" t="s">
        <v>31</v>
      </c>
      <c r="Z820" s="111" t="str">
        <f>MID(E820,4,2)</f>
        <v>SR</v>
      </c>
    </row>
    <row r="821" spans="1:26" s="111" customFormat="1" x14ac:dyDescent="0.2">
      <c r="A821" s="101">
        <v>46245</v>
      </c>
      <c r="B821" s="91" t="s">
        <v>1027</v>
      </c>
      <c r="C821" s="102" t="s">
        <v>1028</v>
      </c>
      <c r="D821" s="103" t="s">
        <v>1029</v>
      </c>
      <c r="E821" s="91" t="s">
        <v>1030</v>
      </c>
      <c r="F821" s="91" t="s">
        <v>1032</v>
      </c>
      <c r="G821" s="91" t="s">
        <v>1032</v>
      </c>
      <c r="H821" s="104" t="str">
        <f t="shared" si="51"/>
        <v>SR260J20</v>
      </c>
      <c r="I821" s="104"/>
      <c r="J821" s="105">
        <v>0.28999999999999998</v>
      </c>
      <c r="K821" s="106">
        <f t="shared" si="49"/>
        <v>145.88999999999999</v>
      </c>
      <c r="L821" s="106">
        <v>145.88999999999999</v>
      </c>
      <c r="M821" s="106">
        <f t="shared" si="50"/>
        <v>0</v>
      </c>
      <c r="N821" s="106">
        <v>145.88999999999999</v>
      </c>
      <c r="O821" s="106">
        <v>42.31</v>
      </c>
      <c r="P821" s="107">
        <v>26040</v>
      </c>
      <c r="Q821" s="107">
        <v>1101752</v>
      </c>
      <c r="R821" s="102"/>
      <c r="S821" s="108" t="s">
        <v>30</v>
      </c>
      <c r="T821" s="109"/>
      <c r="U821" s="109"/>
      <c r="V821" s="102"/>
      <c r="W821" s="109"/>
      <c r="X821" s="109"/>
      <c r="Y821" s="110" t="s">
        <v>31</v>
      </c>
      <c r="Z821" s="111" t="str">
        <f>MID(E821,4,2)</f>
        <v>SR</v>
      </c>
    </row>
    <row r="822" spans="1:26" s="111" customFormat="1" x14ac:dyDescent="0.2">
      <c r="A822" s="101">
        <v>46245</v>
      </c>
      <c r="B822" s="91" t="s">
        <v>1027</v>
      </c>
      <c r="C822" s="102" t="s">
        <v>1028</v>
      </c>
      <c r="D822" s="103" t="s">
        <v>1029</v>
      </c>
      <c r="E822" s="91" t="s">
        <v>1030</v>
      </c>
      <c r="F822" s="91" t="s">
        <v>1032</v>
      </c>
      <c r="G822" s="91" t="s">
        <v>1032</v>
      </c>
      <c r="H822" s="104" t="str">
        <f t="shared" si="51"/>
        <v>SR260J20</v>
      </c>
      <c r="I822" s="104"/>
      <c r="J822" s="105">
        <v>0.28999999999999998</v>
      </c>
      <c r="K822" s="106">
        <f t="shared" si="49"/>
        <v>145.88999999999999</v>
      </c>
      <c r="L822" s="106">
        <v>145.88999999999999</v>
      </c>
      <c r="M822" s="106">
        <f t="shared" si="50"/>
        <v>0</v>
      </c>
      <c r="N822" s="106">
        <v>145.88999999999999</v>
      </c>
      <c r="O822" s="106">
        <v>42.31</v>
      </c>
      <c r="P822" s="107">
        <v>26040</v>
      </c>
      <c r="Q822" s="107">
        <v>1101752</v>
      </c>
      <c r="R822" s="102"/>
      <c r="S822" s="108" t="s">
        <v>30</v>
      </c>
      <c r="T822" s="109"/>
      <c r="U822" s="109"/>
      <c r="V822" s="102"/>
      <c r="W822" s="109"/>
      <c r="X822" s="109"/>
      <c r="Y822" s="110" t="s">
        <v>31</v>
      </c>
      <c r="Z822" s="111" t="str">
        <f>MID(E822,4,2)</f>
        <v>SR</v>
      </c>
    </row>
    <row r="823" spans="1:26" s="111" customFormat="1" x14ac:dyDescent="0.2">
      <c r="A823" s="101">
        <v>46245</v>
      </c>
      <c r="B823" s="91" t="s">
        <v>1027</v>
      </c>
      <c r="C823" s="102" t="s">
        <v>1028</v>
      </c>
      <c r="D823" s="103" t="s">
        <v>1029</v>
      </c>
      <c r="E823" s="91" t="s">
        <v>1030</v>
      </c>
      <c r="F823" s="91" t="s">
        <v>1033</v>
      </c>
      <c r="G823" s="91" t="s">
        <v>1033</v>
      </c>
      <c r="H823" s="104" t="str">
        <f t="shared" si="51"/>
        <v>SR260J20</v>
      </c>
      <c r="I823" s="104"/>
      <c r="J823" s="105">
        <v>1.67</v>
      </c>
      <c r="K823" s="106">
        <f t="shared" si="49"/>
        <v>145.88999999999999</v>
      </c>
      <c r="L823" s="106">
        <v>145.88999999999999</v>
      </c>
      <c r="M823" s="106">
        <f t="shared" si="50"/>
        <v>0</v>
      </c>
      <c r="N823" s="106">
        <v>145.88999999999999</v>
      </c>
      <c r="O823" s="106">
        <v>243.64</v>
      </c>
      <c r="P823" s="107">
        <v>26040</v>
      </c>
      <c r="Q823" s="107">
        <v>6344386</v>
      </c>
      <c r="R823" s="102"/>
      <c r="S823" s="108" t="s">
        <v>30</v>
      </c>
      <c r="T823" s="109"/>
      <c r="U823" s="109"/>
      <c r="V823" s="102"/>
      <c r="W823" s="109"/>
      <c r="X823" s="109"/>
      <c r="Y823" s="110" t="s">
        <v>31</v>
      </c>
      <c r="Z823" s="111" t="str">
        <f>MID(E823,4,2)</f>
        <v>SR</v>
      </c>
    </row>
    <row r="824" spans="1:26" s="111" customFormat="1" x14ac:dyDescent="0.2">
      <c r="A824" s="101">
        <v>46245</v>
      </c>
      <c r="B824" s="91" t="s">
        <v>1027</v>
      </c>
      <c r="C824" s="102" t="s">
        <v>1028</v>
      </c>
      <c r="D824" s="103" t="s">
        <v>1029</v>
      </c>
      <c r="E824" s="91" t="s">
        <v>1030</v>
      </c>
      <c r="F824" s="91" t="s">
        <v>1031</v>
      </c>
      <c r="G824" s="91" t="s">
        <v>1031</v>
      </c>
      <c r="H824" s="104" t="str">
        <f t="shared" si="51"/>
        <v>SR260J20</v>
      </c>
      <c r="I824" s="104"/>
      <c r="J824" s="105">
        <v>10.45</v>
      </c>
      <c r="K824" s="106">
        <f t="shared" si="49"/>
        <v>145.88999999999999</v>
      </c>
      <c r="L824" s="106">
        <v>145.88999999999999</v>
      </c>
      <c r="M824" s="106">
        <f t="shared" si="50"/>
        <v>0</v>
      </c>
      <c r="N824" s="106">
        <v>145.88999999999999</v>
      </c>
      <c r="O824" s="106">
        <v>1524.57</v>
      </c>
      <c r="P824" s="107">
        <v>26040</v>
      </c>
      <c r="Q824" s="107">
        <v>39699803</v>
      </c>
      <c r="R824" s="102"/>
      <c r="S824" s="108" t="s">
        <v>30</v>
      </c>
      <c r="T824" s="109"/>
      <c r="U824" s="109"/>
      <c r="V824" s="102"/>
      <c r="W824" s="109"/>
      <c r="X824" s="109"/>
      <c r="Y824" s="110" t="s">
        <v>31</v>
      </c>
      <c r="Z824" s="111" t="str">
        <f>MID(E824,4,2)</f>
        <v>SR</v>
      </c>
    </row>
    <row r="825" spans="1:26" s="111" customFormat="1" x14ac:dyDescent="0.2">
      <c r="A825" s="101">
        <v>46245</v>
      </c>
      <c r="B825" s="91" t="s">
        <v>1027</v>
      </c>
      <c r="C825" s="102" t="s">
        <v>1028</v>
      </c>
      <c r="D825" s="103" t="s">
        <v>1029</v>
      </c>
      <c r="E825" s="91" t="s">
        <v>1030</v>
      </c>
      <c r="F825" s="91" t="s">
        <v>1032</v>
      </c>
      <c r="G825" s="91" t="s">
        <v>1032</v>
      </c>
      <c r="H825" s="104" t="str">
        <f t="shared" si="51"/>
        <v>SR260J20</v>
      </c>
      <c r="I825" s="104"/>
      <c r="J825" s="105">
        <v>0.63</v>
      </c>
      <c r="K825" s="106">
        <f t="shared" si="49"/>
        <v>145.88999999999999</v>
      </c>
      <c r="L825" s="106">
        <v>145.88999999999999</v>
      </c>
      <c r="M825" s="106">
        <f t="shared" si="50"/>
        <v>0</v>
      </c>
      <c r="N825" s="106">
        <v>145.88999999999999</v>
      </c>
      <c r="O825" s="106">
        <v>91.91</v>
      </c>
      <c r="P825" s="107">
        <v>26040</v>
      </c>
      <c r="Q825" s="107">
        <v>2393336</v>
      </c>
      <c r="R825" s="102"/>
      <c r="S825" s="108" t="s">
        <v>30</v>
      </c>
      <c r="T825" s="109"/>
      <c r="U825" s="109"/>
      <c r="V825" s="102"/>
      <c r="W825" s="109"/>
      <c r="X825" s="109"/>
      <c r="Y825" s="110" t="s">
        <v>31</v>
      </c>
      <c r="Z825" s="111" t="str">
        <f>MID(E825,4,2)</f>
        <v>SR</v>
      </c>
    </row>
    <row r="826" spans="1:26" s="111" customFormat="1" x14ac:dyDescent="0.2">
      <c r="A826" s="101">
        <v>46245</v>
      </c>
      <c r="B826" s="91" t="s">
        <v>1027</v>
      </c>
      <c r="C826" s="102" t="s">
        <v>1028</v>
      </c>
      <c r="D826" s="103" t="s">
        <v>1029</v>
      </c>
      <c r="E826" s="91" t="s">
        <v>1030</v>
      </c>
      <c r="F826" s="91" t="s">
        <v>1032</v>
      </c>
      <c r="G826" s="91" t="s">
        <v>1032</v>
      </c>
      <c r="H826" s="104" t="str">
        <f t="shared" si="51"/>
        <v>SR260J20</v>
      </c>
      <c r="I826" s="104"/>
      <c r="J826" s="105">
        <v>0.28999999999999998</v>
      </c>
      <c r="K826" s="106">
        <f t="shared" si="49"/>
        <v>145.88999999999999</v>
      </c>
      <c r="L826" s="106">
        <v>145.88999999999999</v>
      </c>
      <c r="M826" s="106">
        <f t="shared" si="50"/>
        <v>0</v>
      </c>
      <c r="N826" s="106">
        <v>145.88999999999999</v>
      </c>
      <c r="O826" s="106">
        <v>42.31</v>
      </c>
      <c r="P826" s="107">
        <v>26040</v>
      </c>
      <c r="Q826" s="107">
        <v>1101752</v>
      </c>
      <c r="R826" s="102"/>
      <c r="S826" s="108" t="s">
        <v>30</v>
      </c>
      <c r="T826" s="109"/>
      <c r="U826" s="109"/>
      <c r="V826" s="102"/>
      <c r="W826" s="109"/>
      <c r="X826" s="109"/>
      <c r="Y826" s="110" t="s">
        <v>31</v>
      </c>
      <c r="Z826" s="111" t="str">
        <f>MID(E826,4,2)</f>
        <v>SR</v>
      </c>
    </row>
    <row r="827" spans="1:26" s="111" customFormat="1" x14ac:dyDescent="0.2">
      <c r="A827" s="101">
        <v>46245</v>
      </c>
      <c r="B827" s="91" t="s">
        <v>1027</v>
      </c>
      <c r="C827" s="102" t="s">
        <v>1028</v>
      </c>
      <c r="D827" s="103" t="s">
        <v>1029</v>
      </c>
      <c r="E827" s="91" t="s">
        <v>1030</v>
      </c>
      <c r="F827" s="91" t="s">
        <v>1032</v>
      </c>
      <c r="G827" s="91" t="s">
        <v>1032</v>
      </c>
      <c r="H827" s="104" t="str">
        <f t="shared" si="51"/>
        <v>SR260J20</v>
      </c>
      <c r="I827" s="104"/>
      <c r="J827" s="105">
        <v>0.28999999999999998</v>
      </c>
      <c r="K827" s="106">
        <f t="shared" si="49"/>
        <v>145.88999999999999</v>
      </c>
      <c r="L827" s="106">
        <v>145.88999999999999</v>
      </c>
      <c r="M827" s="106">
        <f t="shared" si="50"/>
        <v>0</v>
      </c>
      <c r="N827" s="106">
        <v>145.88999999999999</v>
      </c>
      <c r="O827" s="106">
        <v>42.31</v>
      </c>
      <c r="P827" s="107">
        <v>26040</v>
      </c>
      <c r="Q827" s="107">
        <v>1101752</v>
      </c>
      <c r="R827" s="102"/>
      <c r="S827" s="108" t="s">
        <v>30</v>
      </c>
      <c r="T827" s="109"/>
      <c r="U827" s="109"/>
      <c r="V827" s="102"/>
      <c r="W827" s="109"/>
      <c r="X827" s="109"/>
      <c r="Y827" s="110" t="s">
        <v>31</v>
      </c>
      <c r="Z827" s="111" t="str">
        <f>MID(E827,4,2)</f>
        <v>SR</v>
      </c>
    </row>
    <row r="828" spans="1:26" s="111" customFormat="1" x14ac:dyDescent="0.2">
      <c r="A828" s="101">
        <v>46245</v>
      </c>
      <c r="B828" s="91" t="s">
        <v>1027</v>
      </c>
      <c r="C828" s="102" t="s">
        <v>1028</v>
      </c>
      <c r="D828" s="103" t="s">
        <v>1029</v>
      </c>
      <c r="E828" s="91" t="s">
        <v>1030</v>
      </c>
      <c r="F828" s="91" t="s">
        <v>1033</v>
      </c>
      <c r="G828" s="91" t="s">
        <v>1033</v>
      </c>
      <c r="H828" s="104" t="str">
        <f t="shared" si="51"/>
        <v>SR260J20</v>
      </c>
      <c r="I828" s="104"/>
      <c r="J828" s="105">
        <v>1.67</v>
      </c>
      <c r="K828" s="106">
        <f t="shared" si="49"/>
        <v>145.88999999999999</v>
      </c>
      <c r="L828" s="106">
        <v>145.88999999999999</v>
      </c>
      <c r="M828" s="106">
        <f t="shared" si="50"/>
        <v>0</v>
      </c>
      <c r="N828" s="106">
        <v>145.88999999999999</v>
      </c>
      <c r="O828" s="107">
        <v>243.64</v>
      </c>
      <c r="P828" s="107">
        <v>26040</v>
      </c>
      <c r="Q828" s="107">
        <v>6344386</v>
      </c>
      <c r="R828" s="102"/>
      <c r="S828" s="108" t="s">
        <v>30</v>
      </c>
      <c r="T828" s="109"/>
      <c r="U828" s="109"/>
      <c r="V828" s="102"/>
      <c r="W828" s="109"/>
      <c r="X828" s="109"/>
      <c r="Y828" s="110" t="s">
        <v>31</v>
      </c>
      <c r="Z828" s="111" t="str">
        <f>MID(E828,4,2)</f>
        <v>SR</v>
      </c>
    </row>
    <row r="829" spans="1:26" s="111" customFormat="1" x14ac:dyDescent="0.2">
      <c r="A829" s="101">
        <v>46245</v>
      </c>
      <c r="B829" s="91" t="s">
        <v>1027</v>
      </c>
      <c r="C829" s="102" t="s">
        <v>1028</v>
      </c>
      <c r="D829" s="103" t="s">
        <v>1029</v>
      </c>
      <c r="E829" s="91" t="s">
        <v>1030</v>
      </c>
      <c r="F829" s="91" t="s">
        <v>1031</v>
      </c>
      <c r="G829" s="91" t="s">
        <v>1031</v>
      </c>
      <c r="H829" s="104" t="str">
        <f t="shared" si="51"/>
        <v>SR260J20</v>
      </c>
      <c r="I829" s="104"/>
      <c r="J829" s="105">
        <v>10.45</v>
      </c>
      <c r="K829" s="106">
        <f t="shared" si="49"/>
        <v>145.88999999999999</v>
      </c>
      <c r="L829" s="106">
        <v>145.88999999999999</v>
      </c>
      <c r="M829" s="106">
        <f t="shared" si="50"/>
        <v>0</v>
      </c>
      <c r="N829" s="106">
        <v>145.88999999999999</v>
      </c>
      <c r="O829" s="107">
        <v>1524.57</v>
      </c>
      <c r="P829" s="107">
        <v>26040</v>
      </c>
      <c r="Q829" s="107">
        <v>39699803</v>
      </c>
      <c r="R829" s="102"/>
      <c r="S829" s="108" t="s">
        <v>30</v>
      </c>
      <c r="T829" s="109"/>
      <c r="U829" s="109"/>
      <c r="V829" s="102"/>
      <c r="W829" s="109"/>
      <c r="X829" s="109"/>
      <c r="Y829" s="110" t="s">
        <v>31</v>
      </c>
      <c r="Z829" s="111" t="str">
        <f>MID(E829,4,2)</f>
        <v>SR</v>
      </c>
    </row>
    <row r="830" spans="1:26" s="111" customFormat="1" x14ac:dyDescent="0.2">
      <c r="A830" s="101">
        <v>46245</v>
      </c>
      <c r="B830" s="91" t="s">
        <v>1027</v>
      </c>
      <c r="C830" s="102" t="s">
        <v>1028</v>
      </c>
      <c r="D830" s="103" t="s">
        <v>1029</v>
      </c>
      <c r="E830" s="91" t="s">
        <v>1030</v>
      </c>
      <c r="F830" s="91" t="s">
        <v>1032</v>
      </c>
      <c r="G830" s="91" t="s">
        <v>1032</v>
      </c>
      <c r="H830" s="104" t="str">
        <f t="shared" si="51"/>
        <v>SR260J20</v>
      </c>
      <c r="I830" s="104"/>
      <c r="J830" s="105">
        <v>0.63</v>
      </c>
      <c r="K830" s="106">
        <f t="shared" si="49"/>
        <v>145.88999999999999</v>
      </c>
      <c r="L830" s="106">
        <v>145.88999999999999</v>
      </c>
      <c r="M830" s="106">
        <f t="shared" si="50"/>
        <v>0</v>
      </c>
      <c r="N830" s="106">
        <v>145.88999999999999</v>
      </c>
      <c r="O830" s="107">
        <v>91.91</v>
      </c>
      <c r="P830" s="107">
        <v>26040</v>
      </c>
      <c r="Q830" s="107">
        <v>2393336</v>
      </c>
      <c r="R830" s="102"/>
      <c r="S830" s="108" t="s">
        <v>30</v>
      </c>
      <c r="T830" s="109"/>
      <c r="U830" s="109"/>
      <c r="V830" s="102"/>
      <c r="W830" s="109"/>
      <c r="X830" s="109"/>
      <c r="Y830" s="110" t="s">
        <v>31</v>
      </c>
      <c r="Z830" s="111" t="str">
        <f>MID(E830,4,2)</f>
        <v>SR</v>
      </c>
    </row>
    <row r="831" spans="1:26" s="111" customFormat="1" x14ac:dyDescent="0.2">
      <c r="A831" s="101">
        <v>46245</v>
      </c>
      <c r="B831" s="91" t="s">
        <v>1027</v>
      </c>
      <c r="C831" s="102" t="s">
        <v>1028</v>
      </c>
      <c r="D831" s="103" t="s">
        <v>1029</v>
      </c>
      <c r="E831" s="91" t="s">
        <v>1030</v>
      </c>
      <c r="F831" s="91" t="s">
        <v>1032</v>
      </c>
      <c r="G831" s="91" t="s">
        <v>1032</v>
      </c>
      <c r="H831" s="104" t="str">
        <f t="shared" si="51"/>
        <v>SR260J20</v>
      </c>
      <c r="I831" s="104"/>
      <c r="J831" s="105">
        <v>0.28999999999999998</v>
      </c>
      <c r="K831" s="106">
        <f t="shared" si="49"/>
        <v>145.88999999999999</v>
      </c>
      <c r="L831" s="106">
        <v>145.88999999999999</v>
      </c>
      <c r="M831" s="106">
        <f t="shared" si="50"/>
        <v>0</v>
      </c>
      <c r="N831" s="106">
        <v>145.88999999999999</v>
      </c>
      <c r="O831" s="107">
        <v>42.31</v>
      </c>
      <c r="P831" s="107">
        <v>26040</v>
      </c>
      <c r="Q831" s="107">
        <v>1101752</v>
      </c>
      <c r="R831" s="102"/>
      <c r="S831" s="108" t="s">
        <v>30</v>
      </c>
      <c r="T831" s="109"/>
      <c r="U831" s="109"/>
      <c r="V831" s="102"/>
      <c r="W831" s="109"/>
      <c r="X831" s="109"/>
      <c r="Y831" s="110" t="s">
        <v>31</v>
      </c>
      <c r="Z831" s="111" t="str">
        <f>MID(E831,4,2)</f>
        <v>SR</v>
      </c>
    </row>
    <row r="832" spans="1:26" s="111" customFormat="1" x14ac:dyDescent="0.2">
      <c r="A832" s="101">
        <v>46245</v>
      </c>
      <c r="B832" s="91" t="s">
        <v>1027</v>
      </c>
      <c r="C832" s="102" t="s">
        <v>1028</v>
      </c>
      <c r="D832" s="103" t="s">
        <v>1029</v>
      </c>
      <c r="E832" s="91" t="s">
        <v>1030</v>
      </c>
      <c r="F832" s="91" t="s">
        <v>1032</v>
      </c>
      <c r="G832" s="91" t="s">
        <v>1032</v>
      </c>
      <c r="H832" s="104" t="str">
        <f t="shared" si="51"/>
        <v>SR260J20</v>
      </c>
      <c r="I832" s="104"/>
      <c r="J832" s="105">
        <v>0.28999999999999998</v>
      </c>
      <c r="K832" s="106">
        <f t="shared" si="49"/>
        <v>145.88999999999999</v>
      </c>
      <c r="L832" s="106">
        <v>145.88999999999999</v>
      </c>
      <c r="M832" s="106">
        <f t="shared" si="50"/>
        <v>0</v>
      </c>
      <c r="N832" s="106">
        <v>145.88999999999999</v>
      </c>
      <c r="O832" s="107">
        <v>42.31</v>
      </c>
      <c r="P832" s="107">
        <v>26040</v>
      </c>
      <c r="Q832" s="107">
        <v>1101752</v>
      </c>
      <c r="R832" s="102"/>
      <c r="S832" s="108" t="s">
        <v>30</v>
      </c>
      <c r="T832" s="109"/>
      <c r="U832" s="109"/>
      <c r="V832" s="102"/>
      <c r="W832" s="109"/>
      <c r="X832" s="109"/>
      <c r="Y832" s="110" t="s">
        <v>31</v>
      </c>
      <c r="Z832" s="111" t="str">
        <f>MID(E832,4,2)</f>
        <v>SR</v>
      </c>
    </row>
    <row r="833" spans="1:26" s="111" customFormat="1" x14ac:dyDescent="0.2">
      <c r="A833" s="101">
        <v>46245</v>
      </c>
      <c r="B833" s="91" t="s">
        <v>1027</v>
      </c>
      <c r="C833" s="102" t="s">
        <v>1028</v>
      </c>
      <c r="D833" s="103" t="s">
        <v>1029</v>
      </c>
      <c r="E833" s="91" t="s">
        <v>1030</v>
      </c>
      <c r="F833" s="91" t="s">
        <v>1033</v>
      </c>
      <c r="G833" s="91" t="s">
        <v>1033</v>
      </c>
      <c r="H833" s="104" t="str">
        <f t="shared" si="51"/>
        <v>SR260J20</v>
      </c>
      <c r="I833" s="104"/>
      <c r="J833" s="105">
        <v>1.67</v>
      </c>
      <c r="K833" s="106">
        <f t="shared" si="49"/>
        <v>145.88999999999999</v>
      </c>
      <c r="L833" s="106">
        <v>145.88999999999999</v>
      </c>
      <c r="M833" s="106">
        <f t="shared" si="50"/>
        <v>0</v>
      </c>
      <c r="N833" s="106">
        <v>145.88999999999999</v>
      </c>
      <c r="O833" s="107">
        <v>243.64</v>
      </c>
      <c r="P833" s="107">
        <v>26040</v>
      </c>
      <c r="Q833" s="107">
        <v>6344386</v>
      </c>
      <c r="R833" s="102"/>
      <c r="S833" s="108" t="s">
        <v>30</v>
      </c>
      <c r="T833" s="109"/>
      <c r="U833" s="109"/>
      <c r="V833" s="102"/>
      <c r="W833" s="109"/>
      <c r="X833" s="109"/>
      <c r="Y833" s="110" t="s">
        <v>31</v>
      </c>
      <c r="Z833" s="111" t="str">
        <f>MID(E833,4,2)</f>
        <v>SR</v>
      </c>
    </row>
    <row r="834" spans="1:26" s="111" customFormat="1" x14ac:dyDescent="0.2">
      <c r="A834" s="101">
        <v>46245</v>
      </c>
      <c r="B834" s="91" t="s">
        <v>1027</v>
      </c>
      <c r="C834" s="102" t="s">
        <v>1028</v>
      </c>
      <c r="D834" s="103" t="s">
        <v>1029</v>
      </c>
      <c r="E834" s="91" t="s">
        <v>1030</v>
      </c>
      <c r="F834" s="91" t="s">
        <v>1031</v>
      </c>
      <c r="G834" s="91" t="s">
        <v>1031</v>
      </c>
      <c r="H834" s="104" t="str">
        <f t="shared" si="51"/>
        <v>SR260J20</v>
      </c>
      <c r="I834" s="104"/>
      <c r="J834" s="105">
        <v>10.45</v>
      </c>
      <c r="K834" s="106">
        <f t="shared" si="49"/>
        <v>145.88999999999999</v>
      </c>
      <c r="L834" s="106">
        <v>145.88999999999999</v>
      </c>
      <c r="M834" s="106">
        <f t="shared" si="50"/>
        <v>0</v>
      </c>
      <c r="N834" s="106">
        <v>145.88999999999999</v>
      </c>
      <c r="O834" s="107">
        <v>1524.57</v>
      </c>
      <c r="P834" s="107">
        <v>26040</v>
      </c>
      <c r="Q834" s="107">
        <v>39699803</v>
      </c>
      <c r="R834" s="102"/>
      <c r="S834" s="108" t="s">
        <v>30</v>
      </c>
      <c r="T834" s="109"/>
      <c r="U834" s="109"/>
      <c r="V834" s="102"/>
      <c r="W834" s="109"/>
      <c r="X834" s="109"/>
      <c r="Y834" s="110" t="s">
        <v>31</v>
      </c>
      <c r="Z834" s="111" t="str">
        <f>MID(E834,4,2)</f>
        <v>SR</v>
      </c>
    </row>
    <row r="835" spans="1:26" s="111" customFormat="1" x14ac:dyDescent="0.2">
      <c r="A835" s="101">
        <v>46245</v>
      </c>
      <c r="B835" s="91" t="s">
        <v>1027</v>
      </c>
      <c r="C835" s="102" t="s">
        <v>1028</v>
      </c>
      <c r="D835" s="103" t="s">
        <v>1029</v>
      </c>
      <c r="E835" s="91" t="s">
        <v>1030</v>
      </c>
      <c r="F835" s="91" t="s">
        <v>1032</v>
      </c>
      <c r="G835" s="91" t="s">
        <v>1032</v>
      </c>
      <c r="H835" s="104" t="str">
        <f t="shared" si="51"/>
        <v>SR260J20</v>
      </c>
      <c r="I835" s="104"/>
      <c r="J835" s="105">
        <v>0.63</v>
      </c>
      <c r="K835" s="106">
        <f t="shared" si="49"/>
        <v>145.88999999999999</v>
      </c>
      <c r="L835" s="106">
        <v>145.88999999999999</v>
      </c>
      <c r="M835" s="106">
        <f t="shared" si="50"/>
        <v>0</v>
      </c>
      <c r="N835" s="106">
        <v>145.88999999999999</v>
      </c>
      <c r="O835" s="107">
        <v>91.91</v>
      </c>
      <c r="P835" s="107">
        <v>26040</v>
      </c>
      <c r="Q835" s="107">
        <v>2393336</v>
      </c>
      <c r="R835" s="102"/>
      <c r="S835" s="108" t="s">
        <v>30</v>
      </c>
      <c r="T835" s="109"/>
      <c r="U835" s="109"/>
      <c r="V835" s="102"/>
      <c r="W835" s="109"/>
      <c r="X835" s="109"/>
      <c r="Y835" s="110" t="s">
        <v>31</v>
      </c>
      <c r="Z835" s="111" t="str">
        <f>MID(E835,4,2)</f>
        <v>SR</v>
      </c>
    </row>
    <row r="836" spans="1:26" s="111" customFormat="1" x14ac:dyDescent="0.2">
      <c r="A836" s="101">
        <v>46245</v>
      </c>
      <c r="B836" s="91" t="s">
        <v>1027</v>
      </c>
      <c r="C836" s="102" t="s">
        <v>1028</v>
      </c>
      <c r="D836" s="103" t="s">
        <v>1029</v>
      </c>
      <c r="E836" s="91" t="s">
        <v>1030</v>
      </c>
      <c r="F836" s="91" t="s">
        <v>1032</v>
      </c>
      <c r="G836" s="91" t="s">
        <v>1032</v>
      </c>
      <c r="H836" s="104" t="str">
        <f t="shared" si="51"/>
        <v>SR260J20</v>
      </c>
      <c r="I836" s="104"/>
      <c r="J836" s="105">
        <v>0.28999999999999998</v>
      </c>
      <c r="K836" s="106">
        <f t="shared" si="49"/>
        <v>145.88999999999999</v>
      </c>
      <c r="L836" s="106">
        <v>145.88999999999999</v>
      </c>
      <c r="M836" s="106">
        <f t="shared" si="50"/>
        <v>0</v>
      </c>
      <c r="N836" s="106">
        <v>145.88999999999999</v>
      </c>
      <c r="O836" s="107">
        <v>42.31</v>
      </c>
      <c r="P836" s="107">
        <v>26040</v>
      </c>
      <c r="Q836" s="107">
        <v>1101752</v>
      </c>
      <c r="R836" s="102"/>
      <c r="S836" s="108" t="s">
        <v>30</v>
      </c>
      <c r="T836" s="109"/>
      <c r="U836" s="109"/>
      <c r="V836" s="102"/>
      <c r="W836" s="109"/>
      <c r="X836" s="109"/>
      <c r="Y836" s="110" t="s">
        <v>31</v>
      </c>
      <c r="Z836" s="111" t="str">
        <f>MID(E836,4,2)</f>
        <v>SR</v>
      </c>
    </row>
    <row r="837" spans="1:26" s="111" customFormat="1" x14ac:dyDescent="0.2">
      <c r="A837" s="101">
        <v>46245</v>
      </c>
      <c r="B837" s="91" t="s">
        <v>1027</v>
      </c>
      <c r="C837" s="102" t="s">
        <v>1028</v>
      </c>
      <c r="D837" s="103" t="s">
        <v>1029</v>
      </c>
      <c r="E837" s="91" t="s">
        <v>1030</v>
      </c>
      <c r="F837" s="91" t="s">
        <v>1032</v>
      </c>
      <c r="G837" s="91" t="s">
        <v>1032</v>
      </c>
      <c r="H837" s="104" t="str">
        <f t="shared" si="51"/>
        <v>SR260J20</v>
      </c>
      <c r="I837" s="104"/>
      <c r="J837" s="105">
        <v>0.28999999999999998</v>
      </c>
      <c r="K837" s="106">
        <f t="shared" si="49"/>
        <v>145.88999999999999</v>
      </c>
      <c r="L837" s="106">
        <v>145.88999999999999</v>
      </c>
      <c r="M837" s="106">
        <f t="shared" si="50"/>
        <v>0</v>
      </c>
      <c r="N837" s="106">
        <v>145.88999999999999</v>
      </c>
      <c r="O837" s="107">
        <v>42.31</v>
      </c>
      <c r="P837" s="107">
        <v>26040</v>
      </c>
      <c r="Q837" s="107">
        <v>1101752</v>
      </c>
      <c r="R837" s="102"/>
      <c r="S837" s="108" t="s">
        <v>30</v>
      </c>
      <c r="T837" s="109"/>
      <c r="U837" s="109"/>
      <c r="V837" s="102"/>
      <c r="W837" s="109"/>
      <c r="X837" s="109"/>
      <c r="Y837" s="110" t="s">
        <v>31</v>
      </c>
      <c r="Z837" s="111" t="str">
        <f>MID(E837,4,2)</f>
        <v>SR</v>
      </c>
    </row>
    <row r="838" spans="1:26" s="111" customFormat="1" x14ac:dyDescent="0.2">
      <c r="A838" s="101">
        <v>46245</v>
      </c>
      <c r="B838" s="91" t="s">
        <v>1027</v>
      </c>
      <c r="C838" s="102" t="s">
        <v>1028</v>
      </c>
      <c r="D838" s="103" t="s">
        <v>1029</v>
      </c>
      <c r="E838" s="91" t="s">
        <v>1030</v>
      </c>
      <c r="F838" s="91" t="s">
        <v>1033</v>
      </c>
      <c r="G838" s="91" t="s">
        <v>1033</v>
      </c>
      <c r="H838" s="104" t="str">
        <f t="shared" si="51"/>
        <v>SR260J20</v>
      </c>
      <c r="I838" s="104"/>
      <c r="J838" s="105">
        <v>1.67</v>
      </c>
      <c r="K838" s="106">
        <f t="shared" si="49"/>
        <v>145.88999999999999</v>
      </c>
      <c r="L838" s="106">
        <v>145.88999999999999</v>
      </c>
      <c r="M838" s="106">
        <f t="shared" si="50"/>
        <v>0</v>
      </c>
      <c r="N838" s="106">
        <v>145.88999999999999</v>
      </c>
      <c r="O838" s="107">
        <v>243.64</v>
      </c>
      <c r="P838" s="107">
        <v>26040</v>
      </c>
      <c r="Q838" s="107">
        <v>6344386</v>
      </c>
      <c r="R838" s="102"/>
      <c r="S838" s="108" t="s">
        <v>30</v>
      </c>
      <c r="T838" s="109"/>
      <c r="U838" s="109"/>
      <c r="V838" s="102"/>
      <c r="W838" s="109"/>
      <c r="X838" s="109"/>
      <c r="Y838" s="110" t="s">
        <v>31</v>
      </c>
      <c r="Z838" s="111" t="str">
        <f>MID(E838,4,2)</f>
        <v>SR</v>
      </c>
    </row>
    <row r="839" spans="1:26" s="111" customFormat="1" x14ac:dyDescent="0.2">
      <c r="A839" s="101">
        <v>46245</v>
      </c>
      <c r="B839" s="91" t="s">
        <v>1027</v>
      </c>
      <c r="C839" s="102" t="s">
        <v>1028</v>
      </c>
      <c r="D839" s="103" t="s">
        <v>1029</v>
      </c>
      <c r="E839" s="91" t="s">
        <v>1030</v>
      </c>
      <c r="F839" s="91" t="s">
        <v>1031</v>
      </c>
      <c r="G839" s="91" t="s">
        <v>1031</v>
      </c>
      <c r="H839" s="104" t="str">
        <f t="shared" si="51"/>
        <v>SR260J20</v>
      </c>
      <c r="I839" s="104"/>
      <c r="J839" s="105">
        <v>10.45</v>
      </c>
      <c r="K839" s="106">
        <f t="shared" ref="K839:K848" si="52">L839</f>
        <v>145.88999999999999</v>
      </c>
      <c r="L839" s="106">
        <v>145.88999999999999</v>
      </c>
      <c r="M839" s="106">
        <f t="shared" si="50"/>
        <v>0</v>
      </c>
      <c r="N839" s="106">
        <v>145.88999999999999</v>
      </c>
      <c r="O839" s="107">
        <v>1524.57</v>
      </c>
      <c r="P839" s="107">
        <v>26040</v>
      </c>
      <c r="Q839" s="107">
        <v>39699803</v>
      </c>
      <c r="R839" s="102"/>
      <c r="S839" s="108" t="s">
        <v>30</v>
      </c>
      <c r="T839" s="109"/>
      <c r="U839" s="109"/>
      <c r="V839" s="102"/>
      <c r="W839" s="109"/>
      <c r="X839" s="109"/>
      <c r="Y839" s="110" t="s">
        <v>31</v>
      </c>
      <c r="Z839" s="111" t="str">
        <f>MID(E839,4,2)</f>
        <v>SR</v>
      </c>
    </row>
    <row r="840" spans="1:26" s="111" customFormat="1" x14ac:dyDescent="0.2">
      <c r="A840" s="101">
        <v>46245</v>
      </c>
      <c r="B840" s="91" t="s">
        <v>1027</v>
      </c>
      <c r="C840" s="102" t="s">
        <v>1028</v>
      </c>
      <c r="D840" s="103" t="s">
        <v>1029</v>
      </c>
      <c r="E840" s="91" t="s">
        <v>1030</v>
      </c>
      <c r="F840" s="91" t="s">
        <v>1032</v>
      </c>
      <c r="G840" s="91" t="s">
        <v>1032</v>
      </c>
      <c r="H840" s="104" t="str">
        <f t="shared" si="51"/>
        <v>SR260J20</v>
      </c>
      <c r="I840" s="104"/>
      <c r="J840" s="105">
        <v>0.63</v>
      </c>
      <c r="K840" s="106">
        <f t="shared" si="52"/>
        <v>145.88999999999999</v>
      </c>
      <c r="L840" s="106">
        <v>145.88999999999999</v>
      </c>
      <c r="M840" s="106">
        <f t="shared" si="50"/>
        <v>0</v>
      </c>
      <c r="N840" s="106">
        <v>145.88999999999999</v>
      </c>
      <c r="O840" s="107">
        <v>91.91</v>
      </c>
      <c r="P840" s="107">
        <v>26040</v>
      </c>
      <c r="Q840" s="107">
        <v>2393336</v>
      </c>
      <c r="R840" s="102"/>
      <c r="S840" s="108" t="s">
        <v>30</v>
      </c>
      <c r="T840" s="109"/>
      <c r="U840" s="109"/>
      <c r="V840" s="102"/>
      <c r="W840" s="109"/>
      <c r="X840" s="109"/>
      <c r="Y840" s="110" t="s">
        <v>31</v>
      </c>
      <c r="Z840" s="111" t="str">
        <f>MID(E840,4,2)</f>
        <v>SR</v>
      </c>
    </row>
    <row r="841" spans="1:26" s="111" customFormat="1" x14ac:dyDescent="0.2">
      <c r="A841" s="101">
        <v>46245</v>
      </c>
      <c r="B841" s="91" t="s">
        <v>1027</v>
      </c>
      <c r="C841" s="102" t="s">
        <v>1028</v>
      </c>
      <c r="D841" s="103" t="s">
        <v>1029</v>
      </c>
      <c r="E841" s="91" t="s">
        <v>1030</v>
      </c>
      <c r="F841" s="91" t="s">
        <v>1032</v>
      </c>
      <c r="G841" s="91" t="s">
        <v>1032</v>
      </c>
      <c r="H841" s="104" t="str">
        <f t="shared" si="51"/>
        <v>SR260J20</v>
      </c>
      <c r="I841" s="104"/>
      <c r="J841" s="105">
        <v>0.28999999999999998</v>
      </c>
      <c r="K841" s="106">
        <f t="shared" si="52"/>
        <v>145.88999999999999</v>
      </c>
      <c r="L841" s="106">
        <v>145.88999999999999</v>
      </c>
      <c r="M841" s="106">
        <f t="shared" si="50"/>
        <v>0</v>
      </c>
      <c r="N841" s="106">
        <v>145.88999999999999</v>
      </c>
      <c r="O841" s="107">
        <v>42.31</v>
      </c>
      <c r="P841" s="107">
        <v>26040</v>
      </c>
      <c r="Q841" s="107">
        <v>1101752</v>
      </c>
      <c r="R841" s="102"/>
      <c r="S841" s="108" t="s">
        <v>30</v>
      </c>
      <c r="T841" s="109"/>
      <c r="U841" s="109"/>
      <c r="V841" s="102"/>
      <c r="W841" s="109"/>
      <c r="X841" s="109"/>
      <c r="Y841" s="110" t="s">
        <v>31</v>
      </c>
      <c r="Z841" s="111" t="str">
        <f>MID(E841,4,2)</f>
        <v>SR</v>
      </c>
    </row>
    <row r="842" spans="1:26" s="111" customFormat="1" x14ac:dyDescent="0.2">
      <c r="A842" s="101">
        <v>46245</v>
      </c>
      <c r="B842" s="91" t="s">
        <v>1027</v>
      </c>
      <c r="C842" s="102" t="s">
        <v>1028</v>
      </c>
      <c r="D842" s="103" t="s">
        <v>1029</v>
      </c>
      <c r="E842" s="91" t="s">
        <v>1030</v>
      </c>
      <c r="F842" s="91" t="s">
        <v>1032</v>
      </c>
      <c r="G842" s="91" t="s">
        <v>1032</v>
      </c>
      <c r="H842" s="104" t="str">
        <f t="shared" si="51"/>
        <v>SR260J20</v>
      </c>
      <c r="I842" s="104"/>
      <c r="J842" s="105">
        <v>0.28999999999999998</v>
      </c>
      <c r="K842" s="106">
        <f t="shared" si="52"/>
        <v>145.88999999999999</v>
      </c>
      <c r="L842" s="106">
        <v>145.88999999999999</v>
      </c>
      <c r="M842" s="106">
        <f t="shared" si="50"/>
        <v>0</v>
      </c>
      <c r="N842" s="106">
        <v>145.88999999999999</v>
      </c>
      <c r="O842" s="107">
        <v>42.31</v>
      </c>
      <c r="P842" s="107">
        <v>26040</v>
      </c>
      <c r="Q842" s="107">
        <v>1101752</v>
      </c>
      <c r="R842" s="102"/>
      <c r="S842" s="108" t="s">
        <v>30</v>
      </c>
      <c r="T842" s="109"/>
      <c r="U842" s="109"/>
      <c r="V842" s="102"/>
      <c r="W842" s="109"/>
      <c r="X842" s="109"/>
      <c r="Y842" s="110" t="s">
        <v>31</v>
      </c>
      <c r="Z842" s="111" t="str">
        <f>MID(E842,4,2)</f>
        <v>SR</v>
      </c>
    </row>
    <row r="843" spans="1:26" s="111" customFormat="1" x14ac:dyDescent="0.2">
      <c r="A843" s="101">
        <v>46245</v>
      </c>
      <c r="B843" s="91" t="s">
        <v>1027</v>
      </c>
      <c r="C843" s="102" t="s">
        <v>1028</v>
      </c>
      <c r="D843" s="103" t="s">
        <v>1029</v>
      </c>
      <c r="E843" s="91" t="s">
        <v>1030</v>
      </c>
      <c r="F843" s="91" t="s">
        <v>1033</v>
      </c>
      <c r="G843" s="91" t="s">
        <v>1033</v>
      </c>
      <c r="H843" s="104" t="str">
        <f t="shared" si="51"/>
        <v>SR260J20</v>
      </c>
      <c r="I843" s="104"/>
      <c r="J843" s="105">
        <v>1.67</v>
      </c>
      <c r="K843" s="106">
        <f t="shared" si="52"/>
        <v>145.88999999999999</v>
      </c>
      <c r="L843" s="106">
        <v>145.88999999999999</v>
      </c>
      <c r="M843" s="106">
        <f t="shared" si="50"/>
        <v>0</v>
      </c>
      <c r="N843" s="106">
        <v>145.88999999999999</v>
      </c>
      <c r="O843" s="107">
        <v>243.64</v>
      </c>
      <c r="P843" s="107">
        <v>26040</v>
      </c>
      <c r="Q843" s="107">
        <v>6344386</v>
      </c>
      <c r="R843" s="102"/>
      <c r="S843" s="108" t="s">
        <v>30</v>
      </c>
      <c r="T843" s="109"/>
      <c r="U843" s="109"/>
      <c r="V843" s="102"/>
      <c r="W843" s="109"/>
      <c r="X843" s="109"/>
      <c r="Y843" s="110" t="s">
        <v>31</v>
      </c>
      <c r="Z843" s="111" t="str">
        <f>MID(E843,4,2)</f>
        <v>SR</v>
      </c>
    </row>
    <row r="844" spans="1:26" s="111" customFormat="1" x14ac:dyDescent="0.2">
      <c r="A844" s="101">
        <v>46245</v>
      </c>
      <c r="B844" s="91" t="s">
        <v>1027</v>
      </c>
      <c r="C844" s="102" t="s">
        <v>1028</v>
      </c>
      <c r="D844" s="103" t="s">
        <v>1029</v>
      </c>
      <c r="E844" s="91" t="s">
        <v>1030</v>
      </c>
      <c r="F844" s="91" t="s">
        <v>1031</v>
      </c>
      <c r="G844" s="91" t="s">
        <v>1031</v>
      </c>
      <c r="H844" s="104" t="str">
        <f t="shared" si="51"/>
        <v>SR260J20</v>
      </c>
      <c r="I844" s="104"/>
      <c r="J844" s="105">
        <v>10.45</v>
      </c>
      <c r="K844" s="106">
        <f t="shared" si="52"/>
        <v>145.88999999999999</v>
      </c>
      <c r="L844" s="106">
        <v>145.88999999999999</v>
      </c>
      <c r="M844" s="106">
        <f t="shared" si="50"/>
        <v>0</v>
      </c>
      <c r="N844" s="106">
        <v>145.88999999999999</v>
      </c>
      <c r="O844" s="107">
        <v>1524.57</v>
      </c>
      <c r="P844" s="107">
        <v>26040</v>
      </c>
      <c r="Q844" s="107">
        <v>39699803</v>
      </c>
      <c r="R844" s="102"/>
      <c r="S844" s="108" t="s">
        <v>30</v>
      </c>
      <c r="T844" s="109"/>
      <c r="U844" s="109"/>
      <c r="V844" s="102"/>
      <c r="W844" s="109"/>
      <c r="X844" s="109"/>
      <c r="Y844" s="110" t="s">
        <v>31</v>
      </c>
      <c r="Z844" s="111" t="str">
        <f>MID(E844,4,2)</f>
        <v>SR</v>
      </c>
    </row>
    <row r="845" spans="1:26" s="111" customFormat="1" x14ac:dyDescent="0.2">
      <c r="A845" s="101">
        <v>46245</v>
      </c>
      <c r="B845" s="91" t="s">
        <v>1027</v>
      </c>
      <c r="C845" s="102" t="s">
        <v>1028</v>
      </c>
      <c r="D845" s="103" t="s">
        <v>1029</v>
      </c>
      <c r="E845" s="91" t="s">
        <v>1030</v>
      </c>
      <c r="F845" s="91" t="s">
        <v>1032</v>
      </c>
      <c r="G845" s="91" t="s">
        <v>1032</v>
      </c>
      <c r="H845" s="104" t="str">
        <f t="shared" si="51"/>
        <v>SR260J20</v>
      </c>
      <c r="I845" s="104"/>
      <c r="J845" s="105">
        <v>0.63</v>
      </c>
      <c r="K845" s="106">
        <f t="shared" si="52"/>
        <v>145.88999999999999</v>
      </c>
      <c r="L845" s="106">
        <v>145.88999999999999</v>
      </c>
      <c r="M845" s="106">
        <f t="shared" ref="M845:M908" si="53">L845-K845</f>
        <v>0</v>
      </c>
      <c r="N845" s="106">
        <v>145.88999999999999</v>
      </c>
      <c r="O845" s="107">
        <v>91.91</v>
      </c>
      <c r="P845" s="107">
        <v>26040</v>
      </c>
      <c r="Q845" s="107">
        <v>2393336</v>
      </c>
      <c r="R845" s="102"/>
      <c r="S845" s="108" t="s">
        <v>30</v>
      </c>
      <c r="T845" s="109"/>
      <c r="U845" s="109"/>
      <c r="V845" s="102"/>
      <c r="W845" s="109"/>
      <c r="X845" s="109"/>
      <c r="Y845" s="110" t="s">
        <v>31</v>
      </c>
      <c r="Z845" s="111" t="str">
        <f>MID(E845,4,2)</f>
        <v>SR</v>
      </c>
    </row>
    <row r="846" spans="1:26" s="111" customFormat="1" x14ac:dyDescent="0.2">
      <c r="A846" s="101">
        <v>46245</v>
      </c>
      <c r="B846" s="91" t="s">
        <v>1027</v>
      </c>
      <c r="C846" s="102" t="s">
        <v>1028</v>
      </c>
      <c r="D846" s="103" t="s">
        <v>1029</v>
      </c>
      <c r="E846" s="91" t="s">
        <v>1030</v>
      </c>
      <c r="F846" s="91" t="s">
        <v>1032</v>
      </c>
      <c r="G846" s="91" t="s">
        <v>1032</v>
      </c>
      <c r="H846" s="104" t="str">
        <f t="shared" ref="H846:H909" si="54">IF(LEN(G846)=13,LEFT(G846,5)&amp;MID(G846,SEARCH("-J",G846)+1,3),LEFT(G846,5)&amp;"J20")</f>
        <v>SR260J20</v>
      </c>
      <c r="I846" s="104"/>
      <c r="J846" s="105">
        <v>0.28999999999999998</v>
      </c>
      <c r="K846" s="106">
        <f t="shared" si="52"/>
        <v>145.88999999999999</v>
      </c>
      <c r="L846" s="106">
        <v>145.88999999999999</v>
      </c>
      <c r="M846" s="106">
        <f t="shared" si="53"/>
        <v>0</v>
      </c>
      <c r="N846" s="106">
        <v>145.88999999999999</v>
      </c>
      <c r="O846" s="107">
        <v>42.31</v>
      </c>
      <c r="P846" s="107">
        <v>26040</v>
      </c>
      <c r="Q846" s="107">
        <v>1101752</v>
      </c>
      <c r="R846" s="102"/>
      <c r="S846" s="108" t="s">
        <v>30</v>
      </c>
      <c r="T846" s="109"/>
      <c r="U846" s="109"/>
      <c r="V846" s="102"/>
      <c r="W846" s="109"/>
      <c r="X846" s="109"/>
      <c r="Y846" s="110" t="s">
        <v>31</v>
      </c>
      <c r="Z846" s="111" t="str">
        <f>MID(E846,4,2)</f>
        <v>SR</v>
      </c>
    </row>
    <row r="847" spans="1:26" s="111" customFormat="1" x14ac:dyDescent="0.2">
      <c r="A847" s="101">
        <v>46245</v>
      </c>
      <c r="B847" s="91" t="s">
        <v>1027</v>
      </c>
      <c r="C847" s="102" t="s">
        <v>1028</v>
      </c>
      <c r="D847" s="103" t="s">
        <v>1029</v>
      </c>
      <c r="E847" s="91" t="s">
        <v>1030</v>
      </c>
      <c r="F847" s="91" t="s">
        <v>1032</v>
      </c>
      <c r="G847" s="91" t="s">
        <v>1032</v>
      </c>
      <c r="H847" s="104" t="str">
        <f t="shared" si="54"/>
        <v>SR260J20</v>
      </c>
      <c r="I847" s="104"/>
      <c r="J847" s="105">
        <v>0.28999999999999998</v>
      </c>
      <c r="K847" s="106">
        <f t="shared" si="52"/>
        <v>145.88999999999999</v>
      </c>
      <c r="L847" s="106">
        <v>145.88999999999999</v>
      </c>
      <c r="M847" s="106">
        <f t="shared" si="53"/>
        <v>0</v>
      </c>
      <c r="N847" s="106">
        <v>145.88999999999999</v>
      </c>
      <c r="O847" s="107">
        <v>42.31</v>
      </c>
      <c r="P847" s="107">
        <v>26040</v>
      </c>
      <c r="Q847" s="107">
        <v>1101752</v>
      </c>
      <c r="R847" s="102"/>
      <c r="S847" s="108" t="s">
        <v>30</v>
      </c>
      <c r="T847" s="109"/>
      <c r="U847" s="109"/>
      <c r="V847" s="102"/>
      <c r="W847" s="109"/>
      <c r="X847" s="109"/>
      <c r="Y847" s="110" t="s">
        <v>31</v>
      </c>
      <c r="Z847" s="111" t="str">
        <f>MID(E847,4,2)</f>
        <v>SR</v>
      </c>
    </row>
    <row r="848" spans="1:26" s="111" customFormat="1" x14ac:dyDescent="0.2">
      <c r="A848" s="101">
        <v>46245</v>
      </c>
      <c r="B848" s="91" t="s">
        <v>1027</v>
      </c>
      <c r="C848" s="102" t="s">
        <v>1028</v>
      </c>
      <c r="D848" s="103" t="s">
        <v>1029</v>
      </c>
      <c r="E848" s="91" t="s">
        <v>1030</v>
      </c>
      <c r="F848" s="91" t="s">
        <v>1033</v>
      </c>
      <c r="G848" s="91" t="s">
        <v>1033</v>
      </c>
      <c r="H848" s="104" t="str">
        <f t="shared" si="54"/>
        <v>SR260J20</v>
      </c>
      <c r="I848" s="104"/>
      <c r="J848" s="105">
        <v>1.67</v>
      </c>
      <c r="K848" s="106">
        <f t="shared" si="52"/>
        <v>145.88999999999999</v>
      </c>
      <c r="L848" s="106">
        <v>145.88999999999999</v>
      </c>
      <c r="M848" s="106">
        <f t="shared" si="53"/>
        <v>0</v>
      </c>
      <c r="N848" s="106">
        <v>145.88999999999999</v>
      </c>
      <c r="O848" s="107">
        <v>243.64</v>
      </c>
      <c r="P848" s="107">
        <v>26040</v>
      </c>
      <c r="Q848" s="107">
        <v>6344386</v>
      </c>
      <c r="R848" s="102"/>
      <c r="S848" s="108" t="s">
        <v>30</v>
      </c>
      <c r="T848" s="109"/>
      <c r="U848" s="109"/>
      <c r="V848" s="102"/>
      <c r="W848" s="109"/>
      <c r="X848" s="109"/>
      <c r="Y848" s="110" t="s">
        <v>31</v>
      </c>
      <c r="Z848" s="111" t="str">
        <f>MID(E848,4,2)</f>
        <v>SR</v>
      </c>
    </row>
    <row r="849" spans="1:26" s="111" customFormat="1" x14ac:dyDescent="0.2">
      <c r="A849" s="101">
        <v>46245</v>
      </c>
      <c r="B849" s="91" t="s">
        <v>1034</v>
      </c>
      <c r="C849" s="102" t="s">
        <v>1035</v>
      </c>
      <c r="D849" s="103" t="s">
        <v>26</v>
      </c>
      <c r="E849" s="91" t="s">
        <v>1036</v>
      </c>
      <c r="F849" s="91" t="s">
        <v>188</v>
      </c>
      <c r="G849" s="91" t="s">
        <v>189</v>
      </c>
      <c r="H849" s="104" t="str">
        <f t="shared" si="54"/>
        <v>C5133J20</v>
      </c>
      <c r="I849" s="104"/>
      <c r="J849" s="105">
        <v>0.03</v>
      </c>
      <c r="K849" s="106">
        <f>IF(D849="CAESARSTONE LTD",VLOOKUP(H849,'[2]GIA CA'!G:H,2,0),IF(OR(D849="STONE FACINGS LIMITED",D849="NORDIA SA",D849="INVICTUS STONE COUNTERTOPS INC",D849="QUARTZTOP LLC"),VLOOKUP(H849,'[2] Giá ngoài Mỹ - SI-GR'!$B$5:$AZ$84,51,0),IF(OR(D849="HYUNDAI L&amp;C CANADA INC",D849="Hyundai L&amp; C USA LLC"),VLOOKUP(H849,'[2]GIA HS'!A:D,4,0),IF(Y849="Mỹ",VLOOKUP(H849,'[2]giá mỹ từ 6.8.2025'!B:I,2,0),VLOOKUP(H849,'[2]giá ngoài mỹ 6.8.2025 (final)'!B:BP,51,0)))))</f>
        <v>59</v>
      </c>
      <c r="L849" s="106">
        <v>98.67</v>
      </c>
      <c r="M849" s="106">
        <f t="shared" si="53"/>
        <v>39.67</v>
      </c>
      <c r="N849" s="106">
        <v>98.67</v>
      </c>
      <c r="O849" s="107">
        <v>2.96</v>
      </c>
      <c r="P849" s="107">
        <v>26040</v>
      </c>
      <c r="Q849" s="107">
        <v>77078</v>
      </c>
      <c r="R849" s="102"/>
      <c r="S849" s="108"/>
      <c r="T849" s="109" t="s">
        <v>30</v>
      </c>
      <c r="U849" s="109"/>
      <c r="V849" s="102"/>
      <c r="W849" s="109"/>
      <c r="X849" s="109"/>
      <c r="Y849" s="110" t="s">
        <v>31</v>
      </c>
      <c r="Z849" s="111" t="str">
        <f>MID(E849,4,2)</f>
        <v>CA</v>
      </c>
    </row>
    <row r="850" spans="1:26" s="111" customFormat="1" x14ac:dyDescent="0.2">
      <c r="A850" s="101">
        <v>46245</v>
      </c>
      <c r="B850" s="91" t="s">
        <v>1034</v>
      </c>
      <c r="C850" s="102" t="s">
        <v>1035</v>
      </c>
      <c r="D850" s="103" t="s">
        <v>26</v>
      </c>
      <c r="E850" s="91" t="s">
        <v>1036</v>
      </c>
      <c r="F850" s="91" t="s">
        <v>1037</v>
      </c>
      <c r="G850" s="91" t="s">
        <v>1038</v>
      </c>
      <c r="H850" s="104" t="str">
        <f t="shared" si="54"/>
        <v>F5133J20</v>
      </c>
      <c r="I850" s="104"/>
      <c r="J850" s="105">
        <v>0.03</v>
      </c>
      <c r="K850" s="106">
        <f>IF(D850="CAESARSTONE LTD",VLOOKUP(H850,'[2]GIA CA'!G:H,2,0),IF(OR(D850="STONE FACINGS LIMITED",D850="NORDIA SA",D850="INVICTUS STONE COUNTERTOPS INC",D850="QUARTZTOP LLC"),VLOOKUP(H850,'[2] Giá ngoài Mỹ - SI-GR'!$B$5:$AZ$84,51,0),IF(OR(D850="HYUNDAI L&amp;C CANADA INC",D850="Hyundai L&amp; C USA LLC"),VLOOKUP(H850,'[2]GIA HS'!A:D,4,0),IF(Y850="Mỹ",VLOOKUP(H850,'[2]giá mỹ từ 6.8.2025'!B:I,2,0),VLOOKUP(H850,'[2]giá ngoài mỹ 6.8.2025 (final)'!B:BP,51,0)))))</f>
        <v>62</v>
      </c>
      <c r="L850" s="106">
        <v>98.67</v>
      </c>
      <c r="M850" s="106">
        <f t="shared" si="53"/>
        <v>36.67</v>
      </c>
      <c r="N850" s="106">
        <v>98.67</v>
      </c>
      <c r="O850" s="107">
        <v>2.96</v>
      </c>
      <c r="P850" s="107">
        <v>26040</v>
      </c>
      <c r="Q850" s="107">
        <v>77078</v>
      </c>
      <c r="R850" s="102"/>
      <c r="S850" s="108"/>
      <c r="T850" s="109" t="s">
        <v>30</v>
      </c>
      <c r="U850" s="109"/>
      <c r="V850" s="102"/>
      <c r="W850" s="109"/>
      <c r="X850" s="109"/>
      <c r="Y850" s="110" t="s">
        <v>31</v>
      </c>
      <c r="Z850" s="111" t="str">
        <f>MID(E850,4,2)</f>
        <v>CA</v>
      </c>
    </row>
    <row r="851" spans="1:26" s="111" customFormat="1" x14ac:dyDescent="0.2">
      <c r="A851" s="101">
        <v>46245</v>
      </c>
      <c r="B851" s="91" t="s">
        <v>1034</v>
      </c>
      <c r="C851" s="102" t="s">
        <v>1035</v>
      </c>
      <c r="D851" s="103" t="s">
        <v>26</v>
      </c>
      <c r="E851" s="91" t="s">
        <v>1036</v>
      </c>
      <c r="F851" s="91" t="s">
        <v>336</v>
      </c>
      <c r="G851" s="91" t="s">
        <v>337</v>
      </c>
      <c r="H851" s="104" t="str">
        <f t="shared" si="54"/>
        <v>C6046J20</v>
      </c>
      <c r="I851" s="104"/>
      <c r="J851" s="105">
        <v>0.06</v>
      </c>
      <c r="K851" s="106">
        <f>IF(D851="CAESARSTONE LTD",VLOOKUP(H851,'[2]GIA CA'!G:H,2,0),IF(OR(D851="STONE FACINGS LIMITED",D851="NORDIA SA",D851="INVICTUS STONE COUNTERTOPS INC",D851="QUARTZTOP LLC"),VLOOKUP(H851,'[2] Giá ngoài Mỹ - SI-GR'!$B$5:$AZ$84,51,0),IF(OR(D851="HYUNDAI L&amp;C CANADA INC",D851="Hyundai L&amp; C USA LLC"),VLOOKUP(H851,'[2]GIA HS'!A:D,4,0),IF(Y851="Mỹ",VLOOKUP(H851,'[2]giá mỹ từ 6.8.2025'!B:I,2,0),VLOOKUP(H851,'[2]giá ngoài mỹ 6.8.2025 (final)'!B:BP,51,0)))))</f>
        <v>59</v>
      </c>
      <c r="L851" s="106">
        <v>98.67</v>
      </c>
      <c r="M851" s="106">
        <f t="shared" si="53"/>
        <v>39.67</v>
      </c>
      <c r="N851" s="106">
        <v>98.67</v>
      </c>
      <c r="O851" s="107">
        <v>5.92</v>
      </c>
      <c r="P851" s="107">
        <v>26040</v>
      </c>
      <c r="Q851" s="107">
        <v>154157</v>
      </c>
      <c r="R851" s="102"/>
      <c r="S851" s="108"/>
      <c r="T851" s="109" t="s">
        <v>30</v>
      </c>
      <c r="U851" s="109"/>
      <c r="V851" s="102"/>
      <c r="W851" s="109"/>
      <c r="X851" s="109"/>
      <c r="Y851" s="110" t="s">
        <v>31</v>
      </c>
      <c r="Z851" s="111" t="str">
        <f>MID(E851,4,2)</f>
        <v>CA</v>
      </c>
    </row>
    <row r="852" spans="1:26" s="111" customFormat="1" x14ac:dyDescent="0.2">
      <c r="A852" s="101">
        <v>46245</v>
      </c>
      <c r="B852" s="91" t="s">
        <v>1034</v>
      </c>
      <c r="C852" s="102" t="s">
        <v>1035</v>
      </c>
      <c r="D852" s="103" t="s">
        <v>26</v>
      </c>
      <c r="E852" s="91" t="s">
        <v>1036</v>
      </c>
      <c r="F852" s="91" t="s">
        <v>186</v>
      </c>
      <c r="G852" s="91" t="s">
        <v>187</v>
      </c>
      <c r="H852" s="104" t="str">
        <f t="shared" si="54"/>
        <v>C6131J20</v>
      </c>
      <c r="I852" s="104"/>
      <c r="J852" s="105">
        <v>0.03</v>
      </c>
      <c r="K852" s="106">
        <f>IF(D852="CAESARSTONE LTD",VLOOKUP(H852,'[2]GIA CA'!G:H,2,0),IF(OR(D852="STONE FACINGS LIMITED",D852="NORDIA SA",D852="INVICTUS STONE COUNTERTOPS INC",D852="QUARTZTOP LLC"),VLOOKUP(H852,'[2] Giá ngoài Mỹ - SI-GR'!$B$5:$AZ$84,51,0),IF(OR(D852="HYUNDAI L&amp;C CANADA INC",D852="Hyundai L&amp; C USA LLC"),VLOOKUP(H852,'[2]GIA HS'!A:D,4,0),IF(Y852="Mỹ",VLOOKUP(H852,'[2]giá mỹ từ 6.8.2025'!B:I,2,0),VLOOKUP(H852,'[2]giá ngoài mỹ 6.8.2025 (final)'!B:BP,51,0)))))</f>
        <v>59</v>
      </c>
      <c r="L852" s="106">
        <v>98.67</v>
      </c>
      <c r="M852" s="106">
        <f t="shared" si="53"/>
        <v>39.67</v>
      </c>
      <c r="N852" s="106">
        <v>98.67</v>
      </c>
      <c r="O852" s="107">
        <v>2.96</v>
      </c>
      <c r="P852" s="107">
        <v>26040</v>
      </c>
      <c r="Q852" s="107">
        <v>77078</v>
      </c>
      <c r="R852" s="102"/>
      <c r="S852" s="108"/>
      <c r="T852" s="109" t="s">
        <v>30</v>
      </c>
      <c r="U852" s="109"/>
      <c r="V852" s="102"/>
      <c r="W852" s="109"/>
      <c r="X852" s="109"/>
      <c r="Y852" s="110" t="s">
        <v>31</v>
      </c>
      <c r="Z852" s="111" t="str">
        <f>MID(E852,4,2)</f>
        <v>CA</v>
      </c>
    </row>
    <row r="853" spans="1:26" s="111" customFormat="1" x14ac:dyDescent="0.2">
      <c r="A853" s="101">
        <v>46245</v>
      </c>
      <c r="B853" s="91" t="s">
        <v>1034</v>
      </c>
      <c r="C853" s="102" t="s">
        <v>1035</v>
      </c>
      <c r="D853" s="103" t="s">
        <v>26</v>
      </c>
      <c r="E853" s="91" t="s">
        <v>1036</v>
      </c>
      <c r="F853" s="91" t="s">
        <v>1039</v>
      </c>
      <c r="G853" s="91" t="s">
        <v>1040</v>
      </c>
      <c r="H853" s="104" t="str">
        <f t="shared" si="54"/>
        <v>F6131J20</v>
      </c>
      <c r="I853" s="104"/>
      <c r="J853" s="105">
        <v>0.03</v>
      </c>
      <c r="K853" s="106">
        <f>IF(D853="CAESARSTONE LTD",VLOOKUP(H853,'[2]GIA CA'!G:H,2,0),IF(OR(D853="STONE FACINGS LIMITED",D853="NORDIA SA",D853="INVICTUS STONE COUNTERTOPS INC",D853="QUARTZTOP LLC"),VLOOKUP(H853,'[2] Giá ngoài Mỹ - SI-GR'!$B$5:$AZ$84,51,0),IF(OR(D853="HYUNDAI L&amp;C CANADA INC",D853="Hyundai L&amp; C USA LLC"),VLOOKUP(H853,'[2]GIA HS'!A:D,4,0),IF(Y853="Mỹ",VLOOKUP(H853,'[2]giá mỹ từ 6.8.2025'!B:I,2,0),VLOOKUP(H853,'[2]giá ngoài mỹ 6.8.2025 (final)'!B:BP,51,0)))))</f>
        <v>62</v>
      </c>
      <c r="L853" s="106">
        <v>98.67</v>
      </c>
      <c r="M853" s="106">
        <f t="shared" si="53"/>
        <v>36.67</v>
      </c>
      <c r="N853" s="106">
        <v>98.67</v>
      </c>
      <c r="O853" s="107">
        <v>2.96</v>
      </c>
      <c r="P853" s="107">
        <v>26040</v>
      </c>
      <c r="Q853" s="107">
        <v>77078</v>
      </c>
      <c r="R853" s="102"/>
      <c r="S853" s="108"/>
      <c r="T853" s="109" t="s">
        <v>30</v>
      </c>
      <c r="U853" s="109"/>
      <c r="V853" s="102"/>
      <c r="W853" s="109"/>
      <c r="X853" s="109"/>
      <c r="Y853" s="110" t="s">
        <v>31</v>
      </c>
      <c r="Z853" s="111" t="str">
        <f>MID(E853,4,2)</f>
        <v>CA</v>
      </c>
    </row>
    <row r="854" spans="1:26" s="111" customFormat="1" x14ac:dyDescent="0.2">
      <c r="A854" s="101">
        <v>46245</v>
      </c>
      <c r="B854" s="91" t="s">
        <v>1034</v>
      </c>
      <c r="C854" s="102" t="s">
        <v>1035</v>
      </c>
      <c r="D854" s="103" t="s">
        <v>26</v>
      </c>
      <c r="E854" s="91" t="s">
        <v>1036</v>
      </c>
      <c r="F854" s="91" t="s">
        <v>190</v>
      </c>
      <c r="G854" s="91" t="s">
        <v>191</v>
      </c>
      <c r="H854" s="104" t="str">
        <f t="shared" si="54"/>
        <v>C6313J20</v>
      </c>
      <c r="I854" s="104"/>
      <c r="J854" s="105">
        <v>0.03</v>
      </c>
      <c r="K854" s="106">
        <f>IF(D854="CAESARSTONE LTD",VLOOKUP(H854,'[2]GIA CA'!G:H,2,0),IF(OR(D854="STONE FACINGS LIMITED",D854="NORDIA SA",D854="INVICTUS STONE COUNTERTOPS INC",D854="QUARTZTOP LLC"),VLOOKUP(H854,'[2] Giá ngoài Mỹ - SI-GR'!$B$5:$AZ$84,51,0),IF(OR(D854="HYUNDAI L&amp;C CANADA INC",D854="Hyundai L&amp; C USA LLC"),VLOOKUP(H854,'[2]GIA HS'!A:D,4,0),IF(Y854="Mỹ",VLOOKUP(H854,'[2]giá mỹ từ 6.8.2025'!B:I,2,0),VLOOKUP(H854,'[2]giá ngoài mỹ 6.8.2025 (final)'!B:BP,51,0)))))</f>
        <v>59</v>
      </c>
      <c r="L854" s="106">
        <v>98.67</v>
      </c>
      <c r="M854" s="106">
        <f t="shared" si="53"/>
        <v>39.67</v>
      </c>
      <c r="N854" s="106">
        <v>98.67</v>
      </c>
      <c r="O854" s="107">
        <v>2.96</v>
      </c>
      <c r="P854" s="107">
        <v>26040</v>
      </c>
      <c r="Q854" s="107">
        <v>77078</v>
      </c>
      <c r="R854" s="102"/>
      <c r="S854" s="108"/>
      <c r="T854" s="109" t="s">
        <v>30</v>
      </c>
      <c r="U854" s="109"/>
      <c r="V854" s="102"/>
      <c r="W854" s="109"/>
      <c r="X854" s="109"/>
      <c r="Y854" s="110" t="s">
        <v>31</v>
      </c>
      <c r="Z854" s="111" t="str">
        <f>MID(E854,4,2)</f>
        <v>CA</v>
      </c>
    </row>
    <row r="855" spans="1:26" s="111" customFormat="1" x14ac:dyDescent="0.2">
      <c r="A855" s="101">
        <v>46245</v>
      </c>
      <c r="B855" s="91" t="s">
        <v>1034</v>
      </c>
      <c r="C855" s="102" t="s">
        <v>1035</v>
      </c>
      <c r="D855" s="103" t="s">
        <v>26</v>
      </c>
      <c r="E855" s="91" t="s">
        <v>1036</v>
      </c>
      <c r="F855" s="91" t="s">
        <v>247</v>
      </c>
      <c r="G855" s="91" t="s">
        <v>248</v>
      </c>
      <c r="H855" s="104" t="str">
        <f t="shared" si="54"/>
        <v>F6313J20</v>
      </c>
      <c r="I855" s="104"/>
      <c r="J855" s="105">
        <v>0.03</v>
      </c>
      <c r="K855" s="106">
        <f>IF(D855="CAESARSTONE LTD",VLOOKUP(H855,'[2]GIA CA'!G:H,2,0),IF(OR(D855="STONE FACINGS LIMITED",D855="NORDIA SA",D855="INVICTUS STONE COUNTERTOPS INC",D855="QUARTZTOP LLC"),VLOOKUP(H855,'[2] Giá ngoài Mỹ - SI-GR'!$B$5:$AZ$84,51,0),IF(OR(D855="HYUNDAI L&amp;C CANADA INC",D855="Hyundai L&amp; C USA LLC"),VLOOKUP(H855,'[2]GIA HS'!A:D,4,0),IF(Y855="Mỹ",VLOOKUP(H855,'[2]giá mỹ từ 6.8.2025'!B:I,2,0),VLOOKUP(H855,'[2]giá ngoài mỹ 6.8.2025 (final)'!B:BP,51,0)))))</f>
        <v>62</v>
      </c>
      <c r="L855" s="106">
        <v>98.67</v>
      </c>
      <c r="M855" s="106">
        <f t="shared" si="53"/>
        <v>36.67</v>
      </c>
      <c r="N855" s="106">
        <v>98.67</v>
      </c>
      <c r="O855" s="107">
        <v>2.96</v>
      </c>
      <c r="P855" s="107">
        <v>26040</v>
      </c>
      <c r="Q855" s="107">
        <v>77078</v>
      </c>
      <c r="R855" s="102"/>
      <c r="S855" s="108"/>
      <c r="T855" s="109" t="s">
        <v>30</v>
      </c>
      <c r="U855" s="109"/>
      <c r="V855" s="102"/>
      <c r="W855" s="109"/>
      <c r="X855" s="109"/>
      <c r="Y855" s="110" t="s">
        <v>31</v>
      </c>
      <c r="Z855" s="111" t="str">
        <f>MID(E855,4,2)</f>
        <v>CA</v>
      </c>
    </row>
    <row r="856" spans="1:26" s="111" customFormat="1" x14ac:dyDescent="0.2">
      <c r="A856" s="101">
        <v>46245</v>
      </c>
      <c r="B856" s="91" t="s">
        <v>1041</v>
      </c>
      <c r="C856" s="102" t="s">
        <v>1042</v>
      </c>
      <c r="D856" s="103" t="s">
        <v>26</v>
      </c>
      <c r="E856" s="91" t="s">
        <v>1043</v>
      </c>
      <c r="F856" s="91" t="s">
        <v>727</v>
      </c>
      <c r="G856" s="91" t="s">
        <v>728</v>
      </c>
      <c r="H856" s="104" t="str">
        <f t="shared" si="54"/>
        <v>C5212J20</v>
      </c>
      <c r="I856" s="104"/>
      <c r="J856" s="105">
        <v>223.25</v>
      </c>
      <c r="K856" s="106">
        <f>IF(D856="CAESARSTONE LTD",VLOOKUP(H856,'[2]GIA CA'!G:H,2,0),IF(OR(D856="STONE FACINGS LIMITED",D856="NORDIA SA",D856="INVICTUS STONE COUNTERTOPS INC",D856="QUARTZTOP LLC"),VLOOKUP(H856,'[2] Giá ngoài Mỹ - SI-GR'!$B$5:$AZ$84,51,0),IF(OR(D856="HYUNDAI L&amp;C CANADA INC",D856="Hyundai L&amp; C USA LLC"),VLOOKUP(H856,'[2]GIA HS'!A:D,4,0),IF(Y856="Mỹ",VLOOKUP(H856,'[2]giá mỹ từ 6.8.2025'!B:I,2,0),VLOOKUP(H856,'[2]giá ngoài mỹ 6.8.2025 (final)'!B:BP,51,0)))))</f>
        <v>59</v>
      </c>
      <c r="L856" s="106">
        <v>62</v>
      </c>
      <c r="M856" s="106">
        <f t="shared" si="53"/>
        <v>3</v>
      </c>
      <c r="N856" s="106">
        <v>62</v>
      </c>
      <c r="O856" s="107">
        <v>13841.5</v>
      </c>
      <c r="P856" s="107">
        <v>26040</v>
      </c>
      <c r="Q856" s="107">
        <v>360432660</v>
      </c>
      <c r="R856" s="102" t="s">
        <v>30</v>
      </c>
      <c r="S856" s="108"/>
      <c r="T856" s="109"/>
      <c r="U856" s="109"/>
      <c r="V856" s="102"/>
      <c r="W856" s="109"/>
      <c r="X856" s="109"/>
      <c r="Y856" s="110" t="s">
        <v>358</v>
      </c>
      <c r="Z856" s="111" t="str">
        <f>MID(E856,4,2)</f>
        <v>CA</v>
      </c>
    </row>
    <row r="857" spans="1:26" s="111" customFormat="1" x14ac:dyDescent="0.2">
      <c r="A857" s="101">
        <v>46245</v>
      </c>
      <c r="B857" s="91" t="s">
        <v>1041</v>
      </c>
      <c r="C857" s="102" t="s">
        <v>1042</v>
      </c>
      <c r="D857" s="103" t="s">
        <v>26</v>
      </c>
      <c r="E857" s="91" t="s">
        <v>1043</v>
      </c>
      <c r="F857" s="91" t="s">
        <v>727</v>
      </c>
      <c r="G857" s="91" t="s">
        <v>728</v>
      </c>
      <c r="H857" s="104" t="str">
        <f t="shared" si="54"/>
        <v>C5212J20</v>
      </c>
      <c r="I857" s="104"/>
      <c r="J857" s="105">
        <v>32.67</v>
      </c>
      <c r="K857" s="106">
        <f>IF(D857="CAESARSTONE LTD",VLOOKUP(H857,'[2]GIA CA'!G:H,2,0),IF(OR(D857="STONE FACINGS LIMITED",D857="NORDIA SA",D857="INVICTUS STONE COUNTERTOPS INC",D857="QUARTZTOP LLC"),VLOOKUP(H857,'[2] Giá ngoài Mỹ - SI-GR'!$B$5:$AZ$84,51,0),IF(OR(D857="HYUNDAI L&amp;C CANADA INC",D857="Hyundai L&amp; C USA LLC"),VLOOKUP(H857,'[2]GIA HS'!A:D,4,0),IF(Y857="Mỹ",VLOOKUP(H857,'[2]giá mỹ từ 6.8.2025'!B:I,2,0),VLOOKUP(H857,'[2]giá ngoài mỹ 6.8.2025 (final)'!B:BP,51,0)))))</f>
        <v>59</v>
      </c>
      <c r="L857" s="106">
        <v>62</v>
      </c>
      <c r="M857" s="106">
        <f t="shared" si="53"/>
        <v>3</v>
      </c>
      <c r="N857" s="106">
        <v>62</v>
      </c>
      <c r="O857" s="107">
        <v>2025.54</v>
      </c>
      <c r="P857" s="107">
        <v>26040</v>
      </c>
      <c r="Q857" s="107">
        <v>52745062</v>
      </c>
      <c r="R857" s="102" t="s">
        <v>30</v>
      </c>
      <c r="S857" s="108"/>
      <c r="T857" s="109"/>
      <c r="U857" s="109"/>
      <c r="V857" s="102"/>
      <c r="W857" s="109"/>
      <c r="X857" s="109"/>
      <c r="Y857" s="110" t="s">
        <v>358</v>
      </c>
      <c r="Z857" s="111" t="str">
        <f>MID(E857,4,2)</f>
        <v>CA</v>
      </c>
    </row>
    <row r="858" spans="1:26" s="111" customFormat="1" x14ac:dyDescent="0.2">
      <c r="A858" s="101">
        <v>46245</v>
      </c>
      <c r="B858" s="91" t="s">
        <v>1041</v>
      </c>
      <c r="C858" s="102" t="s">
        <v>1042</v>
      </c>
      <c r="D858" s="103" t="s">
        <v>26</v>
      </c>
      <c r="E858" s="91" t="s">
        <v>1043</v>
      </c>
      <c r="F858" s="91" t="s">
        <v>1044</v>
      </c>
      <c r="G858" s="91" t="s">
        <v>728</v>
      </c>
      <c r="H858" s="104" t="str">
        <f t="shared" si="54"/>
        <v>C5212J20</v>
      </c>
      <c r="I858" s="104"/>
      <c r="J858" s="105">
        <v>16.329999999999998</v>
      </c>
      <c r="K858" s="106">
        <f>IF(D858="CAESARSTONE LTD",VLOOKUP(H858,'[2]GIA CA'!G:H,2,0),IF(OR(D858="STONE FACINGS LIMITED",D858="NORDIA SA",D858="INVICTUS STONE COUNTERTOPS INC",D858="QUARTZTOP LLC"),VLOOKUP(H858,'[2] Giá ngoài Mỹ - SI-GR'!$B$5:$AZ$84,51,0),IF(OR(D858="HYUNDAI L&amp;C CANADA INC",D858="Hyundai L&amp; C USA LLC"),VLOOKUP(H858,'[2]GIA HS'!A:D,4,0),IF(Y858="Mỹ",VLOOKUP(H858,'[2]giá mỹ từ 6.8.2025'!B:I,2,0),VLOOKUP(H858,'[2]giá ngoài mỹ 6.8.2025 (final)'!B:BP,51,0)))))</f>
        <v>59</v>
      </c>
      <c r="L858" s="106">
        <v>62</v>
      </c>
      <c r="M858" s="106">
        <f t="shared" si="53"/>
        <v>3</v>
      </c>
      <c r="N858" s="106">
        <v>62</v>
      </c>
      <c r="O858" s="107">
        <v>1012.46</v>
      </c>
      <c r="P858" s="107">
        <v>26040</v>
      </c>
      <c r="Q858" s="107">
        <v>26364458</v>
      </c>
      <c r="R858" s="102" t="s">
        <v>30</v>
      </c>
      <c r="S858" s="108"/>
      <c r="T858" s="109"/>
      <c r="U858" s="109"/>
      <c r="V858" s="102"/>
      <c r="W858" s="109"/>
      <c r="X858" s="109"/>
      <c r="Y858" s="110" t="s">
        <v>358</v>
      </c>
      <c r="Z858" s="111" t="str">
        <f>MID(E858,4,2)</f>
        <v>CA</v>
      </c>
    </row>
    <row r="859" spans="1:26" s="111" customFormat="1" x14ac:dyDescent="0.2">
      <c r="A859" s="101">
        <v>46245</v>
      </c>
      <c r="B859" s="91" t="s">
        <v>1041</v>
      </c>
      <c r="C859" s="102" t="s">
        <v>1042</v>
      </c>
      <c r="D859" s="103" t="s">
        <v>26</v>
      </c>
      <c r="E859" s="91" t="s">
        <v>1043</v>
      </c>
      <c r="F859" s="91" t="s">
        <v>356</v>
      </c>
      <c r="G859" s="91" t="s">
        <v>357</v>
      </c>
      <c r="H859" s="104" t="str">
        <f t="shared" si="54"/>
        <v>C5222J20</v>
      </c>
      <c r="I859" s="104"/>
      <c r="J859" s="105">
        <v>108.9</v>
      </c>
      <c r="K859" s="106">
        <f t="shared" ref="K859:K862" si="55">+L859</f>
        <v>59.9</v>
      </c>
      <c r="L859" s="106">
        <v>59.9</v>
      </c>
      <c r="M859" s="106">
        <f t="shared" si="53"/>
        <v>0</v>
      </c>
      <c r="N859" s="106">
        <v>59.9</v>
      </c>
      <c r="O859" s="107">
        <v>6523.2</v>
      </c>
      <c r="P859" s="107">
        <v>26040</v>
      </c>
      <c r="Q859" s="107">
        <v>169864128</v>
      </c>
      <c r="R859" s="102" t="s">
        <v>30</v>
      </c>
      <c r="S859" s="108"/>
      <c r="T859" s="109"/>
      <c r="U859" s="109"/>
      <c r="V859" s="102"/>
      <c r="W859" s="109"/>
      <c r="X859" s="109"/>
      <c r="Y859" s="110" t="s">
        <v>358</v>
      </c>
      <c r="Z859" s="111" t="str">
        <f>MID(E859,4,2)</f>
        <v>CA</v>
      </c>
    </row>
    <row r="860" spans="1:26" s="111" customFormat="1" x14ac:dyDescent="0.2">
      <c r="A860" s="101">
        <v>46245</v>
      </c>
      <c r="B860" s="91" t="s">
        <v>1041</v>
      </c>
      <c r="C860" s="102" t="s">
        <v>1042</v>
      </c>
      <c r="D860" s="103" t="s">
        <v>26</v>
      </c>
      <c r="E860" s="91" t="s">
        <v>1043</v>
      </c>
      <c r="F860" s="91" t="s">
        <v>1045</v>
      </c>
      <c r="G860" s="91" t="s">
        <v>1046</v>
      </c>
      <c r="H860" s="104" t="str">
        <f t="shared" si="54"/>
        <v>C6003J20</v>
      </c>
      <c r="I860" s="104"/>
      <c r="J860" s="105">
        <v>163.35</v>
      </c>
      <c r="K860" s="106">
        <f t="shared" si="55"/>
        <v>59.9</v>
      </c>
      <c r="L860" s="106">
        <v>59.9</v>
      </c>
      <c r="M860" s="106">
        <f t="shared" si="53"/>
        <v>0</v>
      </c>
      <c r="N860" s="106">
        <v>59.9</v>
      </c>
      <c r="O860" s="107">
        <v>9784.7999999999993</v>
      </c>
      <c r="P860" s="107">
        <v>26040</v>
      </c>
      <c r="Q860" s="107">
        <v>254796192</v>
      </c>
      <c r="R860" s="102" t="s">
        <v>30</v>
      </c>
      <c r="S860" s="108"/>
      <c r="T860" s="109"/>
      <c r="U860" s="109"/>
      <c r="V860" s="102"/>
      <c r="W860" s="109"/>
      <c r="X860" s="109"/>
      <c r="Y860" s="110" t="s">
        <v>358</v>
      </c>
      <c r="Z860" s="111" t="str">
        <f>MID(E860,4,2)</f>
        <v>CA</v>
      </c>
    </row>
    <row r="861" spans="1:26" s="111" customFormat="1" x14ac:dyDescent="0.2">
      <c r="A861" s="101">
        <v>46245</v>
      </c>
      <c r="B861" s="91" t="s">
        <v>1047</v>
      </c>
      <c r="C861" s="102" t="s">
        <v>1048</v>
      </c>
      <c r="D861" s="103" t="s">
        <v>26</v>
      </c>
      <c r="E861" s="91" t="s">
        <v>1049</v>
      </c>
      <c r="F861" s="91" t="s">
        <v>465</v>
      </c>
      <c r="G861" s="91" t="s">
        <v>466</v>
      </c>
      <c r="H861" s="104" t="str">
        <f t="shared" si="54"/>
        <v>F4011J20</v>
      </c>
      <c r="I861" s="104"/>
      <c r="J861" s="105">
        <v>228.69</v>
      </c>
      <c r="K861" s="106">
        <f t="shared" si="55"/>
        <v>63</v>
      </c>
      <c r="L861" s="106">
        <v>63</v>
      </c>
      <c r="M861" s="106">
        <f t="shared" si="53"/>
        <v>0</v>
      </c>
      <c r="N861" s="106">
        <v>63</v>
      </c>
      <c r="O861" s="107">
        <v>14407.68</v>
      </c>
      <c r="P861" s="107">
        <v>26040</v>
      </c>
      <c r="Q861" s="107">
        <v>375175987</v>
      </c>
      <c r="R861" s="102" t="s">
        <v>30</v>
      </c>
      <c r="S861" s="108"/>
      <c r="T861" s="109"/>
      <c r="U861" s="109"/>
      <c r="V861" s="102"/>
      <c r="W861" s="109"/>
      <c r="X861" s="109"/>
      <c r="Y861" s="110" t="s">
        <v>290</v>
      </c>
      <c r="Z861" s="111" t="str">
        <f>MID(E861,4,2)</f>
        <v>CA</v>
      </c>
    </row>
    <row r="862" spans="1:26" s="111" customFormat="1" x14ac:dyDescent="0.2">
      <c r="A862" s="101">
        <v>46245</v>
      </c>
      <c r="B862" s="91" t="s">
        <v>1047</v>
      </c>
      <c r="C862" s="102" t="s">
        <v>1048</v>
      </c>
      <c r="D862" s="103" t="s">
        <v>26</v>
      </c>
      <c r="E862" s="91" t="s">
        <v>1049</v>
      </c>
      <c r="F862" s="91" t="s">
        <v>270</v>
      </c>
      <c r="G862" s="91" t="s">
        <v>271</v>
      </c>
      <c r="H862" s="104" t="str">
        <f t="shared" si="54"/>
        <v>F4044J20</v>
      </c>
      <c r="I862" s="104"/>
      <c r="J862" s="105">
        <v>239.58</v>
      </c>
      <c r="K862" s="106">
        <f t="shared" si="55"/>
        <v>63</v>
      </c>
      <c r="L862" s="106">
        <v>63</v>
      </c>
      <c r="M862" s="106">
        <f t="shared" si="53"/>
        <v>0</v>
      </c>
      <c r="N862" s="106">
        <v>63</v>
      </c>
      <c r="O862" s="107">
        <v>15093.76</v>
      </c>
      <c r="P862" s="107">
        <v>26040</v>
      </c>
      <c r="Q862" s="107">
        <v>393041510</v>
      </c>
      <c r="R862" s="102" t="s">
        <v>30</v>
      </c>
      <c r="S862" s="108"/>
      <c r="T862" s="109"/>
      <c r="U862" s="109"/>
      <c r="V862" s="102"/>
      <c r="W862" s="109"/>
      <c r="X862" s="109"/>
      <c r="Y862" s="110" t="s">
        <v>290</v>
      </c>
      <c r="Z862" s="111" t="str">
        <f>MID(E862,4,2)</f>
        <v>CA</v>
      </c>
    </row>
    <row r="863" spans="1:26" s="111" customFormat="1" x14ac:dyDescent="0.2">
      <c r="A863" s="101">
        <v>46245</v>
      </c>
      <c r="B863" s="91" t="s">
        <v>1047</v>
      </c>
      <c r="C863" s="102" t="s">
        <v>1048</v>
      </c>
      <c r="D863" s="103" t="s">
        <v>26</v>
      </c>
      <c r="E863" s="91" t="s">
        <v>1049</v>
      </c>
      <c r="F863" s="91" t="s">
        <v>301</v>
      </c>
      <c r="G863" s="91" t="s">
        <v>302</v>
      </c>
      <c r="H863" s="104" t="str">
        <f t="shared" si="54"/>
        <v>F5105J20</v>
      </c>
      <c r="I863" s="104"/>
      <c r="J863" s="105">
        <v>1.47</v>
      </c>
      <c r="K863" s="106">
        <f>IF(D863="CAESARSTONE LTD",VLOOKUP(H863,'[2]GIA CA'!G:H,2,0),IF(OR(D863="STONE FACINGS LIMITED",D863="NORDIA SA",D863="INVICTUS STONE COUNTERTOPS INC",D863="QUARTZTOP LLC"),VLOOKUP(H863,'[2] Giá ngoài Mỹ - SI-GR'!$B$5:$AZ$84,51,0),IF(OR(D863="HYUNDAI L&amp;C CANADA INC",D863="Hyundai L&amp; C USA LLC"),VLOOKUP(H863,'[2]GIA HS'!A:D,4,0),IF(Y863="Mỹ",VLOOKUP(H863,'[2]giá mỹ từ 6.8.2025'!B:I,2,0),VLOOKUP(H863,'[2]giá ngoài mỹ 6.8.2025 (final)'!B:BP,51,0)))))</f>
        <v>68</v>
      </c>
      <c r="L863" s="106">
        <v>130.94999999999999</v>
      </c>
      <c r="M863" s="106">
        <f t="shared" si="53"/>
        <v>62.949999999999989</v>
      </c>
      <c r="N863" s="106">
        <v>130.94999999999999</v>
      </c>
      <c r="O863" s="107">
        <v>192.5</v>
      </c>
      <c r="P863" s="107">
        <v>26040</v>
      </c>
      <c r="Q863" s="107">
        <v>5012700</v>
      </c>
      <c r="R863" s="102"/>
      <c r="S863" s="108"/>
      <c r="T863" s="109" t="s">
        <v>30</v>
      </c>
      <c r="U863" s="109"/>
      <c r="V863" s="102"/>
      <c r="W863" s="109"/>
      <c r="X863" s="109"/>
      <c r="Y863" s="110" t="s">
        <v>290</v>
      </c>
      <c r="Z863" s="111" t="str">
        <f>MID(E863,4,2)</f>
        <v>CA</v>
      </c>
    </row>
    <row r="864" spans="1:26" s="111" customFormat="1" x14ac:dyDescent="0.2">
      <c r="A864" s="101">
        <v>46245</v>
      </c>
      <c r="B864" s="91" t="s">
        <v>1047</v>
      </c>
      <c r="C864" s="102" t="s">
        <v>1048</v>
      </c>
      <c r="D864" s="103" t="s">
        <v>26</v>
      </c>
      <c r="E864" s="91" t="s">
        <v>1049</v>
      </c>
      <c r="F864" s="91" t="s">
        <v>1050</v>
      </c>
      <c r="G864" s="91" t="s">
        <v>1051</v>
      </c>
      <c r="H864" s="104" t="str">
        <f t="shared" si="54"/>
        <v>F5115J20</v>
      </c>
      <c r="I864" s="104"/>
      <c r="J864" s="105">
        <v>1.47</v>
      </c>
      <c r="K864" s="106">
        <f>IF(D864="CAESARSTONE LTD",VLOOKUP(H864,'[2]GIA CA'!G:H,2,0),IF(OR(D864="STONE FACINGS LIMITED",D864="NORDIA SA",D864="INVICTUS STONE COUNTERTOPS INC",D864="QUARTZTOP LLC"),VLOOKUP(H864,'[2] Giá ngoài Mỹ - SI-GR'!$B$5:$AZ$84,51,0),IF(OR(D864="HYUNDAI L&amp;C CANADA INC",D864="Hyundai L&amp; C USA LLC"),VLOOKUP(H864,'[2]GIA HS'!A:D,4,0),IF(Y864="Mỹ",VLOOKUP(H864,'[2]giá mỹ từ 6.8.2025'!B:I,2,0),VLOOKUP(H864,'[2]giá ngoài mỹ 6.8.2025 (final)'!B:BP,51,0)))))</f>
        <v>68</v>
      </c>
      <c r="L864" s="106">
        <v>130.94999999999999</v>
      </c>
      <c r="M864" s="106">
        <f t="shared" si="53"/>
        <v>62.949999999999989</v>
      </c>
      <c r="N864" s="106">
        <v>130.94999999999999</v>
      </c>
      <c r="O864" s="107">
        <v>192.5</v>
      </c>
      <c r="P864" s="107">
        <v>26040</v>
      </c>
      <c r="Q864" s="107">
        <v>5012700</v>
      </c>
      <c r="R864" s="102"/>
      <c r="S864" s="108"/>
      <c r="T864" s="109" t="s">
        <v>30</v>
      </c>
      <c r="U864" s="109"/>
      <c r="V864" s="102"/>
      <c r="W864" s="109"/>
      <c r="X864" s="109"/>
      <c r="Y864" s="110" t="s">
        <v>290</v>
      </c>
      <c r="Z864" s="111" t="str">
        <f>MID(E864,4,2)</f>
        <v>CA</v>
      </c>
    </row>
    <row r="865" spans="1:26" s="111" customFormat="1" x14ac:dyDescent="0.2">
      <c r="A865" s="101">
        <v>46245</v>
      </c>
      <c r="B865" s="91" t="s">
        <v>1047</v>
      </c>
      <c r="C865" s="102" t="s">
        <v>1048</v>
      </c>
      <c r="D865" s="103" t="s">
        <v>26</v>
      </c>
      <c r="E865" s="91" t="s">
        <v>1049</v>
      </c>
      <c r="F865" s="91" t="s">
        <v>1050</v>
      </c>
      <c r="G865" s="91" t="s">
        <v>1051</v>
      </c>
      <c r="H865" s="104" t="str">
        <f t="shared" si="54"/>
        <v>F5115J20</v>
      </c>
      <c r="I865" s="104"/>
      <c r="J865" s="105">
        <v>1.47</v>
      </c>
      <c r="K865" s="106">
        <f>IF(D865="CAESARSTONE LTD",VLOOKUP(H865,'[2]GIA CA'!G:H,2,0),IF(OR(D865="STONE FACINGS LIMITED",D865="NORDIA SA",D865="INVICTUS STONE COUNTERTOPS INC",D865="QUARTZTOP LLC"),VLOOKUP(H865,'[2] Giá ngoài Mỹ - SI-GR'!$B$5:$AZ$84,51,0),IF(OR(D865="HYUNDAI L&amp;C CANADA INC",D865="Hyundai L&amp; C USA LLC"),VLOOKUP(H865,'[2]GIA HS'!A:D,4,0),IF(Y865="Mỹ",VLOOKUP(H865,'[2]giá mỹ từ 6.8.2025'!B:I,2,0),VLOOKUP(H865,'[2]giá ngoài mỹ 6.8.2025 (final)'!B:BP,51,0)))))</f>
        <v>68</v>
      </c>
      <c r="L865" s="106">
        <v>130.94999999999999</v>
      </c>
      <c r="M865" s="106">
        <f t="shared" si="53"/>
        <v>62.949999999999989</v>
      </c>
      <c r="N865" s="106">
        <v>130.94999999999999</v>
      </c>
      <c r="O865" s="107">
        <v>192.5</v>
      </c>
      <c r="P865" s="107">
        <v>26040</v>
      </c>
      <c r="Q865" s="107">
        <v>5012700</v>
      </c>
      <c r="R865" s="102"/>
      <c r="S865" s="108"/>
      <c r="T865" s="109" t="s">
        <v>30</v>
      </c>
      <c r="U865" s="109"/>
      <c r="V865" s="102"/>
      <c r="W865" s="109"/>
      <c r="X865" s="109"/>
      <c r="Y865" s="110" t="s">
        <v>290</v>
      </c>
      <c r="Z865" s="111" t="str">
        <f>MID(E865,4,2)</f>
        <v>CA</v>
      </c>
    </row>
    <row r="866" spans="1:26" s="111" customFormat="1" x14ac:dyDescent="0.2">
      <c r="A866" s="101">
        <v>46245</v>
      </c>
      <c r="B866" s="91" t="s">
        <v>1047</v>
      </c>
      <c r="C866" s="102" t="s">
        <v>1048</v>
      </c>
      <c r="D866" s="103" t="s">
        <v>26</v>
      </c>
      <c r="E866" s="91" t="s">
        <v>1049</v>
      </c>
      <c r="F866" s="91" t="s">
        <v>310</v>
      </c>
      <c r="G866" s="91" t="s">
        <v>311</v>
      </c>
      <c r="H866" s="104" t="str">
        <f t="shared" si="54"/>
        <v>F5441J20</v>
      </c>
      <c r="I866" s="104"/>
      <c r="J866" s="105">
        <v>1.47</v>
      </c>
      <c r="K866" s="106">
        <f>IF(D866="CAESARSTONE LTD",VLOOKUP(H866,'[2]GIA CA'!G:H,2,0),IF(OR(D866="STONE FACINGS LIMITED",D866="NORDIA SA",D866="INVICTUS STONE COUNTERTOPS INC",D866="QUARTZTOP LLC"),VLOOKUP(H866,'[2] Giá ngoài Mỹ - SI-GR'!$B$5:$AZ$84,51,0),IF(OR(D866="HYUNDAI L&amp;C CANADA INC",D866="Hyundai L&amp; C USA LLC"),VLOOKUP(H866,'[2]GIA HS'!A:D,4,0),IF(Y866="Mỹ",VLOOKUP(H866,'[2]giá mỹ từ 6.8.2025'!B:I,2,0),VLOOKUP(H866,'[2]giá ngoài mỹ 6.8.2025 (final)'!B:BP,51,0)))))</f>
        <v>74</v>
      </c>
      <c r="L866" s="106">
        <v>142.86000000000001</v>
      </c>
      <c r="M866" s="106">
        <f t="shared" si="53"/>
        <v>68.860000000000014</v>
      </c>
      <c r="N866" s="106">
        <v>142.86000000000001</v>
      </c>
      <c r="O866" s="107">
        <v>210</v>
      </c>
      <c r="P866" s="107">
        <v>26040</v>
      </c>
      <c r="Q866" s="107">
        <v>5468400</v>
      </c>
      <c r="R866" s="102"/>
      <c r="S866" s="108"/>
      <c r="T866" s="109" t="s">
        <v>30</v>
      </c>
      <c r="U866" s="109"/>
      <c r="V866" s="102"/>
      <c r="W866" s="109"/>
      <c r="X866" s="109"/>
      <c r="Y866" s="110" t="s">
        <v>290</v>
      </c>
      <c r="Z866" s="111" t="str">
        <f>MID(E866,4,2)</f>
        <v>CA</v>
      </c>
    </row>
    <row r="867" spans="1:26" s="111" customFormat="1" x14ac:dyDescent="0.2">
      <c r="A867" s="101">
        <v>46245</v>
      </c>
      <c r="B867" s="91" t="s">
        <v>1047</v>
      </c>
      <c r="C867" s="102" t="s">
        <v>1048</v>
      </c>
      <c r="D867" s="103" t="s">
        <v>26</v>
      </c>
      <c r="E867" s="91" t="s">
        <v>1049</v>
      </c>
      <c r="F867" s="91" t="s">
        <v>310</v>
      </c>
      <c r="G867" s="91" t="s">
        <v>311</v>
      </c>
      <c r="H867" s="104" t="str">
        <f t="shared" si="54"/>
        <v>F5441J20</v>
      </c>
      <c r="I867" s="104"/>
      <c r="J867" s="105">
        <v>2.94</v>
      </c>
      <c r="K867" s="106">
        <f>IF(D867="CAESARSTONE LTD",VLOOKUP(H867,'[2]GIA CA'!G:H,2,0),IF(OR(D867="STONE FACINGS LIMITED",D867="NORDIA SA",D867="INVICTUS STONE COUNTERTOPS INC",D867="QUARTZTOP LLC"),VLOOKUP(H867,'[2] Giá ngoài Mỹ - SI-GR'!$B$5:$AZ$84,51,0),IF(OR(D867="HYUNDAI L&amp;C CANADA INC",D867="Hyundai L&amp; C USA LLC"),VLOOKUP(H867,'[2]GIA HS'!A:D,4,0),IF(Y867="Mỹ",VLOOKUP(H867,'[2]giá mỹ từ 6.8.2025'!B:I,2,0),VLOOKUP(H867,'[2]giá ngoài mỹ 6.8.2025 (final)'!B:BP,51,0)))))</f>
        <v>74</v>
      </c>
      <c r="L867" s="106">
        <v>142.86000000000001</v>
      </c>
      <c r="M867" s="106">
        <f t="shared" si="53"/>
        <v>68.860000000000014</v>
      </c>
      <c r="N867" s="106">
        <v>142.86000000000001</v>
      </c>
      <c r="O867" s="107">
        <v>420</v>
      </c>
      <c r="P867" s="107">
        <v>26040</v>
      </c>
      <c r="Q867" s="107">
        <v>10936800</v>
      </c>
      <c r="R867" s="102"/>
      <c r="S867" s="108"/>
      <c r="T867" s="109" t="s">
        <v>30</v>
      </c>
      <c r="U867" s="109"/>
      <c r="V867" s="102"/>
      <c r="W867" s="109"/>
      <c r="X867" s="109"/>
      <c r="Y867" s="110" t="s">
        <v>290</v>
      </c>
      <c r="Z867" s="111" t="str">
        <f>MID(E867,4,2)</f>
        <v>CA</v>
      </c>
    </row>
    <row r="868" spans="1:26" s="111" customFormat="1" x14ac:dyDescent="0.2">
      <c r="A868" s="101">
        <v>46245</v>
      </c>
      <c r="B868" s="91" t="s">
        <v>1047</v>
      </c>
      <c r="C868" s="102" t="s">
        <v>1048</v>
      </c>
      <c r="D868" s="103" t="s">
        <v>26</v>
      </c>
      <c r="E868" s="91" t="s">
        <v>1049</v>
      </c>
      <c r="F868" s="91" t="s">
        <v>310</v>
      </c>
      <c r="G868" s="91" t="s">
        <v>311</v>
      </c>
      <c r="H868" s="104" t="str">
        <f t="shared" si="54"/>
        <v>F5441J20</v>
      </c>
      <c r="I868" s="104"/>
      <c r="J868" s="105">
        <v>1.47</v>
      </c>
      <c r="K868" s="106">
        <f>IF(D868="CAESARSTONE LTD",VLOOKUP(H868,'[2]GIA CA'!G:H,2,0),IF(OR(D868="STONE FACINGS LIMITED",D868="NORDIA SA",D868="INVICTUS STONE COUNTERTOPS INC",D868="QUARTZTOP LLC"),VLOOKUP(H868,'[2] Giá ngoài Mỹ - SI-GR'!$B$5:$AZ$84,51,0),IF(OR(D868="HYUNDAI L&amp;C CANADA INC",D868="Hyundai L&amp; C USA LLC"),VLOOKUP(H868,'[2]GIA HS'!A:D,4,0),IF(Y868="Mỹ",VLOOKUP(H868,'[2]giá mỹ từ 6.8.2025'!B:I,2,0),VLOOKUP(H868,'[2]giá ngoài mỹ 6.8.2025 (final)'!B:BP,51,0)))))</f>
        <v>74</v>
      </c>
      <c r="L868" s="106">
        <v>142.86000000000001</v>
      </c>
      <c r="M868" s="106">
        <f t="shared" si="53"/>
        <v>68.860000000000014</v>
      </c>
      <c r="N868" s="106">
        <v>142.86000000000001</v>
      </c>
      <c r="O868" s="107">
        <v>210</v>
      </c>
      <c r="P868" s="107">
        <v>26040</v>
      </c>
      <c r="Q868" s="107">
        <v>5468400</v>
      </c>
      <c r="R868" s="102"/>
      <c r="S868" s="108"/>
      <c r="T868" s="109" t="s">
        <v>30</v>
      </c>
      <c r="U868" s="109"/>
      <c r="V868" s="102"/>
      <c r="W868" s="109"/>
      <c r="X868" s="109"/>
      <c r="Y868" s="110" t="s">
        <v>290</v>
      </c>
      <c r="Z868" s="111" t="str">
        <f>MID(E868,4,2)</f>
        <v>CA</v>
      </c>
    </row>
    <row r="869" spans="1:26" s="111" customFormat="1" x14ac:dyDescent="0.2">
      <c r="A869" s="101">
        <v>46245</v>
      </c>
      <c r="B869" s="91" t="s">
        <v>1047</v>
      </c>
      <c r="C869" s="102" t="s">
        <v>1048</v>
      </c>
      <c r="D869" s="103" t="s">
        <v>26</v>
      </c>
      <c r="E869" s="91" t="s">
        <v>1049</v>
      </c>
      <c r="F869" s="91" t="s">
        <v>655</v>
      </c>
      <c r="G869" s="91" t="s">
        <v>656</v>
      </c>
      <c r="H869" s="104" t="str">
        <f t="shared" si="54"/>
        <v>F6134J20</v>
      </c>
      <c r="I869" s="104"/>
      <c r="J869" s="105">
        <v>1.47</v>
      </c>
      <c r="K869" s="106">
        <f>IF(D869="CAESARSTONE LTD",VLOOKUP(H869,'[2]GIA CA'!G:H,2,0),IF(OR(D869="STONE FACINGS LIMITED",D869="NORDIA SA",D869="INVICTUS STONE COUNTERTOPS INC",D869="QUARTZTOP LLC"),VLOOKUP(H869,'[2] Giá ngoài Mỹ - SI-GR'!$B$5:$AZ$84,51,0),IF(OR(D869="HYUNDAI L&amp;C CANADA INC",D869="Hyundai L&amp; C USA LLC"),VLOOKUP(H869,'[2]GIA HS'!A:D,4,0),IF(Y869="Mỹ",VLOOKUP(H869,'[2]giá mỹ từ 6.8.2025'!B:I,2,0),VLOOKUP(H869,'[2]giá ngoài mỹ 6.8.2025 (final)'!B:BP,51,0)))))</f>
        <v>62</v>
      </c>
      <c r="L869" s="106">
        <v>95.24</v>
      </c>
      <c r="M869" s="106">
        <f t="shared" si="53"/>
        <v>33.239999999999995</v>
      </c>
      <c r="N869" s="106">
        <v>95.24</v>
      </c>
      <c r="O869" s="107">
        <v>140</v>
      </c>
      <c r="P869" s="107">
        <v>26040</v>
      </c>
      <c r="Q869" s="107">
        <v>3645600</v>
      </c>
      <c r="R869" s="102"/>
      <c r="S869" s="108"/>
      <c r="T869" s="109" t="s">
        <v>30</v>
      </c>
      <c r="U869" s="109"/>
      <c r="V869" s="102"/>
      <c r="W869" s="109"/>
      <c r="X869" s="109"/>
      <c r="Y869" s="110" t="s">
        <v>290</v>
      </c>
      <c r="Z869" s="111" t="str">
        <f>MID(E869,4,2)</f>
        <v>CA</v>
      </c>
    </row>
    <row r="870" spans="1:26" s="111" customFormat="1" x14ac:dyDescent="0.2">
      <c r="A870" s="101">
        <v>46245</v>
      </c>
      <c r="B870" s="91" t="s">
        <v>1052</v>
      </c>
      <c r="C870" s="102" t="s">
        <v>1053</v>
      </c>
      <c r="D870" s="103" t="s">
        <v>26</v>
      </c>
      <c r="E870" s="91" t="s">
        <v>1054</v>
      </c>
      <c r="F870" s="91" t="s">
        <v>296</v>
      </c>
      <c r="G870" s="91" t="s">
        <v>297</v>
      </c>
      <c r="H870" s="104" t="str">
        <f t="shared" si="54"/>
        <v>F5130J20</v>
      </c>
      <c r="I870" s="104"/>
      <c r="J870" s="105">
        <v>239.58</v>
      </c>
      <c r="K870" s="106">
        <f>IF(D870="CAESARSTONE LTD",VLOOKUP(H870,'[2]GIA CA'!G:H,2,0),IF(OR(D870="STONE FACINGS LIMITED",D870="NORDIA SA",D870="INVICTUS STONE COUNTERTOPS INC",D870="QUARTZTOP LLC"),VLOOKUP(H870,'[2] Giá ngoài Mỹ - SI-GR'!$B$5:$AZ$84,51,0),IF(OR(D870="HYUNDAI L&amp;C CANADA INC",D870="Hyundai L&amp; C USA LLC"),VLOOKUP(H870,'[2]GIA HS'!A:D,4,0),IF(Y870="Mỹ",VLOOKUP(H870,'[2]giá mỹ từ 6.8.2025'!B:I,2,0),VLOOKUP(H870,'[2]giá ngoài mỹ 6.8.2025 (final)'!B:BP,51,0)))))</f>
        <v>62</v>
      </c>
      <c r="L870" s="106">
        <v>65.099999999999994</v>
      </c>
      <c r="M870" s="106">
        <f t="shared" si="53"/>
        <v>3.0999999999999943</v>
      </c>
      <c r="N870" s="106">
        <v>65.099999999999994</v>
      </c>
      <c r="O870" s="107">
        <v>15596.68</v>
      </c>
      <c r="P870" s="107">
        <v>26040</v>
      </c>
      <c r="Q870" s="107">
        <v>406137547</v>
      </c>
      <c r="R870" s="102" t="s">
        <v>30</v>
      </c>
      <c r="S870" s="108"/>
      <c r="T870" s="109"/>
      <c r="U870" s="109"/>
      <c r="V870" s="102"/>
      <c r="W870" s="109"/>
      <c r="X870" s="109"/>
      <c r="Y870" s="110" t="s">
        <v>290</v>
      </c>
      <c r="Z870" s="111" t="str">
        <f>MID(E870,4,2)</f>
        <v>CA</v>
      </c>
    </row>
    <row r="871" spans="1:26" s="111" customFormat="1" x14ac:dyDescent="0.2">
      <c r="A871" s="101">
        <v>46245</v>
      </c>
      <c r="B871" s="91" t="s">
        <v>1052</v>
      </c>
      <c r="C871" s="102" t="s">
        <v>1053</v>
      </c>
      <c r="D871" s="103" t="s">
        <v>26</v>
      </c>
      <c r="E871" s="91" t="s">
        <v>1054</v>
      </c>
      <c r="F871" s="91" t="s">
        <v>458</v>
      </c>
      <c r="G871" s="91" t="s">
        <v>459</v>
      </c>
      <c r="H871" s="104" t="str">
        <f t="shared" si="54"/>
        <v>F6131J20</v>
      </c>
      <c r="I871" s="104"/>
      <c r="J871" s="105">
        <v>239.58</v>
      </c>
      <c r="K871" s="106">
        <f>IF(D871="CAESARSTONE LTD",VLOOKUP(H871,'[2]GIA CA'!G:H,2,0),IF(OR(D871="STONE FACINGS LIMITED",D871="NORDIA SA",D871="INVICTUS STONE COUNTERTOPS INC",D871="QUARTZTOP LLC"),VLOOKUP(H871,'[2] Giá ngoài Mỹ - SI-GR'!$B$5:$AZ$84,51,0),IF(OR(D871="HYUNDAI L&amp;C CANADA INC",D871="Hyundai L&amp; C USA LLC"),VLOOKUP(H871,'[2]GIA HS'!A:D,4,0),IF(Y871="Mỹ",VLOOKUP(H871,'[2]giá mỹ từ 6.8.2025'!B:I,2,0),VLOOKUP(H871,'[2]giá ngoài mỹ 6.8.2025 (final)'!B:BP,51,0)))))</f>
        <v>62</v>
      </c>
      <c r="L871" s="106">
        <v>65.099999999999994</v>
      </c>
      <c r="M871" s="106">
        <f t="shared" si="53"/>
        <v>3.0999999999999943</v>
      </c>
      <c r="N871" s="106">
        <v>65.099999999999994</v>
      </c>
      <c r="O871" s="107">
        <v>15596.68</v>
      </c>
      <c r="P871" s="107">
        <v>26040</v>
      </c>
      <c r="Q871" s="107">
        <v>406137547</v>
      </c>
      <c r="R871" s="102" t="s">
        <v>30</v>
      </c>
      <c r="S871" s="108"/>
      <c r="T871" s="109"/>
      <c r="U871" s="109"/>
      <c r="V871" s="102"/>
      <c r="W871" s="109"/>
      <c r="X871" s="109"/>
      <c r="Y871" s="110" t="s">
        <v>290</v>
      </c>
      <c r="Z871" s="111" t="str">
        <f>MID(E871,4,2)</f>
        <v>CA</v>
      </c>
    </row>
    <row r="872" spans="1:26" s="111" customFormat="1" x14ac:dyDescent="0.2">
      <c r="A872" s="101">
        <v>46245</v>
      </c>
      <c r="B872" s="91" t="s">
        <v>1055</v>
      </c>
      <c r="C872" s="102" t="s">
        <v>1056</v>
      </c>
      <c r="D872" s="103" t="s">
        <v>26</v>
      </c>
      <c r="E872" s="91" t="s">
        <v>1057</v>
      </c>
      <c r="F872" s="91" t="s">
        <v>284</v>
      </c>
      <c r="G872" s="91" t="s">
        <v>283</v>
      </c>
      <c r="H872" s="104" t="str">
        <f t="shared" si="54"/>
        <v>F5100J20</v>
      </c>
      <c r="I872" s="104"/>
      <c r="J872" s="105">
        <v>239.58</v>
      </c>
      <c r="K872" s="106">
        <f>IF(D872="CAESARSTONE LTD",VLOOKUP(H872,'[2]GIA CA'!G:H,2,0),IF(OR(D872="STONE FACINGS LIMITED",D872="NORDIA SA",D872="INVICTUS STONE COUNTERTOPS INC",D872="QUARTZTOP LLC"),VLOOKUP(H872,'[2] Giá ngoài Mỹ - SI-GR'!$B$5:$AZ$84,51,0),IF(OR(D872="HYUNDAI L&amp;C CANADA INC",D872="Hyundai L&amp; C USA LLC"),VLOOKUP(H872,'[2]GIA HS'!A:D,4,0),IF(Y872="Mỹ",VLOOKUP(H872,'[2]giá mỹ từ 6.8.2025'!B:I,2,0),VLOOKUP(H872,'[2]giá ngoài mỹ 6.8.2025 (final)'!B:BP,51,0)))))</f>
        <v>62</v>
      </c>
      <c r="L872" s="106">
        <v>65.099999999999994</v>
      </c>
      <c r="M872" s="106">
        <f t="shared" si="53"/>
        <v>3.0999999999999943</v>
      </c>
      <c r="N872" s="106">
        <v>65.099999999999994</v>
      </c>
      <c r="O872" s="107">
        <v>15596.68</v>
      </c>
      <c r="P872" s="107">
        <v>26040</v>
      </c>
      <c r="Q872" s="107">
        <v>406137547</v>
      </c>
      <c r="R872" s="102" t="s">
        <v>30</v>
      </c>
      <c r="S872" s="108"/>
      <c r="T872" s="109"/>
      <c r="U872" s="109"/>
      <c r="V872" s="102"/>
      <c r="W872" s="109"/>
      <c r="X872" s="109"/>
      <c r="Y872" s="110" t="s">
        <v>290</v>
      </c>
      <c r="Z872" s="111" t="str">
        <f>MID(E872,4,2)</f>
        <v>CA</v>
      </c>
    </row>
    <row r="873" spans="1:26" s="111" customFormat="1" x14ac:dyDescent="0.2">
      <c r="A873" s="101">
        <v>46245</v>
      </c>
      <c r="B873" s="91" t="s">
        <v>1055</v>
      </c>
      <c r="C873" s="102" t="s">
        <v>1056</v>
      </c>
      <c r="D873" s="103" t="s">
        <v>26</v>
      </c>
      <c r="E873" s="91" t="s">
        <v>1057</v>
      </c>
      <c r="F873" s="91" t="s">
        <v>296</v>
      </c>
      <c r="G873" s="91" t="s">
        <v>297</v>
      </c>
      <c r="H873" s="104" t="str">
        <f t="shared" si="54"/>
        <v>F5130J20</v>
      </c>
      <c r="I873" s="104"/>
      <c r="J873" s="105">
        <v>239.58</v>
      </c>
      <c r="K873" s="106">
        <f>IF(D873="CAESARSTONE LTD",VLOOKUP(H873,'[2]GIA CA'!G:H,2,0),IF(OR(D873="STONE FACINGS LIMITED",D873="NORDIA SA",D873="INVICTUS STONE COUNTERTOPS INC",D873="QUARTZTOP LLC"),VLOOKUP(H873,'[2] Giá ngoài Mỹ - SI-GR'!$B$5:$AZ$84,51,0),IF(OR(D873="HYUNDAI L&amp;C CANADA INC",D873="Hyundai L&amp; C USA LLC"),VLOOKUP(H873,'[2]GIA HS'!A:D,4,0),IF(Y873="Mỹ",VLOOKUP(H873,'[2]giá mỹ từ 6.8.2025'!B:I,2,0),VLOOKUP(H873,'[2]giá ngoài mỹ 6.8.2025 (final)'!B:BP,51,0)))))</f>
        <v>62</v>
      </c>
      <c r="L873" s="106">
        <v>65.099999999999994</v>
      </c>
      <c r="M873" s="106">
        <f t="shared" si="53"/>
        <v>3.0999999999999943</v>
      </c>
      <c r="N873" s="106">
        <v>65.099999999999994</v>
      </c>
      <c r="O873" s="107">
        <v>15596.68</v>
      </c>
      <c r="P873" s="107">
        <v>26040</v>
      </c>
      <c r="Q873" s="107">
        <v>406137547</v>
      </c>
      <c r="R873" s="102" t="s">
        <v>30</v>
      </c>
      <c r="S873" s="108"/>
      <c r="T873" s="109"/>
      <c r="U873" s="109"/>
      <c r="V873" s="102"/>
      <c r="W873" s="109"/>
      <c r="X873" s="109"/>
      <c r="Y873" s="110" t="s">
        <v>290</v>
      </c>
      <c r="Z873" s="111" t="str">
        <f>MID(E873,4,2)</f>
        <v>CA</v>
      </c>
    </row>
    <row r="874" spans="1:26" s="111" customFormat="1" x14ac:dyDescent="0.2">
      <c r="A874" s="101">
        <v>46245</v>
      </c>
      <c r="B874" s="91" t="s">
        <v>1058</v>
      </c>
      <c r="C874" s="102" t="s">
        <v>1059</v>
      </c>
      <c r="D874" s="103" t="s">
        <v>26</v>
      </c>
      <c r="E874" s="91" t="s">
        <v>1060</v>
      </c>
      <c r="F874" s="91" t="s">
        <v>373</v>
      </c>
      <c r="G874" s="91" t="s">
        <v>374</v>
      </c>
      <c r="H874" s="104" t="str">
        <f t="shared" si="54"/>
        <v>C5212J13</v>
      </c>
      <c r="I874" s="104"/>
      <c r="J874" s="105">
        <v>304.92</v>
      </c>
      <c r="K874" s="106">
        <f>IF(D874="CAESARSTONE LTD",VLOOKUP(H874,'[2]GIA CA'!G:H,2,0),IF(OR(D874="STONE FACINGS LIMITED",D874="NORDIA SA",D874="INVICTUS STONE COUNTERTOPS INC",D874="QUARTZTOP LLC"),VLOOKUP(H874,'[2] Giá ngoài Mỹ - SI-GR'!$B$5:$AZ$84,51,0),IF(OR(D874="HYUNDAI L&amp;C CANADA INC",D874="Hyundai L&amp; C USA LLC"),VLOOKUP(H874,'[2]GIA HS'!A:D,4,0),IF(Y874="Mỹ",VLOOKUP(H874,'[2]giá mỹ từ 6.8.2025'!B:I,2,0),VLOOKUP(H874,'[2]giá ngoài mỹ 6.8.2025 (final)'!B:BP,51,0)))))</f>
        <v>50.15</v>
      </c>
      <c r="L874" s="106">
        <v>52.7</v>
      </c>
      <c r="M874" s="106">
        <f t="shared" si="53"/>
        <v>2.5500000000000043</v>
      </c>
      <c r="N874" s="106">
        <v>52.7</v>
      </c>
      <c r="O874" s="107">
        <v>16069.2</v>
      </c>
      <c r="P874" s="107">
        <v>26040</v>
      </c>
      <c r="Q874" s="107">
        <v>418441968</v>
      </c>
      <c r="R874" s="102" t="s">
        <v>30</v>
      </c>
      <c r="S874" s="108"/>
      <c r="T874" s="109"/>
      <c r="U874" s="109"/>
      <c r="V874" s="102"/>
      <c r="W874" s="109"/>
      <c r="X874" s="109"/>
      <c r="Y874" s="110" t="s">
        <v>358</v>
      </c>
      <c r="Z874" s="111" t="str">
        <f>MID(E874,4,2)</f>
        <v>CA</v>
      </c>
    </row>
    <row r="875" spans="1:26" s="111" customFormat="1" x14ac:dyDescent="0.2">
      <c r="A875" s="101">
        <v>46245</v>
      </c>
      <c r="B875" s="91" t="s">
        <v>1058</v>
      </c>
      <c r="C875" s="102" t="s">
        <v>1059</v>
      </c>
      <c r="D875" s="103" t="s">
        <v>26</v>
      </c>
      <c r="E875" s="91" t="s">
        <v>1060</v>
      </c>
      <c r="F875" s="91" t="s">
        <v>356</v>
      </c>
      <c r="G875" s="91" t="s">
        <v>357</v>
      </c>
      <c r="H875" s="104" t="str">
        <f t="shared" si="54"/>
        <v>C5222J20</v>
      </c>
      <c r="I875" s="104"/>
      <c r="J875" s="105">
        <v>266.81</v>
      </c>
      <c r="K875" s="106">
        <f t="shared" ref="K875:K879" si="56">+L875</f>
        <v>59.9</v>
      </c>
      <c r="L875" s="106">
        <v>59.9</v>
      </c>
      <c r="M875" s="106">
        <f t="shared" si="53"/>
        <v>0</v>
      </c>
      <c r="N875" s="106">
        <v>59.9</v>
      </c>
      <c r="O875" s="107">
        <v>15981.84</v>
      </c>
      <c r="P875" s="107">
        <v>26040</v>
      </c>
      <c r="Q875" s="107">
        <v>416167114</v>
      </c>
      <c r="R875" s="102" t="s">
        <v>30</v>
      </c>
      <c r="S875" s="108"/>
      <c r="T875" s="109"/>
      <c r="U875" s="109"/>
      <c r="V875" s="102"/>
      <c r="W875" s="109"/>
      <c r="X875" s="109"/>
      <c r="Y875" s="110" t="s">
        <v>358</v>
      </c>
      <c r="Z875" s="111" t="str">
        <f>MID(E875,4,2)</f>
        <v>CA</v>
      </c>
    </row>
    <row r="876" spans="1:26" s="111" customFormat="1" x14ac:dyDescent="0.2">
      <c r="A876" s="101">
        <v>46245</v>
      </c>
      <c r="B876" s="91" t="s">
        <v>1058</v>
      </c>
      <c r="C876" s="102" t="s">
        <v>1059</v>
      </c>
      <c r="D876" s="103" t="s">
        <v>26</v>
      </c>
      <c r="E876" s="91" t="s">
        <v>1060</v>
      </c>
      <c r="F876" s="91" t="s">
        <v>1061</v>
      </c>
      <c r="G876" s="91" t="s">
        <v>1062</v>
      </c>
      <c r="H876" s="104" t="str">
        <f t="shared" si="54"/>
        <v>C5222J30</v>
      </c>
      <c r="I876" s="104"/>
      <c r="J876" s="105">
        <v>38.119999999999997</v>
      </c>
      <c r="K876" s="106">
        <f t="shared" si="56"/>
        <v>74.790000000000006</v>
      </c>
      <c r="L876" s="106">
        <v>74.790000000000006</v>
      </c>
      <c r="M876" s="106">
        <f t="shared" si="53"/>
        <v>0</v>
      </c>
      <c r="N876" s="106">
        <v>74.790000000000006</v>
      </c>
      <c r="O876" s="107">
        <v>2851.03</v>
      </c>
      <c r="P876" s="107">
        <v>26040</v>
      </c>
      <c r="Q876" s="107">
        <v>74240821</v>
      </c>
      <c r="R876" s="102" t="s">
        <v>30</v>
      </c>
      <c r="S876" s="108"/>
      <c r="T876" s="109"/>
      <c r="U876" s="109"/>
      <c r="V876" s="102"/>
      <c r="W876" s="109"/>
      <c r="X876" s="109"/>
      <c r="Y876" s="110" t="s">
        <v>358</v>
      </c>
      <c r="Z876" s="111" t="str">
        <f>MID(E876,4,2)</f>
        <v>CA</v>
      </c>
    </row>
    <row r="877" spans="1:26" s="111" customFormat="1" x14ac:dyDescent="0.2">
      <c r="A877" s="101">
        <v>46245</v>
      </c>
      <c r="B877" s="91" t="s">
        <v>1058</v>
      </c>
      <c r="C877" s="102" t="s">
        <v>1059</v>
      </c>
      <c r="D877" s="103" t="s">
        <v>26</v>
      </c>
      <c r="E877" s="91" t="s">
        <v>1060</v>
      </c>
      <c r="F877" s="91" t="s">
        <v>1063</v>
      </c>
      <c r="G877" s="91" t="s">
        <v>1064</v>
      </c>
      <c r="H877" s="104" t="str">
        <f t="shared" si="54"/>
        <v>C4023J13</v>
      </c>
      <c r="I877" s="104"/>
      <c r="J877" s="105">
        <v>609.84</v>
      </c>
      <c r="K877" s="106">
        <f t="shared" si="56"/>
        <v>50.9</v>
      </c>
      <c r="L877" s="106">
        <v>50.9</v>
      </c>
      <c r="M877" s="106">
        <f t="shared" si="53"/>
        <v>0</v>
      </c>
      <c r="N877" s="106">
        <v>50.9</v>
      </c>
      <c r="O877" s="107">
        <v>31040.799999999999</v>
      </c>
      <c r="P877" s="107">
        <v>26040</v>
      </c>
      <c r="Q877" s="107">
        <v>808302432</v>
      </c>
      <c r="R877" s="102" t="s">
        <v>30</v>
      </c>
      <c r="S877" s="108"/>
      <c r="T877" s="109"/>
      <c r="U877" s="109"/>
      <c r="V877" s="102"/>
      <c r="W877" s="109"/>
      <c r="X877" s="109"/>
      <c r="Y877" s="110" t="s">
        <v>358</v>
      </c>
      <c r="Z877" s="111" t="str">
        <f>MID(E877,4,2)</f>
        <v>CA</v>
      </c>
    </row>
    <row r="878" spans="1:26" s="111" customFormat="1" x14ac:dyDescent="0.2">
      <c r="A878" s="101">
        <v>46245</v>
      </c>
      <c r="B878" s="91" t="s">
        <v>1058</v>
      </c>
      <c r="C878" s="102" t="s">
        <v>1059</v>
      </c>
      <c r="D878" s="103" t="s">
        <v>26</v>
      </c>
      <c r="E878" s="91" t="s">
        <v>1060</v>
      </c>
      <c r="F878" s="91" t="s">
        <v>1061</v>
      </c>
      <c r="G878" s="91" t="s">
        <v>1062</v>
      </c>
      <c r="H878" s="104" t="str">
        <f t="shared" si="54"/>
        <v>C5222J30</v>
      </c>
      <c r="I878" s="104"/>
      <c r="J878" s="105">
        <v>38.119999999999997</v>
      </c>
      <c r="K878" s="106">
        <f t="shared" si="56"/>
        <v>74.790000000000006</v>
      </c>
      <c r="L878" s="106">
        <v>74.790000000000006</v>
      </c>
      <c r="M878" s="106">
        <f t="shared" si="53"/>
        <v>0</v>
      </c>
      <c r="N878" s="106">
        <v>74.790000000000006</v>
      </c>
      <c r="O878" s="107">
        <v>2851.03</v>
      </c>
      <c r="P878" s="107">
        <v>26040</v>
      </c>
      <c r="Q878" s="107">
        <v>74240821</v>
      </c>
      <c r="R878" s="102" t="s">
        <v>30</v>
      </c>
      <c r="S878" s="108"/>
      <c r="T878" s="109"/>
      <c r="U878" s="109"/>
      <c r="V878" s="102"/>
      <c r="W878" s="109"/>
      <c r="X878" s="109"/>
      <c r="Y878" s="110" t="s">
        <v>358</v>
      </c>
      <c r="Z878" s="111" t="str">
        <f>MID(E878,4,2)</f>
        <v>CA</v>
      </c>
    </row>
    <row r="879" spans="1:26" s="111" customFormat="1" x14ac:dyDescent="0.2">
      <c r="A879" s="101">
        <v>46245</v>
      </c>
      <c r="B879" s="91" t="s">
        <v>1058</v>
      </c>
      <c r="C879" s="102" t="s">
        <v>1059</v>
      </c>
      <c r="D879" s="103" t="s">
        <v>26</v>
      </c>
      <c r="E879" s="91" t="s">
        <v>1060</v>
      </c>
      <c r="F879" s="91" t="s">
        <v>1045</v>
      </c>
      <c r="G879" s="91" t="s">
        <v>1046</v>
      </c>
      <c r="H879" s="104" t="str">
        <f t="shared" si="54"/>
        <v>C6003J20</v>
      </c>
      <c r="I879" s="104"/>
      <c r="J879" s="105">
        <v>54.45</v>
      </c>
      <c r="K879" s="106">
        <f t="shared" si="56"/>
        <v>59.9</v>
      </c>
      <c r="L879" s="106">
        <v>59.9</v>
      </c>
      <c r="M879" s="106">
        <f t="shared" si="53"/>
        <v>0</v>
      </c>
      <c r="N879" s="106">
        <v>59.9</v>
      </c>
      <c r="O879" s="107">
        <v>3261.6</v>
      </c>
      <c r="P879" s="107">
        <v>26040</v>
      </c>
      <c r="Q879" s="107">
        <v>84932064</v>
      </c>
      <c r="R879" s="102" t="s">
        <v>30</v>
      </c>
      <c r="S879" s="108"/>
      <c r="T879" s="109"/>
      <c r="U879" s="109"/>
      <c r="V879" s="102"/>
      <c r="W879" s="109"/>
      <c r="X879" s="109"/>
      <c r="Y879" s="110" t="s">
        <v>358</v>
      </c>
      <c r="Z879" s="111" t="str">
        <f>MID(E879,4,2)</f>
        <v>CA</v>
      </c>
    </row>
    <row r="880" spans="1:26" s="111" customFormat="1" x14ac:dyDescent="0.2">
      <c r="A880" s="101">
        <v>46245</v>
      </c>
      <c r="B880" s="91" t="s">
        <v>1065</v>
      </c>
      <c r="C880" s="102" t="s">
        <v>1066</v>
      </c>
      <c r="D880" s="103" t="s">
        <v>26</v>
      </c>
      <c r="E880" s="91" t="s">
        <v>1067</v>
      </c>
      <c r="F880" s="91" t="s">
        <v>124</v>
      </c>
      <c r="G880" s="91" t="s">
        <v>113</v>
      </c>
      <c r="H880" s="104" t="str">
        <f t="shared" si="54"/>
        <v>C5212J20</v>
      </c>
      <c r="I880" s="104"/>
      <c r="J880" s="105">
        <v>272.25</v>
      </c>
      <c r="K880" s="106">
        <f>IF(D880="CAESARSTONE LTD",VLOOKUP(H880,'[2]GIA CA'!G:H,2,0),IF(OR(D880="STONE FACINGS LIMITED",D880="NORDIA SA",D880="INVICTUS STONE COUNTERTOPS INC",D880="QUARTZTOP LLC"),VLOOKUP(H880,'[2] Giá ngoài Mỹ - SI-GR'!$B$5:$AZ$84,51,0),IF(OR(D880="HYUNDAI L&amp;C CANADA INC",D880="Hyundai L&amp; C USA LLC"),VLOOKUP(H880,'[2]GIA HS'!A:D,4,0),IF(Y880="Mỹ",VLOOKUP(H880,'[2]giá mỹ từ 6.8.2025'!B:I,2,0),VLOOKUP(H880,'[2]giá ngoài mỹ 6.8.2025 (final)'!B:BP,51,0)))))</f>
        <v>59</v>
      </c>
      <c r="L880" s="106">
        <v>62</v>
      </c>
      <c r="M880" s="106">
        <f t="shared" si="53"/>
        <v>3</v>
      </c>
      <c r="N880" s="106">
        <v>62</v>
      </c>
      <c r="O880" s="107">
        <v>16879.5</v>
      </c>
      <c r="P880" s="107">
        <v>26040</v>
      </c>
      <c r="Q880" s="107">
        <v>439542180</v>
      </c>
      <c r="R880" s="102" t="s">
        <v>30</v>
      </c>
      <c r="S880" s="108"/>
      <c r="T880" s="109"/>
      <c r="U880" s="109"/>
      <c r="V880" s="102"/>
      <c r="W880" s="109"/>
      <c r="X880" s="109"/>
      <c r="Y880" s="110" t="s">
        <v>1068</v>
      </c>
      <c r="Z880" s="111" t="str">
        <f>MID(E880,4,2)</f>
        <v>CA</v>
      </c>
    </row>
    <row r="881" spans="1:26" s="111" customFormat="1" x14ac:dyDescent="0.2">
      <c r="A881" s="101">
        <v>46245</v>
      </c>
      <c r="B881" s="91" t="s">
        <v>1065</v>
      </c>
      <c r="C881" s="102" t="s">
        <v>1066</v>
      </c>
      <c r="D881" s="103" t="s">
        <v>26</v>
      </c>
      <c r="E881" s="91" t="s">
        <v>1067</v>
      </c>
      <c r="F881" s="91" t="s">
        <v>1069</v>
      </c>
      <c r="G881" s="91" t="s">
        <v>1000</v>
      </c>
      <c r="H881" s="104" t="str">
        <f t="shared" si="54"/>
        <v>F5144J20</v>
      </c>
      <c r="I881" s="104"/>
      <c r="J881" s="105">
        <v>10.89</v>
      </c>
      <c r="K881" s="106">
        <f>IF(D881="CAESARSTONE LTD",VLOOKUP(H881,'[2]GIA CA'!G:H,2,0),IF(OR(D881="STONE FACINGS LIMITED",D881="NORDIA SA",D881="INVICTUS STONE COUNTERTOPS INC",D881="QUARTZTOP LLC"),VLOOKUP(H881,'[2] Giá ngoài Mỹ - SI-GR'!$B$5:$AZ$84,51,0),IF(OR(D881="HYUNDAI L&amp;C CANADA INC",D881="Hyundai L&amp; C USA LLC"),VLOOKUP(H881,'[2]GIA HS'!A:D,4,0),IF(Y881="Mỹ",VLOOKUP(H881,'[2]giá mỹ từ 6.8.2025'!B:I,2,0),VLOOKUP(H881,'[2]giá ngoài mỹ 6.8.2025 (final)'!B:BP,51,0)))))</f>
        <v>62</v>
      </c>
      <c r="L881" s="106">
        <v>65.099999999999994</v>
      </c>
      <c r="M881" s="106">
        <f t="shared" si="53"/>
        <v>3.0999999999999943</v>
      </c>
      <c r="N881" s="106">
        <v>65.099999999999994</v>
      </c>
      <c r="O881" s="107">
        <v>708.94</v>
      </c>
      <c r="P881" s="107">
        <v>26040</v>
      </c>
      <c r="Q881" s="107">
        <v>18460798</v>
      </c>
      <c r="R881" s="102" t="s">
        <v>30</v>
      </c>
      <c r="S881" s="108"/>
      <c r="T881" s="109"/>
      <c r="U881" s="109"/>
      <c r="V881" s="102"/>
      <c r="W881" s="109"/>
      <c r="X881" s="109"/>
      <c r="Y881" s="110" t="s">
        <v>1068</v>
      </c>
      <c r="Z881" s="111" t="str">
        <f>MID(E881,4,2)</f>
        <v>CA</v>
      </c>
    </row>
    <row r="882" spans="1:26" s="111" customFormat="1" x14ac:dyDescent="0.2">
      <c r="A882" s="101">
        <v>46245</v>
      </c>
      <c r="B882" s="91" t="s">
        <v>1065</v>
      </c>
      <c r="C882" s="102" t="s">
        <v>1066</v>
      </c>
      <c r="D882" s="103" t="s">
        <v>26</v>
      </c>
      <c r="E882" s="91" t="s">
        <v>1067</v>
      </c>
      <c r="F882" s="91" t="s">
        <v>999</v>
      </c>
      <c r="G882" s="91" t="s">
        <v>1000</v>
      </c>
      <c r="H882" s="104" t="str">
        <f t="shared" si="54"/>
        <v>F5144J20</v>
      </c>
      <c r="I882" s="104"/>
      <c r="J882" s="105">
        <v>206.91</v>
      </c>
      <c r="K882" s="106">
        <f>IF(D882="CAESARSTONE LTD",VLOOKUP(H882,'[2]GIA CA'!G:H,2,0),IF(OR(D882="STONE FACINGS LIMITED",D882="NORDIA SA",D882="INVICTUS STONE COUNTERTOPS INC",D882="QUARTZTOP LLC"),VLOOKUP(H882,'[2] Giá ngoài Mỹ - SI-GR'!$B$5:$AZ$84,51,0),IF(OR(D882="HYUNDAI L&amp;C CANADA INC",D882="Hyundai L&amp; C USA LLC"),VLOOKUP(H882,'[2]GIA HS'!A:D,4,0),IF(Y882="Mỹ",VLOOKUP(H882,'[2]giá mỹ từ 6.8.2025'!B:I,2,0),VLOOKUP(H882,'[2]giá ngoài mỹ 6.8.2025 (final)'!B:BP,51,0)))))</f>
        <v>62</v>
      </c>
      <c r="L882" s="106">
        <v>65.099999999999994</v>
      </c>
      <c r="M882" s="106">
        <f t="shared" si="53"/>
        <v>3.0999999999999943</v>
      </c>
      <c r="N882" s="106">
        <v>65.099999999999994</v>
      </c>
      <c r="O882" s="107">
        <v>13469.86</v>
      </c>
      <c r="P882" s="107">
        <v>26040</v>
      </c>
      <c r="Q882" s="107">
        <v>350755154</v>
      </c>
      <c r="R882" s="102" t="s">
        <v>30</v>
      </c>
      <c r="S882" s="108"/>
      <c r="T882" s="109"/>
      <c r="U882" s="109"/>
      <c r="V882" s="102"/>
      <c r="W882" s="109"/>
      <c r="X882" s="109"/>
      <c r="Y882" s="110" t="s">
        <v>1068</v>
      </c>
      <c r="Z882" s="111" t="str">
        <f>MID(E882,4,2)</f>
        <v>CA</v>
      </c>
    </row>
    <row r="883" spans="1:26" s="111" customFormat="1" x14ac:dyDescent="0.2">
      <c r="A883" s="101">
        <v>46246</v>
      </c>
      <c r="B883" s="91" t="s">
        <v>1070</v>
      </c>
      <c r="C883" s="102" t="s">
        <v>1071</v>
      </c>
      <c r="D883" s="103" t="s">
        <v>26</v>
      </c>
      <c r="E883" s="91" t="s">
        <v>1072</v>
      </c>
      <c r="F883" s="91" t="s">
        <v>1073</v>
      </c>
      <c r="G883" s="91" t="s">
        <v>1074</v>
      </c>
      <c r="H883" s="104" t="str">
        <f t="shared" si="54"/>
        <v>C5151J20</v>
      </c>
      <c r="I883" s="104"/>
      <c r="J883" s="105">
        <v>2</v>
      </c>
      <c r="K883" s="106"/>
      <c r="L883" s="106">
        <v>0</v>
      </c>
      <c r="M883" s="106">
        <f t="shared" si="53"/>
        <v>0</v>
      </c>
      <c r="N883" s="106">
        <v>131</v>
      </c>
      <c r="O883" s="107">
        <v>262</v>
      </c>
      <c r="P883" s="107">
        <v>26040</v>
      </c>
      <c r="Q883" s="107">
        <v>6822480</v>
      </c>
      <c r="R883" s="102"/>
      <c r="S883" s="108"/>
      <c r="T883" s="109"/>
      <c r="U883" s="109" t="s">
        <v>30</v>
      </c>
      <c r="V883" s="102"/>
      <c r="W883" s="109"/>
      <c r="X883" s="109"/>
      <c r="Y883" s="110" t="s">
        <v>932</v>
      </c>
      <c r="Z883" s="111" t="str">
        <f>MID(E883,4,2)</f>
        <v>CA</v>
      </c>
    </row>
    <row r="884" spans="1:26" s="111" customFormat="1" x14ac:dyDescent="0.2">
      <c r="A884" s="101">
        <v>46246</v>
      </c>
      <c r="B884" s="91" t="s">
        <v>1070</v>
      </c>
      <c r="C884" s="102" t="s">
        <v>1071</v>
      </c>
      <c r="D884" s="103" t="s">
        <v>26</v>
      </c>
      <c r="E884" s="91" t="s">
        <v>1072</v>
      </c>
      <c r="F884" s="91" t="s">
        <v>991</v>
      </c>
      <c r="G884" s="91" t="s">
        <v>992</v>
      </c>
      <c r="H884" s="104" t="str">
        <f t="shared" si="54"/>
        <v>C4023J30</v>
      </c>
      <c r="I884" s="104"/>
      <c r="J884" s="105">
        <v>59.9</v>
      </c>
      <c r="K884" s="106">
        <f>+L884</f>
        <v>74.790000000000006</v>
      </c>
      <c r="L884" s="106">
        <v>74.790000000000006</v>
      </c>
      <c r="M884" s="106">
        <f t="shared" si="53"/>
        <v>0</v>
      </c>
      <c r="N884" s="106">
        <v>74.790000000000006</v>
      </c>
      <c r="O884" s="107">
        <v>4480.1899999999996</v>
      </c>
      <c r="P884" s="107">
        <v>26040</v>
      </c>
      <c r="Q884" s="107">
        <v>116664148</v>
      </c>
      <c r="R884" s="102" t="s">
        <v>30</v>
      </c>
      <c r="S884" s="108"/>
      <c r="T884" s="109"/>
      <c r="U884" s="109"/>
      <c r="V884" s="102"/>
      <c r="W884" s="109"/>
      <c r="X884" s="109"/>
      <c r="Y884" s="110" t="s">
        <v>932</v>
      </c>
      <c r="Z884" s="111" t="str">
        <f>MID(E884,4,2)</f>
        <v>CA</v>
      </c>
    </row>
    <row r="885" spans="1:26" s="111" customFormat="1" x14ac:dyDescent="0.2">
      <c r="A885" s="101">
        <v>46246</v>
      </c>
      <c r="B885" s="91" t="s">
        <v>1070</v>
      </c>
      <c r="C885" s="102" t="s">
        <v>1071</v>
      </c>
      <c r="D885" s="103" t="s">
        <v>26</v>
      </c>
      <c r="E885" s="91" t="s">
        <v>1072</v>
      </c>
      <c r="F885" s="91" t="s">
        <v>77</v>
      </c>
      <c r="G885" s="91" t="s">
        <v>78</v>
      </c>
      <c r="H885" s="104" t="str">
        <f t="shared" si="54"/>
        <v>C5212J30</v>
      </c>
      <c r="I885" s="104"/>
      <c r="J885" s="105">
        <v>228.69</v>
      </c>
      <c r="K885" s="106">
        <f>IF(D885="CAESARSTONE LTD",VLOOKUP(H885,'[2]GIA CA'!G:H,2,0),IF(OR(D885="STONE FACINGS LIMITED",D885="NORDIA SA",D885="INVICTUS STONE COUNTERTOPS INC",D885="QUARTZTOP LLC"),VLOOKUP(H885,'[2] Giá ngoài Mỹ - SI-GR'!$B$5:$AZ$84,51,0),IF(OR(D885="HYUNDAI L&amp;C CANADA INC",D885="Hyundai L&amp; C USA LLC"),VLOOKUP(H885,'[2]GIA HS'!A:D,4,0),IF(Y885="Mỹ",VLOOKUP(H885,'[2]giá mỹ từ 6.8.2025'!B:I,2,0),VLOOKUP(H885,'[2]giá ngoài mỹ 6.8.2025 (final)'!B:BP,51,0)))))</f>
        <v>73.75</v>
      </c>
      <c r="L885" s="106">
        <v>77.400000000000006</v>
      </c>
      <c r="M885" s="106">
        <f t="shared" si="53"/>
        <v>3.6500000000000057</v>
      </c>
      <c r="N885" s="106">
        <v>77.400000000000006</v>
      </c>
      <c r="O885" s="107">
        <v>17700.48</v>
      </c>
      <c r="P885" s="107">
        <v>26040</v>
      </c>
      <c r="Q885" s="107">
        <v>460920499</v>
      </c>
      <c r="R885" s="102" t="s">
        <v>30</v>
      </c>
      <c r="S885" s="108"/>
      <c r="T885" s="109"/>
      <c r="U885" s="109"/>
      <c r="V885" s="102"/>
      <c r="W885" s="109"/>
      <c r="X885" s="109"/>
      <c r="Y885" s="110" t="s">
        <v>932</v>
      </c>
      <c r="Z885" s="111" t="str">
        <f>MID(E885,4,2)</f>
        <v>CA</v>
      </c>
    </row>
    <row r="886" spans="1:26" s="111" customFormat="1" x14ac:dyDescent="0.2">
      <c r="A886" s="101">
        <v>46246</v>
      </c>
      <c r="B886" s="91" t="s">
        <v>1070</v>
      </c>
      <c r="C886" s="102" t="s">
        <v>1071</v>
      </c>
      <c r="D886" s="103" t="s">
        <v>26</v>
      </c>
      <c r="E886" s="91" t="s">
        <v>1072</v>
      </c>
      <c r="F886" s="91" t="s">
        <v>1075</v>
      </c>
      <c r="G886" s="91" t="s">
        <v>1076</v>
      </c>
      <c r="H886" s="104" t="str">
        <f t="shared" si="54"/>
        <v>F5143J30</v>
      </c>
      <c r="I886" s="104"/>
      <c r="J886" s="105">
        <v>10.89</v>
      </c>
      <c r="K886" s="106">
        <v>20</v>
      </c>
      <c r="L886" s="106">
        <v>40.700000000000003</v>
      </c>
      <c r="M886" s="106">
        <f t="shared" si="53"/>
        <v>20.700000000000003</v>
      </c>
      <c r="N886" s="106">
        <v>40.700000000000003</v>
      </c>
      <c r="O886" s="106">
        <v>443.22</v>
      </c>
      <c r="P886" s="107">
        <v>26040</v>
      </c>
      <c r="Q886" s="107">
        <v>11541449</v>
      </c>
      <c r="R886" s="102" t="s">
        <v>30</v>
      </c>
      <c r="S886" s="108"/>
      <c r="T886" s="109"/>
      <c r="U886" s="109"/>
      <c r="V886" s="102"/>
      <c r="W886" s="109"/>
      <c r="X886" s="109"/>
      <c r="Y886" s="110" t="s">
        <v>932</v>
      </c>
      <c r="Z886" s="111" t="str">
        <f>MID(E886,4,2)</f>
        <v>CA</v>
      </c>
    </row>
    <row r="887" spans="1:26" s="111" customFormat="1" x14ac:dyDescent="0.2">
      <c r="A887" s="101">
        <v>46246</v>
      </c>
      <c r="B887" s="91" t="s">
        <v>1077</v>
      </c>
      <c r="C887" s="102" t="s">
        <v>1078</v>
      </c>
      <c r="D887" s="103" t="s">
        <v>26</v>
      </c>
      <c r="E887" s="91" t="s">
        <v>1079</v>
      </c>
      <c r="F887" s="91" t="s">
        <v>1080</v>
      </c>
      <c r="G887" s="91" t="s">
        <v>1081</v>
      </c>
      <c r="H887" s="104" t="str">
        <f t="shared" si="54"/>
        <v>F4011J20</v>
      </c>
      <c r="I887" s="104"/>
      <c r="J887" s="105">
        <v>2.94</v>
      </c>
      <c r="K887" s="106">
        <f t="shared" ref="K887:K889" si="57">+L887</f>
        <v>95.24</v>
      </c>
      <c r="L887" s="106">
        <v>95.24</v>
      </c>
      <c r="M887" s="106">
        <f t="shared" si="53"/>
        <v>0</v>
      </c>
      <c r="N887" s="106">
        <v>95.24</v>
      </c>
      <c r="O887" s="106">
        <v>280</v>
      </c>
      <c r="P887" s="107">
        <v>26040</v>
      </c>
      <c r="Q887" s="107">
        <v>7291200</v>
      </c>
      <c r="R887" s="102"/>
      <c r="S887" s="108"/>
      <c r="T887" s="109" t="s">
        <v>30</v>
      </c>
      <c r="U887" s="109"/>
      <c r="V887" s="102"/>
      <c r="W887" s="109"/>
      <c r="X887" s="109"/>
      <c r="Y887" s="110" t="s">
        <v>290</v>
      </c>
      <c r="Z887" s="111" t="str">
        <f>MID(E887,4,2)</f>
        <v>CA</v>
      </c>
    </row>
    <row r="888" spans="1:26" s="111" customFormat="1" x14ac:dyDescent="0.2">
      <c r="A888" s="101">
        <v>46246</v>
      </c>
      <c r="B888" s="91" t="s">
        <v>1077</v>
      </c>
      <c r="C888" s="102" t="s">
        <v>1078</v>
      </c>
      <c r="D888" s="103" t="s">
        <v>26</v>
      </c>
      <c r="E888" s="91" t="s">
        <v>1079</v>
      </c>
      <c r="F888" s="91" t="s">
        <v>288</v>
      </c>
      <c r="G888" s="91" t="s">
        <v>289</v>
      </c>
      <c r="H888" s="104" t="str">
        <f t="shared" si="54"/>
        <v>F4044J20</v>
      </c>
      <c r="I888" s="104"/>
      <c r="J888" s="105">
        <v>1.47</v>
      </c>
      <c r="K888" s="106">
        <f t="shared" si="57"/>
        <v>95.24</v>
      </c>
      <c r="L888" s="106">
        <v>95.24</v>
      </c>
      <c r="M888" s="106">
        <f t="shared" si="53"/>
        <v>0</v>
      </c>
      <c r="N888" s="106">
        <v>95.24</v>
      </c>
      <c r="O888" s="106">
        <v>140</v>
      </c>
      <c r="P888" s="107">
        <v>26040</v>
      </c>
      <c r="Q888" s="107">
        <v>3645600</v>
      </c>
      <c r="R888" s="102"/>
      <c r="S888" s="108"/>
      <c r="T888" s="109" t="s">
        <v>30</v>
      </c>
      <c r="U888" s="109"/>
      <c r="V888" s="102"/>
      <c r="W888" s="109"/>
      <c r="X888" s="109"/>
      <c r="Y888" s="110" t="s">
        <v>290</v>
      </c>
      <c r="Z888" s="111" t="str">
        <f>MID(E888,4,2)</f>
        <v>CA</v>
      </c>
    </row>
    <row r="889" spans="1:26" s="111" customFormat="1" x14ac:dyDescent="0.2">
      <c r="A889" s="101">
        <v>46246</v>
      </c>
      <c r="B889" s="91" t="s">
        <v>1077</v>
      </c>
      <c r="C889" s="102" t="s">
        <v>1078</v>
      </c>
      <c r="D889" s="103" t="s">
        <v>26</v>
      </c>
      <c r="E889" s="91" t="s">
        <v>1079</v>
      </c>
      <c r="F889" s="91" t="s">
        <v>288</v>
      </c>
      <c r="G889" s="91" t="s">
        <v>289</v>
      </c>
      <c r="H889" s="104" t="str">
        <f t="shared" si="54"/>
        <v>F4044J20</v>
      </c>
      <c r="I889" s="104"/>
      <c r="J889" s="105">
        <v>1.47</v>
      </c>
      <c r="K889" s="106">
        <f t="shared" si="57"/>
        <v>95.24</v>
      </c>
      <c r="L889" s="106">
        <v>95.24</v>
      </c>
      <c r="M889" s="106">
        <f t="shared" si="53"/>
        <v>0</v>
      </c>
      <c r="N889" s="106">
        <v>95.24</v>
      </c>
      <c r="O889" s="106">
        <v>140</v>
      </c>
      <c r="P889" s="107">
        <v>26040</v>
      </c>
      <c r="Q889" s="107">
        <v>3645600</v>
      </c>
      <c r="R889" s="102"/>
      <c r="S889" s="108"/>
      <c r="T889" s="109" t="s">
        <v>30</v>
      </c>
      <c r="U889" s="109"/>
      <c r="V889" s="102"/>
      <c r="W889" s="109"/>
      <c r="X889" s="109"/>
      <c r="Y889" s="110" t="s">
        <v>290</v>
      </c>
      <c r="Z889" s="111" t="str">
        <f>MID(E889,4,2)</f>
        <v>CA</v>
      </c>
    </row>
    <row r="890" spans="1:26" s="111" customFormat="1" x14ac:dyDescent="0.2">
      <c r="A890" s="101">
        <v>46246</v>
      </c>
      <c r="B890" s="91" t="s">
        <v>1077</v>
      </c>
      <c r="C890" s="102" t="s">
        <v>1078</v>
      </c>
      <c r="D890" s="103" t="s">
        <v>26</v>
      </c>
      <c r="E890" s="91" t="s">
        <v>1079</v>
      </c>
      <c r="F890" s="91" t="s">
        <v>1082</v>
      </c>
      <c r="G890" s="91" t="s">
        <v>1083</v>
      </c>
      <c r="H890" s="104" t="str">
        <f t="shared" si="54"/>
        <v>F4001J20</v>
      </c>
      <c r="I890" s="104"/>
      <c r="J890" s="105">
        <v>2.94</v>
      </c>
      <c r="K890" s="106">
        <f>IF(D890="CAESARSTONE LTD",VLOOKUP(H890,'[2]GIA CA'!G:H,2,0),IF(OR(D890="STONE FACINGS LIMITED",D890="NORDIA SA",D890="INVICTUS STONE COUNTERTOPS INC",D890="QUARTZTOP LLC"),VLOOKUP(H890,'[2] Giá ngoài Mỹ - SI-GR'!$B$5:$AZ$84,51,0),IF(OR(D890="HYUNDAI L&amp;C CANADA INC",D890="Hyundai L&amp; C USA LLC"),VLOOKUP(H890,'[2]GIA HS'!A:D,4,0),IF(Y890="Mỹ",VLOOKUP(H890,'[2]giá mỹ từ 6.8.2025'!B:I,2,0),VLOOKUP(H890,'[2]giá ngoài mỹ 6.8.2025 (final)'!B:BP,51,0)))))</f>
        <v>58</v>
      </c>
      <c r="L890" s="106">
        <v>95.24</v>
      </c>
      <c r="M890" s="106">
        <f t="shared" si="53"/>
        <v>37.239999999999995</v>
      </c>
      <c r="N890" s="106">
        <v>95.24</v>
      </c>
      <c r="O890" s="106">
        <v>280</v>
      </c>
      <c r="P890" s="107">
        <v>26040</v>
      </c>
      <c r="Q890" s="107">
        <v>7291200</v>
      </c>
      <c r="R890" s="102"/>
      <c r="S890" s="108"/>
      <c r="T890" s="109" t="s">
        <v>30</v>
      </c>
      <c r="U890" s="109"/>
      <c r="V890" s="102"/>
      <c r="W890" s="109"/>
      <c r="X890" s="109"/>
      <c r="Y890" s="110" t="s">
        <v>290</v>
      </c>
      <c r="Z890" s="111" t="str">
        <f>MID(E890,4,2)</f>
        <v>CA</v>
      </c>
    </row>
    <row r="891" spans="1:26" s="111" customFormat="1" x14ac:dyDescent="0.2">
      <c r="A891" s="101">
        <v>46246</v>
      </c>
      <c r="B891" s="91" t="s">
        <v>1077</v>
      </c>
      <c r="C891" s="102" t="s">
        <v>1078</v>
      </c>
      <c r="D891" s="103" t="s">
        <v>26</v>
      </c>
      <c r="E891" s="91" t="s">
        <v>1079</v>
      </c>
      <c r="F891" s="91" t="s">
        <v>1080</v>
      </c>
      <c r="G891" s="91" t="s">
        <v>1081</v>
      </c>
      <c r="H891" s="104" t="str">
        <f t="shared" si="54"/>
        <v>F4011J20</v>
      </c>
      <c r="I891" s="104"/>
      <c r="J891" s="105">
        <v>2.94</v>
      </c>
      <c r="K891" s="106">
        <f t="shared" ref="K891:K892" si="58">+L891</f>
        <v>95.24</v>
      </c>
      <c r="L891" s="106">
        <v>95.24</v>
      </c>
      <c r="M891" s="106">
        <f t="shared" si="53"/>
        <v>0</v>
      </c>
      <c r="N891" s="106">
        <v>95.24</v>
      </c>
      <c r="O891" s="106">
        <v>280</v>
      </c>
      <c r="P891" s="107">
        <v>26040</v>
      </c>
      <c r="Q891" s="107">
        <v>7291200</v>
      </c>
      <c r="R891" s="102"/>
      <c r="S891" s="108"/>
      <c r="T891" s="109" t="s">
        <v>30</v>
      </c>
      <c r="U891" s="109"/>
      <c r="V891" s="102"/>
      <c r="W891" s="109"/>
      <c r="X891" s="109"/>
      <c r="Y891" s="110" t="s">
        <v>290</v>
      </c>
      <c r="Z891" s="111" t="str">
        <f>MID(E891,4,2)</f>
        <v>CA</v>
      </c>
    </row>
    <row r="892" spans="1:26" s="111" customFormat="1" x14ac:dyDescent="0.2">
      <c r="A892" s="101">
        <v>46246</v>
      </c>
      <c r="B892" s="91" t="s">
        <v>1077</v>
      </c>
      <c r="C892" s="102" t="s">
        <v>1078</v>
      </c>
      <c r="D892" s="103" t="s">
        <v>26</v>
      </c>
      <c r="E892" s="91" t="s">
        <v>1079</v>
      </c>
      <c r="F892" s="91" t="s">
        <v>1080</v>
      </c>
      <c r="G892" s="91" t="s">
        <v>1081</v>
      </c>
      <c r="H892" s="104" t="str">
        <f t="shared" si="54"/>
        <v>F4011J20</v>
      </c>
      <c r="I892" s="104"/>
      <c r="J892" s="105">
        <v>2.94</v>
      </c>
      <c r="K892" s="106">
        <f t="shared" si="58"/>
        <v>95.24</v>
      </c>
      <c r="L892" s="106">
        <v>95.24</v>
      </c>
      <c r="M892" s="106">
        <f t="shared" si="53"/>
        <v>0</v>
      </c>
      <c r="N892" s="106">
        <v>95.24</v>
      </c>
      <c r="O892" s="106">
        <v>280</v>
      </c>
      <c r="P892" s="107">
        <v>26040</v>
      </c>
      <c r="Q892" s="107">
        <v>7291200</v>
      </c>
      <c r="R892" s="102"/>
      <c r="S892" s="108"/>
      <c r="T892" s="109" t="s">
        <v>30</v>
      </c>
      <c r="U892" s="109"/>
      <c r="V892" s="102"/>
      <c r="W892" s="109"/>
      <c r="X892" s="109"/>
      <c r="Y892" s="110" t="s">
        <v>290</v>
      </c>
      <c r="Z892" s="111" t="str">
        <f>MID(E892,4,2)</f>
        <v>CA</v>
      </c>
    </row>
    <row r="893" spans="1:26" s="111" customFormat="1" x14ac:dyDescent="0.2">
      <c r="A893" s="101">
        <v>46246</v>
      </c>
      <c r="B893" s="91" t="s">
        <v>1077</v>
      </c>
      <c r="C893" s="102" t="s">
        <v>1078</v>
      </c>
      <c r="D893" s="103" t="s">
        <v>26</v>
      </c>
      <c r="E893" s="91" t="s">
        <v>1079</v>
      </c>
      <c r="F893" s="91" t="s">
        <v>301</v>
      </c>
      <c r="G893" s="91" t="s">
        <v>302</v>
      </c>
      <c r="H893" s="104" t="str">
        <f t="shared" si="54"/>
        <v>F5105J20</v>
      </c>
      <c r="I893" s="104"/>
      <c r="J893" s="105">
        <v>1.47</v>
      </c>
      <c r="K893" s="106">
        <f>IF(D893="CAESARSTONE LTD",VLOOKUP(H893,'[2]GIA CA'!G:H,2,0),IF(OR(D893="STONE FACINGS LIMITED",D893="NORDIA SA",D893="INVICTUS STONE COUNTERTOPS INC",D893="QUARTZTOP LLC"),VLOOKUP(H893,'[2] Giá ngoài Mỹ - SI-GR'!$B$5:$AZ$84,51,0),IF(OR(D893="HYUNDAI L&amp;C CANADA INC",D893="Hyundai L&amp; C USA LLC"),VLOOKUP(H893,'[2]GIA HS'!A:D,4,0),IF(Y893="Mỹ",VLOOKUP(H893,'[2]giá mỹ từ 6.8.2025'!B:I,2,0),VLOOKUP(H893,'[2]giá ngoài mỹ 6.8.2025 (final)'!B:BP,51,0)))))</f>
        <v>68</v>
      </c>
      <c r="L893" s="106">
        <v>130.94999999999999</v>
      </c>
      <c r="M893" s="106">
        <f t="shared" si="53"/>
        <v>62.949999999999989</v>
      </c>
      <c r="N893" s="106">
        <v>130.94999999999999</v>
      </c>
      <c r="O893" s="106">
        <v>192.5</v>
      </c>
      <c r="P893" s="107">
        <v>26040</v>
      </c>
      <c r="Q893" s="107">
        <v>5012700</v>
      </c>
      <c r="R893" s="102"/>
      <c r="S893" s="108"/>
      <c r="T893" s="109" t="s">
        <v>30</v>
      </c>
      <c r="U893" s="109"/>
      <c r="V893" s="102"/>
      <c r="W893" s="109"/>
      <c r="X893" s="109"/>
      <c r="Y893" s="110" t="s">
        <v>290</v>
      </c>
      <c r="Z893" s="111" t="str">
        <f>MID(E893,4,2)</f>
        <v>CA</v>
      </c>
    </row>
    <row r="894" spans="1:26" s="111" customFormat="1" x14ac:dyDescent="0.2">
      <c r="A894" s="101">
        <v>46246</v>
      </c>
      <c r="B894" s="91" t="s">
        <v>1077</v>
      </c>
      <c r="C894" s="102" t="s">
        <v>1078</v>
      </c>
      <c r="D894" s="103" t="s">
        <v>26</v>
      </c>
      <c r="E894" s="91" t="s">
        <v>1079</v>
      </c>
      <c r="F894" s="91" t="s">
        <v>301</v>
      </c>
      <c r="G894" s="91" t="s">
        <v>302</v>
      </c>
      <c r="H894" s="104" t="str">
        <f t="shared" si="54"/>
        <v>F5105J20</v>
      </c>
      <c r="I894" s="104"/>
      <c r="J894" s="105">
        <v>1.47</v>
      </c>
      <c r="K894" s="106">
        <f>IF(D894="CAESARSTONE LTD",VLOOKUP(H894,'[2]GIA CA'!G:H,2,0),IF(OR(D894="STONE FACINGS LIMITED",D894="NORDIA SA",D894="INVICTUS STONE COUNTERTOPS INC",D894="QUARTZTOP LLC"),VLOOKUP(H894,'[2] Giá ngoài Mỹ - SI-GR'!$B$5:$AZ$84,51,0),IF(OR(D894="HYUNDAI L&amp;C CANADA INC",D894="Hyundai L&amp; C USA LLC"),VLOOKUP(H894,'[2]GIA HS'!A:D,4,0),IF(Y894="Mỹ",VLOOKUP(H894,'[2]giá mỹ từ 6.8.2025'!B:I,2,0),VLOOKUP(H894,'[2]giá ngoài mỹ 6.8.2025 (final)'!B:BP,51,0)))))</f>
        <v>68</v>
      </c>
      <c r="L894" s="106">
        <v>130.94999999999999</v>
      </c>
      <c r="M894" s="106">
        <f t="shared" si="53"/>
        <v>62.949999999999989</v>
      </c>
      <c r="N894" s="106">
        <v>130.94999999999999</v>
      </c>
      <c r="O894" s="106">
        <v>192.5</v>
      </c>
      <c r="P894" s="107">
        <v>26040</v>
      </c>
      <c r="Q894" s="107">
        <v>5012700</v>
      </c>
      <c r="R894" s="102"/>
      <c r="S894" s="108"/>
      <c r="T894" s="109" t="s">
        <v>30</v>
      </c>
      <c r="U894" s="109"/>
      <c r="V894" s="102"/>
      <c r="W894" s="109"/>
      <c r="X894" s="109"/>
      <c r="Y894" s="110" t="s">
        <v>290</v>
      </c>
      <c r="Z894" s="111" t="str">
        <f>MID(E894,4,2)</f>
        <v>CA</v>
      </c>
    </row>
    <row r="895" spans="1:26" s="111" customFormat="1" x14ac:dyDescent="0.2">
      <c r="A895" s="101">
        <v>46246</v>
      </c>
      <c r="B895" s="91" t="s">
        <v>1077</v>
      </c>
      <c r="C895" s="102" t="s">
        <v>1078</v>
      </c>
      <c r="D895" s="103" t="s">
        <v>26</v>
      </c>
      <c r="E895" s="91" t="s">
        <v>1079</v>
      </c>
      <c r="F895" s="91" t="s">
        <v>310</v>
      </c>
      <c r="G895" s="91" t="s">
        <v>311</v>
      </c>
      <c r="H895" s="104" t="str">
        <f t="shared" si="54"/>
        <v>F5441J20</v>
      </c>
      <c r="I895" s="104"/>
      <c r="J895" s="105">
        <v>2.94</v>
      </c>
      <c r="K895" s="106">
        <f>IF(D895="CAESARSTONE LTD",VLOOKUP(H895,'[2]GIA CA'!G:H,2,0),IF(OR(D895="STONE FACINGS LIMITED",D895="NORDIA SA",D895="INVICTUS STONE COUNTERTOPS INC",D895="QUARTZTOP LLC"),VLOOKUP(H895,'[2] Giá ngoài Mỹ - SI-GR'!$B$5:$AZ$84,51,0),IF(OR(D895="HYUNDAI L&amp;C CANADA INC",D895="Hyundai L&amp; C USA LLC"),VLOOKUP(H895,'[2]GIA HS'!A:D,4,0),IF(Y895="Mỹ",VLOOKUP(H895,'[2]giá mỹ từ 6.8.2025'!B:I,2,0),VLOOKUP(H895,'[2]giá ngoài mỹ 6.8.2025 (final)'!B:BP,51,0)))))</f>
        <v>74</v>
      </c>
      <c r="L895" s="106">
        <v>142.86000000000001</v>
      </c>
      <c r="M895" s="106">
        <f t="shared" si="53"/>
        <v>68.860000000000014</v>
      </c>
      <c r="N895" s="106">
        <v>142.86000000000001</v>
      </c>
      <c r="O895" s="106">
        <v>420</v>
      </c>
      <c r="P895" s="107">
        <v>26040</v>
      </c>
      <c r="Q895" s="107">
        <v>10936800</v>
      </c>
      <c r="R895" s="102"/>
      <c r="S895" s="108"/>
      <c r="T895" s="109" t="s">
        <v>30</v>
      </c>
      <c r="U895" s="109"/>
      <c r="V895" s="102"/>
      <c r="W895" s="109"/>
      <c r="X895" s="109"/>
      <c r="Y895" s="110" t="s">
        <v>290</v>
      </c>
      <c r="Z895" s="111" t="str">
        <f>MID(E895,4,2)</f>
        <v>CA</v>
      </c>
    </row>
    <row r="896" spans="1:26" s="111" customFormat="1" x14ac:dyDescent="0.2">
      <c r="A896" s="101">
        <v>46246</v>
      </c>
      <c r="B896" s="91" t="s">
        <v>1077</v>
      </c>
      <c r="C896" s="102" t="s">
        <v>1078</v>
      </c>
      <c r="D896" s="103" t="s">
        <v>26</v>
      </c>
      <c r="E896" s="91" t="s">
        <v>1079</v>
      </c>
      <c r="F896" s="91" t="s">
        <v>310</v>
      </c>
      <c r="G896" s="91" t="s">
        <v>311</v>
      </c>
      <c r="H896" s="104" t="str">
        <f t="shared" si="54"/>
        <v>F5441J20</v>
      </c>
      <c r="I896" s="104"/>
      <c r="J896" s="105">
        <v>2.94</v>
      </c>
      <c r="K896" s="106">
        <f>IF(D896="CAESARSTONE LTD",VLOOKUP(H896,'[2]GIA CA'!G:H,2,0),IF(OR(D896="STONE FACINGS LIMITED",D896="NORDIA SA",D896="INVICTUS STONE COUNTERTOPS INC",D896="QUARTZTOP LLC"),VLOOKUP(H896,'[2] Giá ngoài Mỹ - SI-GR'!$B$5:$AZ$84,51,0),IF(OR(D896="HYUNDAI L&amp;C CANADA INC",D896="Hyundai L&amp; C USA LLC"),VLOOKUP(H896,'[2]GIA HS'!A:D,4,0),IF(Y896="Mỹ",VLOOKUP(H896,'[2]giá mỹ từ 6.8.2025'!B:I,2,0),VLOOKUP(H896,'[2]giá ngoài mỹ 6.8.2025 (final)'!B:BP,51,0)))))</f>
        <v>74</v>
      </c>
      <c r="L896" s="106">
        <v>142.86000000000001</v>
      </c>
      <c r="M896" s="106">
        <f t="shared" si="53"/>
        <v>68.860000000000014</v>
      </c>
      <c r="N896" s="106">
        <v>142.86000000000001</v>
      </c>
      <c r="O896" s="106">
        <v>420</v>
      </c>
      <c r="P896" s="107">
        <v>26040</v>
      </c>
      <c r="Q896" s="107">
        <v>10936800</v>
      </c>
      <c r="R896" s="102"/>
      <c r="S896" s="108"/>
      <c r="T896" s="109" t="s">
        <v>30</v>
      </c>
      <c r="U896" s="109"/>
      <c r="V896" s="102"/>
      <c r="W896" s="109"/>
      <c r="X896" s="109"/>
      <c r="Y896" s="110" t="s">
        <v>290</v>
      </c>
      <c r="Z896" s="111" t="str">
        <f>MID(E896,4,2)</f>
        <v>CA</v>
      </c>
    </row>
    <row r="897" spans="1:26" s="111" customFormat="1" x14ac:dyDescent="0.2">
      <c r="A897" s="101">
        <v>46246</v>
      </c>
      <c r="B897" s="91" t="s">
        <v>1077</v>
      </c>
      <c r="C897" s="102" t="s">
        <v>1078</v>
      </c>
      <c r="D897" s="103" t="s">
        <v>26</v>
      </c>
      <c r="E897" s="91" t="s">
        <v>1079</v>
      </c>
      <c r="F897" s="91" t="s">
        <v>655</v>
      </c>
      <c r="G897" s="91" t="s">
        <v>656</v>
      </c>
      <c r="H897" s="104" t="str">
        <f t="shared" si="54"/>
        <v>F6134J20</v>
      </c>
      <c r="I897" s="104"/>
      <c r="J897" s="105">
        <v>1.47</v>
      </c>
      <c r="K897" s="106">
        <f>IF(D897="CAESARSTONE LTD",VLOOKUP(H897,'[2]GIA CA'!G:H,2,0),IF(OR(D897="STONE FACINGS LIMITED",D897="NORDIA SA",D897="INVICTUS STONE COUNTERTOPS INC",D897="QUARTZTOP LLC"),VLOOKUP(H897,'[2] Giá ngoài Mỹ - SI-GR'!$B$5:$AZ$84,51,0),IF(OR(D897="HYUNDAI L&amp;C CANADA INC",D897="Hyundai L&amp; C USA LLC"),VLOOKUP(H897,'[2]GIA HS'!A:D,4,0),IF(Y897="Mỹ",VLOOKUP(H897,'[2]giá mỹ từ 6.8.2025'!B:I,2,0),VLOOKUP(H897,'[2]giá ngoài mỹ 6.8.2025 (final)'!B:BP,51,0)))))</f>
        <v>62</v>
      </c>
      <c r="L897" s="106">
        <v>95.24</v>
      </c>
      <c r="M897" s="106">
        <f t="shared" si="53"/>
        <v>33.239999999999995</v>
      </c>
      <c r="N897" s="106">
        <v>95.24</v>
      </c>
      <c r="O897" s="106">
        <v>140</v>
      </c>
      <c r="P897" s="107">
        <v>26040</v>
      </c>
      <c r="Q897" s="107">
        <v>3645600</v>
      </c>
      <c r="R897" s="102"/>
      <c r="S897" s="108"/>
      <c r="T897" s="109" t="s">
        <v>30</v>
      </c>
      <c r="U897" s="109"/>
      <c r="V897" s="102"/>
      <c r="W897" s="109"/>
      <c r="X897" s="109"/>
      <c r="Y897" s="110" t="s">
        <v>290</v>
      </c>
      <c r="Z897" s="111" t="str">
        <f>MID(E897,4,2)</f>
        <v>CA</v>
      </c>
    </row>
    <row r="898" spans="1:26" s="111" customFormat="1" x14ac:dyDescent="0.2">
      <c r="A898" s="101">
        <v>46246</v>
      </c>
      <c r="B898" s="91" t="s">
        <v>1077</v>
      </c>
      <c r="C898" s="102" t="s">
        <v>1078</v>
      </c>
      <c r="D898" s="103" t="s">
        <v>26</v>
      </c>
      <c r="E898" s="91" t="s">
        <v>1079</v>
      </c>
      <c r="F898" s="91" t="s">
        <v>296</v>
      </c>
      <c r="G898" s="91" t="s">
        <v>297</v>
      </c>
      <c r="H898" s="104" t="str">
        <f t="shared" si="54"/>
        <v>F5130J20</v>
      </c>
      <c r="I898" s="104"/>
      <c r="J898" s="105">
        <v>479.16</v>
      </c>
      <c r="K898" s="106">
        <f>IF(D898="CAESARSTONE LTD",VLOOKUP(H898,'[2]GIA CA'!G:H,2,0),IF(OR(D898="STONE FACINGS LIMITED",D898="NORDIA SA",D898="INVICTUS STONE COUNTERTOPS INC",D898="QUARTZTOP LLC"),VLOOKUP(H898,'[2] Giá ngoài Mỹ - SI-GR'!$B$5:$AZ$84,51,0),IF(OR(D898="HYUNDAI L&amp;C CANADA INC",D898="Hyundai L&amp; C USA LLC"),VLOOKUP(H898,'[2]GIA HS'!A:D,4,0),IF(Y898="Mỹ",VLOOKUP(H898,'[2]giá mỹ từ 6.8.2025'!B:I,2,0),VLOOKUP(H898,'[2]giá ngoài mỹ 6.8.2025 (final)'!B:BP,51,0)))))</f>
        <v>62</v>
      </c>
      <c r="L898" s="106">
        <v>63.55</v>
      </c>
      <c r="M898" s="106">
        <f t="shared" si="53"/>
        <v>1.5499999999999972</v>
      </c>
      <c r="N898" s="106">
        <v>63.55</v>
      </c>
      <c r="O898" s="107">
        <v>30450.639999999999</v>
      </c>
      <c r="P898" s="107">
        <v>26040</v>
      </c>
      <c r="Q898" s="107">
        <v>792934666</v>
      </c>
      <c r="R898" s="102" t="s">
        <v>30</v>
      </c>
      <c r="S898" s="108"/>
      <c r="T898" s="109"/>
      <c r="U898" s="109"/>
      <c r="V898" s="102"/>
      <c r="W898" s="109"/>
      <c r="X898" s="109"/>
      <c r="Y898" s="110" t="s">
        <v>290</v>
      </c>
      <c r="Z898" s="111" t="str">
        <f>MID(E898,4,2)</f>
        <v>CA</v>
      </c>
    </row>
    <row r="899" spans="1:26" s="111" customFormat="1" x14ac:dyDescent="0.2">
      <c r="A899" s="101">
        <v>46246</v>
      </c>
      <c r="B899" s="91" t="s">
        <v>1077</v>
      </c>
      <c r="C899" s="102" t="s">
        <v>1078</v>
      </c>
      <c r="D899" s="103" t="s">
        <v>26</v>
      </c>
      <c r="E899" s="91" t="s">
        <v>1079</v>
      </c>
      <c r="F899" s="91" t="s">
        <v>296</v>
      </c>
      <c r="G899" s="91" t="s">
        <v>297</v>
      </c>
      <c r="H899" s="104" t="str">
        <f t="shared" si="54"/>
        <v>F5130J20</v>
      </c>
      <c r="I899" s="104"/>
      <c r="J899" s="105">
        <v>479.16</v>
      </c>
      <c r="K899" s="106">
        <f>IF(D899="CAESARSTONE LTD",VLOOKUP(H899,'[2]GIA CA'!G:H,2,0),IF(OR(D899="STONE FACINGS LIMITED",D899="NORDIA SA",D899="INVICTUS STONE COUNTERTOPS INC",D899="QUARTZTOP LLC"),VLOOKUP(H899,'[2] Giá ngoài Mỹ - SI-GR'!$B$5:$AZ$84,51,0),IF(OR(D899="HYUNDAI L&amp;C CANADA INC",D899="Hyundai L&amp; C USA LLC"),VLOOKUP(H899,'[2]GIA HS'!A:D,4,0),IF(Y899="Mỹ",VLOOKUP(H899,'[2]giá mỹ từ 6.8.2025'!B:I,2,0),VLOOKUP(H899,'[2]giá ngoài mỹ 6.8.2025 (final)'!B:BP,51,0)))))</f>
        <v>62</v>
      </c>
      <c r="L899" s="106">
        <v>63.55</v>
      </c>
      <c r="M899" s="106">
        <f t="shared" si="53"/>
        <v>1.5499999999999972</v>
      </c>
      <c r="N899" s="106">
        <v>63.55</v>
      </c>
      <c r="O899" s="107">
        <v>30450.639999999999</v>
      </c>
      <c r="P899" s="107">
        <v>26040</v>
      </c>
      <c r="Q899" s="107">
        <v>792934666</v>
      </c>
      <c r="R899" s="102" t="s">
        <v>30</v>
      </c>
      <c r="S899" s="108"/>
      <c r="T899" s="109"/>
      <c r="U899" s="109"/>
      <c r="V899" s="102"/>
      <c r="W899" s="109"/>
      <c r="X899" s="109"/>
      <c r="Y899" s="110" t="s">
        <v>290</v>
      </c>
      <c r="Z899" s="111" t="str">
        <f>MID(E899,4,2)</f>
        <v>CA</v>
      </c>
    </row>
    <row r="900" spans="1:26" s="111" customFormat="1" x14ac:dyDescent="0.2">
      <c r="A900" s="101">
        <v>46246</v>
      </c>
      <c r="B900" s="91" t="s">
        <v>1084</v>
      </c>
      <c r="C900" s="102" t="s">
        <v>1085</v>
      </c>
      <c r="D900" s="103" t="s">
        <v>26</v>
      </c>
      <c r="E900" s="91" t="s">
        <v>1086</v>
      </c>
      <c r="F900" s="91" t="s">
        <v>296</v>
      </c>
      <c r="G900" s="91" t="s">
        <v>297</v>
      </c>
      <c r="H900" s="104" t="str">
        <f t="shared" si="54"/>
        <v>F5130J20</v>
      </c>
      <c r="I900" s="104"/>
      <c r="J900" s="105">
        <v>479.16</v>
      </c>
      <c r="K900" s="106">
        <f>IF(D900="CAESARSTONE LTD",VLOOKUP(H900,'[2]GIA CA'!G:H,2,0),IF(OR(D900="STONE FACINGS LIMITED",D900="NORDIA SA",D900="INVICTUS STONE COUNTERTOPS INC",D900="QUARTZTOP LLC"),VLOOKUP(H900,'[2] Giá ngoài Mỹ - SI-GR'!$B$5:$AZ$84,51,0),IF(OR(D900="HYUNDAI L&amp;C CANADA INC",D900="Hyundai L&amp; C USA LLC"),VLOOKUP(H900,'[2]GIA HS'!A:D,4,0),IF(Y900="Mỹ",VLOOKUP(H900,'[2]giá mỹ từ 6.8.2025'!B:I,2,0),VLOOKUP(H900,'[2]giá ngoài mỹ 6.8.2025 (final)'!B:BP,51,0)))))</f>
        <v>62</v>
      </c>
      <c r="L900" s="106">
        <v>62</v>
      </c>
      <c r="M900" s="106">
        <f t="shared" si="53"/>
        <v>0</v>
      </c>
      <c r="N900" s="106">
        <v>62</v>
      </c>
      <c r="O900" s="107">
        <v>29707.919999999998</v>
      </c>
      <c r="P900" s="107">
        <v>26040</v>
      </c>
      <c r="Q900" s="107">
        <v>773594237</v>
      </c>
      <c r="R900" s="102" t="s">
        <v>30</v>
      </c>
      <c r="S900" s="108"/>
      <c r="T900" s="109"/>
      <c r="U900" s="109"/>
      <c r="V900" s="102"/>
      <c r="W900" s="109"/>
      <c r="X900" s="109"/>
      <c r="Y900" s="110" t="s">
        <v>290</v>
      </c>
      <c r="Z900" s="111" t="str">
        <f>MID(E900,4,2)</f>
        <v>CA</v>
      </c>
    </row>
    <row r="901" spans="1:26" s="111" customFormat="1" x14ac:dyDescent="0.2">
      <c r="A901" s="101">
        <v>46246</v>
      </c>
      <c r="B901" s="91" t="s">
        <v>1084</v>
      </c>
      <c r="C901" s="102" t="s">
        <v>1085</v>
      </c>
      <c r="D901" s="103" t="s">
        <v>26</v>
      </c>
      <c r="E901" s="91" t="s">
        <v>1086</v>
      </c>
      <c r="F901" s="91" t="s">
        <v>296</v>
      </c>
      <c r="G901" s="91" t="s">
        <v>297</v>
      </c>
      <c r="H901" s="104" t="str">
        <f t="shared" si="54"/>
        <v>F5130J20</v>
      </c>
      <c r="I901" s="104"/>
      <c r="J901" s="105">
        <v>457.38</v>
      </c>
      <c r="K901" s="106">
        <f>IF(D901="CAESARSTONE LTD",VLOOKUP(H901,'[2]GIA CA'!G:H,2,0),IF(OR(D901="STONE FACINGS LIMITED",D901="NORDIA SA",D901="INVICTUS STONE COUNTERTOPS INC",D901="QUARTZTOP LLC"),VLOOKUP(H901,'[2] Giá ngoài Mỹ - SI-GR'!$B$5:$AZ$84,51,0),IF(OR(D901="HYUNDAI L&amp;C CANADA INC",D901="Hyundai L&amp; C USA LLC"),VLOOKUP(H901,'[2]GIA HS'!A:D,4,0),IF(Y901="Mỹ",VLOOKUP(H901,'[2]giá mỹ từ 6.8.2025'!B:I,2,0),VLOOKUP(H901,'[2]giá ngoài mỹ 6.8.2025 (final)'!B:BP,51,0)))))</f>
        <v>62</v>
      </c>
      <c r="L901" s="106">
        <v>62</v>
      </c>
      <c r="M901" s="106">
        <f t="shared" si="53"/>
        <v>0</v>
      </c>
      <c r="N901" s="106">
        <v>62</v>
      </c>
      <c r="O901" s="107">
        <v>28357.56</v>
      </c>
      <c r="P901" s="107">
        <v>26040</v>
      </c>
      <c r="Q901" s="107">
        <v>738430862</v>
      </c>
      <c r="R901" s="102" t="s">
        <v>30</v>
      </c>
      <c r="S901" s="108"/>
      <c r="T901" s="109"/>
      <c r="U901" s="109"/>
      <c r="V901" s="102"/>
      <c r="W901" s="109"/>
      <c r="X901" s="109"/>
      <c r="Y901" s="110" t="s">
        <v>290</v>
      </c>
      <c r="Z901" s="111" t="str">
        <f>MID(E901,4,2)</f>
        <v>CA</v>
      </c>
    </row>
    <row r="902" spans="1:26" s="111" customFormat="1" x14ac:dyDescent="0.2">
      <c r="A902" s="101">
        <v>46246</v>
      </c>
      <c r="B902" s="91" t="s">
        <v>1084</v>
      </c>
      <c r="C902" s="102" t="s">
        <v>1085</v>
      </c>
      <c r="D902" s="103" t="s">
        <v>26</v>
      </c>
      <c r="E902" s="91" t="s">
        <v>1086</v>
      </c>
      <c r="F902" s="91" t="s">
        <v>569</v>
      </c>
      <c r="G902" s="91" t="s">
        <v>570</v>
      </c>
      <c r="H902" s="104" t="str">
        <f t="shared" si="54"/>
        <v>F5130J20</v>
      </c>
      <c r="I902" s="104"/>
      <c r="J902" s="105">
        <v>21.78</v>
      </c>
      <c r="K902" s="106">
        <v>20</v>
      </c>
      <c r="L902" s="106">
        <v>31</v>
      </c>
      <c r="M902" s="106">
        <f t="shared" si="53"/>
        <v>11</v>
      </c>
      <c r="N902" s="106">
        <v>31</v>
      </c>
      <c r="O902" s="106">
        <v>675.2</v>
      </c>
      <c r="P902" s="107">
        <v>26040</v>
      </c>
      <c r="Q902" s="107">
        <v>17582208</v>
      </c>
      <c r="R902" s="102" t="s">
        <v>30</v>
      </c>
      <c r="S902" s="108"/>
      <c r="T902" s="109"/>
      <c r="U902" s="109"/>
      <c r="V902" s="102"/>
      <c r="W902" s="109"/>
      <c r="X902" s="109"/>
      <c r="Y902" s="110" t="s">
        <v>290</v>
      </c>
      <c r="Z902" s="111" t="str">
        <f>MID(E902,4,2)</f>
        <v>CA</v>
      </c>
    </row>
    <row r="903" spans="1:26" s="111" customFormat="1" x14ac:dyDescent="0.2">
      <c r="A903" s="101">
        <v>46246</v>
      </c>
      <c r="B903" s="91" t="s">
        <v>1087</v>
      </c>
      <c r="C903" s="102" t="s">
        <v>1088</v>
      </c>
      <c r="D903" s="103" t="s">
        <v>26</v>
      </c>
      <c r="E903" s="91" t="s">
        <v>1089</v>
      </c>
      <c r="F903" s="91" t="s">
        <v>296</v>
      </c>
      <c r="G903" s="91" t="s">
        <v>297</v>
      </c>
      <c r="H903" s="104" t="str">
        <f t="shared" si="54"/>
        <v>F5130J20</v>
      </c>
      <c r="I903" s="104"/>
      <c r="J903" s="105">
        <v>479.16</v>
      </c>
      <c r="K903" s="106">
        <f>IF(D903="CAESARSTONE LTD",VLOOKUP(H903,'[2]GIA CA'!G:H,2,0),IF(OR(D903="STONE FACINGS LIMITED",D903="NORDIA SA",D903="INVICTUS STONE COUNTERTOPS INC",D903="QUARTZTOP LLC"),VLOOKUP(H903,'[2] Giá ngoài Mỹ - SI-GR'!$B$5:$AZ$84,51,0),IF(OR(D903="HYUNDAI L&amp;C CANADA INC",D903="Hyundai L&amp; C USA LLC"),VLOOKUP(H903,'[2]GIA HS'!A:D,4,0),IF(Y903="Mỹ",VLOOKUP(H903,'[2]giá mỹ từ 6.8.2025'!B:I,2,0),VLOOKUP(H903,'[2]giá ngoài mỹ 6.8.2025 (final)'!B:BP,51,0)))))</f>
        <v>62</v>
      </c>
      <c r="L903" s="106">
        <v>62</v>
      </c>
      <c r="M903" s="106">
        <f t="shared" si="53"/>
        <v>0</v>
      </c>
      <c r="N903" s="106">
        <v>62</v>
      </c>
      <c r="O903" s="106">
        <v>29707.919999999998</v>
      </c>
      <c r="P903" s="107">
        <v>26040</v>
      </c>
      <c r="Q903" s="107">
        <v>773594237</v>
      </c>
      <c r="R903" s="102" t="s">
        <v>30</v>
      </c>
      <c r="S903" s="108"/>
      <c r="T903" s="109"/>
      <c r="U903" s="109"/>
      <c r="V903" s="102"/>
      <c r="W903" s="109"/>
      <c r="X903" s="109"/>
      <c r="Y903" s="110" t="s">
        <v>290</v>
      </c>
      <c r="Z903" s="111" t="str">
        <f>MID(E903,4,2)</f>
        <v>CA</v>
      </c>
    </row>
    <row r="904" spans="1:26" s="111" customFormat="1" x14ac:dyDescent="0.2">
      <c r="A904" s="101">
        <v>46246</v>
      </c>
      <c r="B904" s="91" t="s">
        <v>1090</v>
      </c>
      <c r="C904" s="102" t="s">
        <v>1091</v>
      </c>
      <c r="D904" s="103" t="s">
        <v>1092</v>
      </c>
      <c r="E904" s="91" t="s">
        <v>1093</v>
      </c>
      <c r="F904" s="91" t="s">
        <v>1094</v>
      </c>
      <c r="G904" s="91" t="s">
        <v>1095</v>
      </c>
      <c r="H904" s="104" t="str">
        <f t="shared" si="54"/>
        <v>F5233J20</v>
      </c>
      <c r="I904" s="104"/>
      <c r="J904" s="105">
        <v>1.61</v>
      </c>
      <c r="K904" s="106">
        <f>IF(D904="CAESARSTONE LTD",VLOOKUP(H904,'[2]GIA CA'!G:H,2,0),IF(OR(D904="STONE FACINGS LIMITED",D904="NORDIA SA",D904="INVICTUS STONE COUNTERTOPS INC",D904="QUARTZTOP LLC"),VLOOKUP(H904,'[2] Giá ngoài Mỹ - SI-GR'!$B$5:$AZ$84,51,0),IF(OR(D904="HYUNDAI L&amp;C CANADA INC",D904="Hyundai L&amp; C USA LLC"),VLOOKUP(H904,'[2]GIA HS'!A:D,4,0),IF(Y904="Mỹ",VLOOKUP(H904,'[2]giá mỹ từ 6.8.2025'!B:I,2,0),VLOOKUP(H904,'[2]giá ngoài mỹ 6.8.2025 (final)'!B:BP,51,0)))))</f>
        <v>74.099999999999994</v>
      </c>
      <c r="L904" s="106">
        <v>75</v>
      </c>
      <c r="M904" s="106">
        <f t="shared" si="53"/>
        <v>0.90000000000000568</v>
      </c>
      <c r="N904" s="106">
        <v>75</v>
      </c>
      <c r="O904" s="106">
        <v>120.75</v>
      </c>
      <c r="P904" s="107">
        <v>26040</v>
      </c>
      <c r="Q904" s="107">
        <v>3144330</v>
      </c>
      <c r="R904" s="102"/>
      <c r="S904" s="108"/>
      <c r="T904" s="109" t="s">
        <v>30</v>
      </c>
      <c r="U904" s="109"/>
      <c r="V904" s="102"/>
      <c r="W904" s="109"/>
      <c r="X904" s="109"/>
      <c r="Y904" s="110" t="s">
        <v>1096</v>
      </c>
      <c r="Z904" s="111" t="str">
        <f>MID(E904,4,2)</f>
        <v>UT</v>
      </c>
    </row>
    <row r="905" spans="1:26" s="111" customFormat="1" x14ac:dyDescent="0.2">
      <c r="A905" s="101">
        <v>46246</v>
      </c>
      <c r="B905" s="91" t="s">
        <v>1090</v>
      </c>
      <c r="C905" s="102" t="s">
        <v>1091</v>
      </c>
      <c r="D905" s="103" t="s">
        <v>1092</v>
      </c>
      <c r="E905" s="91" t="s">
        <v>1093</v>
      </c>
      <c r="F905" s="91" t="s">
        <v>1097</v>
      </c>
      <c r="G905" s="91" t="s">
        <v>1098</v>
      </c>
      <c r="H905" s="104" t="str">
        <f t="shared" si="54"/>
        <v>C4221J20</v>
      </c>
      <c r="I905" s="104"/>
      <c r="J905" s="105">
        <v>1.61</v>
      </c>
      <c r="K905" s="106"/>
      <c r="L905" s="106"/>
      <c r="M905" s="106">
        <f t="shared" si="53"/>
        <v>0</v>
      </c>
      <c r="N905" s="106">
        <v>60</v>
      </c>
      <c r="O905" s="106">
        <v>96.6</v>
      </c>
      <c r="P905" s="107">
        <v>26040</v>
      </c>
      <c r="Q905" s="107">
        <v>2515464</v>
      </c>
      <c r="R905" s="102"/>
      <c r="S905" s="108"/>
      <c r="T905" s="109" t="s">
        <v>30</v>
      </c>
      <c r="U905" s="109"/>
      <c r="V905" s="102"/>
      <c r="W905" s="109"/>
      <c r="X905" s="109"/>
      <c r="Y905" s="110" t="s">
        <v>1096</v>
      </c>
      <c r="Z905" s="111" t="str">
        <f>MID(E905,4,2)</f>
        <v>UT</v>
      </c>
    </row>
    <row r="906" spans="1:26" s="111" customFormat="1" x14ac:dyDescent="0.2">
      <c r="A906" s="101">
        <v>46246</v>
      </c>
      <c r="B906" s="91" t="s">
        <v>1090</v>
      </c>
      <c r="C906" s="102" t="s">
        <v>1091</v>
      </c>
      <c r="D906" s="103" t="s">
        <v>1092</v>
      </c>
      <c r="E906" s="91" t="s">
        <v>1093</v>
      </c>
      <c r="F906" s="91" t="s">
        <v>1099</v>
      </c>
      <c r="G906" s="91" t="s">
        <v>1100</v>
      </c>
      <c r="H906" s="104" t="str">
        <f t="shared" si="54"/>
        <v>C4147J20</v>
      </c>
      <c r="I906" s="104"/>
      <c r="J906" s="105">
        <v>1.61</v>
      </c>
      <c r="K906" s="106">
        <f>IF(D906="CAESARSTONE LTD",VLOOKUP(H906,'[2]GIA CA'!G:H,2,0),IF(OR(D906="STONE FACINGS LIMITED",D906="NORDIA SA",D906="INVICTUS STONE COUNTERTOPS INC",D906="QUARTZTOP LLC"),VLOOKUP(H906,'[2] Giá ngoài Mỹ - SI-GR'!$B$5:$AZ$84,51,0),IF(OR(D906="HYUNDAI L&amp;C CANADA INC",D906="Hyundai L&amp; C USA LLC"),VLOOKUP(H906,'[2]GIA HS'!A:D,4,0),IF(Y906="Mỹ",VLOOKUP(H906,'[2]giá mỹ từ 6.8.2025'!B:I,2,0),VLOOKUP(H906,'[2]giá ngoài mỹ 6.8.2025 (final)'!B:BP,51,0)))))</f>
        <v>63</v>
      </c>
      <c r="L906" s="106">
        <v>65</v>
      </c>
      <c r="M906" s="106">
        <f t="shared" si="53"/>
        <v>2</v>
      </c>
      <c r="N906" s="106">
        <v>65</v>
      </c>
      <c r="O906" s="106">
        <v>104.65</v>
      </c>
      <c r="P906" s="107">
        <v>26040</v>
      </c>
      <c r="Q906" s="107">
        <v>2725086</v>
      </c>
      <c r="R906" s="102"/>
      <c r="S906" s="108"/>
      <c r="T906" s="109" t="s">
        <v>30</v>
      </c>
      <c r="U906" s="109"/>
      <c r="V906" s="102"/>
      <c r="W906" s="109"/>
      <c r="X906" s="109"/>
      <c r="Y906" s="110" t="s">
        <v>1096</v>
      </c>
      <c r="Z906" s="111" t="str">
        <f>MID(E906,4,2)</f>
        <v>UT</v>
      </c>
    </row>
    <row r="907" spans="1:26" s="111" customFormat="1" x14ac:dyDescent="0.2">
      <c r="A907" s="101">
        <v>46246</v>
      </c>
      <c r="B907" s="91" t="s">
        <v>1090</v>
      </c>
      <c r="C907" s="102" t="s">
        <v>1091</v>
      </c>
      <c r="D907" s="103" t="s">
        <v>1092</v>
      </c>
      <c r="E907" s="91" t="s">
        <v>1093</v>
      </c>
      <c r="F907" s="91" t="s">
        <v>1101</v>
      </c>
      <c r="G907" s="91" t="s">
        <v>1102</v>
      </c>
      <c r="H907" s="104" t="str">
        <f t="shared" si="54"/>
        <v>C4143J20</v>
      </c>
      <c r="I907" s="104"/>
      <c r="J907" s="105">
        <v>1.61</v>
      </c>
      <c r="K907" s="106">
        <f>IF(D907="CAESARSTONE LTD",VLOOKUP(H907,'[2]GIA CA'!G:H,2,0),IF(OR(D907="STONE FACINGS LIMITED",D907="NORDIA SA",D907="INVICTUS STONE COUNTERTOPS INC",D907="QUARTZTOP LLC"),VLOOKUP(H907,'[2] Giá ngoài Mỹ - SI-GR'!$B$5:$AZ$84,51,0),IF(OR(D907="HYUNDAI L&amp;C CANADA INC",D907="Hyundai L&amp; C USA LLC"),VLOOKUP(H907,'[2]GIA HS'!A:D,4,0),IF(Y907="Mỹ",VLOOKUP(H907,'[2]giá mỹ từ 6.8.2025'!B:I,2,0),VLOOKUP(H907,'[2]giá ngoài mỹ 6.8.2025 (final)'!B:BP,51,0)))))</f>
        <v>51</v>
      </c>
      <c r="L907" s="106">
        <v>54</v>
      </c>
      <c r="M907" s="106">
        <f t="shared" si="53"/>
        <v>3</v>
      </c>
      <c r="N907" s="106">
        <v>54</v>
      </c>
      <c r="O907" s="106">
        <v>86.94</v>
      </c>
      <c r="P907" s="107">
        <v>26040</v>
      </c>
      <c r="Q907" s="107">
        <v>2263918</v>
      </c>
      <c r="R907" s="102"/>
      <c r="S907" s="108"/>
      <c r="T907" s="109" t="s">
        <v>30</v>
      </c>
      <c r="U907" s="109"/>
      <c r="V907" s="102"/>
      <c r="W907" s="109"/>
      <c r="X907" s="109"/>
      <c r="Y907" s="110" t="s">
        <v>1096</v>
      </c>
      <c r="Z907" s="111" t="str">
        <f>MID(E907,4,2)</f>
        <v>UT</v>
      </c>
    </row>
    <row r="908" spans="1:26" s="111" customFormat="1" x14ac:dyDescent="0.2">
      <c r="A908" s="101">
        <v>46246</v>
      </c>
      <c r="B908" s="91" t="s">
        <v>1090</v>
      </c>
      <c r="C908" s="102" t="s">
        <v>1091</v>
      </c>
      <c r="D908" s="103" t="s">
        <v>1092</v>
      </c>
      <c r="E908" s="91" t="s">
        <v>1093</v>
      </c>
      <c r="F908" s="91" t="s">
        <v>1103</v>
      </c>
      <c r="G908" s="91" t="s">
        <v>1104</v>
      </c>
      <c r="H908" s="104" t="str">
        <f t="shared" si="54"/>
        <v>C1102J20</v>
      </c>
      <c r="I908" s="104"/>
      <c r="J908" s="105">
        <v>1.61</v>
      </c>
      <c r="K908" s="106">
        <f>IF(D908="CAESARSTONE LTD",VLOOKUP(H908,'[2]GIA CA'!G:H,2,0),IF(OR(D908="STONE FACINGS LIMITED",D908="NORDIA SA",D908="INVICTUS STONE COUNTERTOPS INC",D908="QUARTZTOP LLC"),VLOOKUP(H908,'[2] Giá ngoài Mỹ - SI-GR'!$B$5:$AZ$84,51,0),IF(OR(D908="HYUNDAI L&amp;C CANADA INC",D908="Hyundai L&amp; C USA LLC"),VLOOKUP(H908,'[2]GIA HS'!A:D,4,0),IF(Y908="Mỹ",VLOOKUP(H908,'[2]giá mỹ từ 6.8.2025'!B:I,2,0),VLOOKUP(H908,'[2]giá ngoài mỹ 6.8.2025 (final)'!B:BP,51,0)))))</f>
        <v>64</v>
      </c>
      <c r="L908" s="106">
        <v>64</v>
      </c>
      <c r="M908" s="106">
        <f t="shared" si="53"/>
        <v>0</v>
      </c>
      <c r="N908" s="106">
        <v>64</v>
      </c>
      <c r="O908" s="106">
        <v>103.04</v>
      </c>
      <c r="P908" s="107">
        <v>26040</v>
      </c>
      <c r="Q908" s="107">
        <v>2683162</v>
      </c>
      <c r="R908" s="102"/>
      <c r="S908" s="108"/>
      <c r="T908" s="109" t="s">
        <v>30</v>
      </c>
      <c r="U908" s="109"/>
      <c r="V908" s="102"/>
      <c r="W908" s="109"/>
      <c r="X908" s="109"/>
      <c r="Y908" s="110" t="s">
        <v>1096</v>
      </c>
      <c r="Z908" s="111" t="str">
        <f>MID(E908,4,2)</f>
        <v>UT</v>
      </c>
    </row>
    <row r="909" spans="1:26" s="111" customFormat="1" x14ac:dyDescent="0.2">
      <c r="A909" s="101">
        <v>46246</v>
      </c>
      <c r="B909" s="91" t="s">
        <v>1090</v>
      </c>
      <c r="C909" s="102" t="s">
        <v>1091</v>
      </c>
      <c r="D909" s="103" t="s">
        <v>1092</v>
      </c>
      <c r="E909" s="91" t="s">
        <v>1093</v>
      </c>
      <c r="F909" s="91" t="s">
        <v>1105</v>
      </c>
      <c r="G909" s="91" t="s">
        <v>1106</v>
      </c>
      <c r="H909" s="104" t="str">
        <f t="shared" si="54"/>
        <v>C4211J20</v>
      </c>
      <c r="I909" s="104"/>
      <c r="J909" s="105">
        <v>0.9</v>
      </c>
      <c r="K909" s="106">
        <f>IF(D909="CAESARSTONE LTD",VLOOKUP(H909,'[2]GIA CA'!G:H,2,0),IF(OR(D909="STONE FACINGS LIMITED",D909="NORDIA SA",D909="INVICTUS STONE COUNTERTOPS INC",D909="QUARTZTOP LLC"),VLOOKUP(H909,'[2] Giá ngoài Mỹ - SI-GR'!$B$5:$AZ$84,51,0),IF(OR(D909="HYUNDAI L&amp;C CANADA INC",D909="Hyundai L&amp; C USA LLC"),VLOOKUP(H909,'[2]GIA HS'!A:D,4,0),IF(Y909="Mỹ",VLOOKUP(H909,'[2]giá mỹ từ 6.8.2025'!B:I,2,0),VLOOKUP(H909,'[2]giá ngoài mỹ 6.8.2025 (final)'!B:BP,51,0)))))</f>
        <v>53</v>
      </c>
      <c r="L909" s="106">
        <v>56</v>
      </c>
      <c r="M909" s="106">
        <f t="shared" ref="M909:M972" si="59">L909-K909</f>
        <v>3</v>
      </c>
      <c r="N909" s="106">
        <v>56</v>
      </c>
      <c r="O909" s="106">
        <v>50.4</v>
      </c>
      <c r="P909" s="107">
        <v>26040</v>
      </c>
      <c r="Q909" s="107">
        <v>1312416</v>
      </c>
      <c r="R909" s="102"/>
      <c r="S909" s="108"/>
      <c r="T909" s="109" t="s">
        <v>30</v>
      </c>
      <c r="U909" s="109"/>
      <c r="V909" s="102"/>
      <c r="W909" s="109"/>
      <c r="X909" s="109"/>
      <c r="Y909" s="110" t="s">
        <v>1096</v>
      </c>
      <c r="Z909" s="111" t="str">
        <f>MID(E909,4,2)</f>
        <v>UT</v>
      </c>
    </row>
    <row r="910" spans="1:26" s="111" customFormat="1" x14ac:dyDescent="0.2">
      <c r="A910" s="101">
        <v>46246</v>
      </c>
      <c r="B910" s="91" t="s">
        <v>1090</v>
      </c>
      <c r="C910" s="102" t="s">
        <v>1091</v>
      </c>
      <c r="D910" s="103" t="s">
        <v>1092</v>
      </c>
      <c r="E910" s="91" t="s">
        <v>1093</v>
      </c>
      <c r="F910" s="91" t="s">
        <v>1107</v>
      </c>
      <c r="G910" s="91" t="s">
        <v>1108</v>
      </c>
      <c r="H910" s="104" t="str">
        <f t="shared" ref="H910:H973" si="60">IF(LEN(G910)=13,LEFT(G910,5)&amp;MID(G910,SEARCH("-J",G910)+1,3),LEFT(G910,5)&amp;"J20")</f>
        <v>C4211J20</v>
      </c>
      <c r="I910" s="104"/>
      <c r="J910" s="105">
        <v>1.1599999999999999</v>
      </c>
      <c r="K910" s="106">
        <f>IF(D910="CAESARSTONE LTD",VLOOKUP(H910,'[2]GIA CA'!G:H,2,0),IF(OR(D910="STONE FACINGS LIMITED",D910="NORDIA SA",D910="INVICTUS STONE COUNTERTOPS INC",D910="QUARTZTOP LLC"),VLOOKUP(H910,'[2] Giá ngoài Mỹ - SI-GR'!$B$5:$AZ$84,51,0),IF(OR(D910="HYUNDAI L&amp;C CANADA INC",D910="Hyundai L&amp; C USA LLC"),VLOOKUP(H910,'[2]GIA HS'!A:D,4,0),IF(Y910="Mỹ",VLOOKUP(H910,'[2]giá mỹ từ 6.8.2025'!B:I,2,0),VLOOKUP(H910,'[2]giá ngoài mỹ 6.8.2025 (final)'!B:BP,51,0)))))</f>
        <v>53</v>
      </c>
      <c r="L910" s="106">
        <v>54</v>
      </c>
      <c r="M910" s="106">
        <f t="shared" si="59"/>
        <v>1</v>
      </c>
      <c r="N910" s="106">
        <v>54</v>
      </c>
      <c r="O910" s="106">
        <v>62.64</v>
      </c>
      <c r="P910" s="107">
        <v>26040</v>
      </c>
      <c r="Q910" s="107">
        <v>1631146</v>
      </c>
      <c r="R910" s="102"/>
      <c r="S910" s="108"/>
      <c r="T910" s="109" t="s">
        <v>30</v>
      </c>
      <c r="U910" s="109"/>
      <c r="V910" s="102"/>
      <c r="W910" s="109"/>
      <c r="X910" s="109"/>
      <c r="Y910" s="110" t="s">
        <v>1096</v>
      </c>
      <c r="Z910" s="111" t="str">
        <f>MID(E910,4,2)</f>
        <v>UT</v>
      </c>
    </row>
    <row r="911" spans="1:26" s="111" customFormat="1" x14ac:dyDescent="0.2">
      <c r="A911" s="101">
        <v>46246</v>
      </c>
      <c r="B911" s="91" t="s">
        <v>1090</v>
      </c>
      <c r="C911" s="102" t="s">
        <v>1091</v>
      </c>
      <c r="D911" s="103" t="s">
        <v>1092</v>
      </c>
      <c r="E911" s="91" t="s">
        <v>1093</v>
      </c>
      <c r="F911" s="91" t="s">
        <v>1109</v>
      </c>
      <c r="G911" s="91" t="s">
        <v>1110</v>
      </c>
      <c r="H911" s="104" t="str">
        <f t="shared" si="60"/>
        <v>C3146J20</v>
      </c>
      <c r="I911" s="104"/>
      <c r="J911" s="105">
        <v>1.55</v>
      </c>
      <c r="K911" s="106">
        <f>IF(D911="CAESARSTONE LTD",VLOOKUP(H911,'[2]GIA CA'!G:H,2,0),IF(OR(D911="STONE FACINGS LIMITED",D911="NORDIA SA",D911="INVICTUS STONE COUNTERTOPS INC",D911="QUARTZTOP LLC"),VLOOKUP(H911,'[2] Giá ngoài Mỹ - SI-GR'!$B$5:$AZ$84,51,0),IF(OR(D911="HYUNDAI L&amp;C CANADA INC",D911="Hyundai L&amp; C USA LLC"),VLOOKUP(H911,'[2]GIA HS'!A:D,4,0),IF(Y911="Mỹ",VLOOKUP(H911,'[2]giá mỹ từ 6.8.2025'!B:I,2,0),VLOOKUP(H911,'[2]giá ngoài mỹ 6.8.2025 (final)'!B:BP,51,0)))))</f>
        <v>50</v>
      </c>
      <c r="L911" s="106">
        <v>52</v>
      </c>
      <c r="M911" s="106">
        <f t="shared" si="59"/>
        <v>2</v>
      </c>
      <c r="N911" s="106">
        <v>52</v>
      </c>
      <c r="O911" s="106">
        <v>80.599999999999994</v>
      </c>
      <c r="P911" s="107">
        <v>26040</v>
      </c>
      <c r="Q911" s="107">
        <v>2098824</v>
      </c>
      <c r="R911" s="102"/>
      <c r="S911" s="108"/>
      <c r="T911" s="109" t="s">
        <v>30</v>
      </c>
      <c r="U911" s="109"/>
      <c r="V911" s="102"/>
      <c r="W911" s="109"/>
      <c r="X911" s="109"/>
      <c r="Y911" s="110" t="s">
        <v>1096</v>
      </c>
      <c r="Z911" s="111" t="str">
        <f>MID(E911,4,2)</f>
        <v>UT</v>
      </c>
    </row>
    <row r="912" spans="1:26" s="111" customFormat="1" x14ac:dyDescent="0.2">
      <c r="A912" s="101">
        <v>46246</v>
      </c>
      <c r="B912" s="91" t="s">
        <v>1090</v>
      </c>
      <c r="C912" s="102" t="s">
        <v>1091</v>
      </c>
      <c r="D912" s="103" t="s">
        <v>1092</v>
      </c>
      <c r="E912" s="91" t="s">
        <v>1093</v>
      </c>
      <c r="F912" s="91" t="s">
        <v>1111</v>
      </c>
      <c r="G912" s="91" t="s">
        <v>1112</v>
      </c>
      <c r="H912" s="104" t="str">
        <f t="shared" si="60"/>
        <v>C3269J20</v>
      </c>
      <c r="I912" s="104"/>
      <c r="J912" s="105">
        <v>2.13</v>
      </c>
      <c r="K912" s="106">
        <f>IF(D912="CAESARSTONE LTD",VLOOKUP(H912,'[2]GIA CA'!G:H,2,0),IF(OR(D912="STONE FACINGS LIMITED",D912="NORDIA SA",D912="INVICTUS STONE COUNTERTOPS INC",D912="QUARTZTOP LLC"),VLOOKUP(H912,'[2] Giá ngoài Mỹ - SI-GR'!$B$5:$AZ$84,51,0),IF(OR(D912="HYUNDAI L&amp;C CANADA INC",D912="Hyundai L&amp; C USA LLC"),VLOOKUP(H912,'[2]GIA HS'!A:D,4,0),IF(Y912="Mỹ",VLOOKUP(H912,'[2]giá mỹ từ 6.8.2025'!B:I,2,0),VLOOKUP(H912,'[2]giá ngoài mỹ 6.8.2025 (final)'!B:BP,51,0)))))</f>
        <v>42</v>
      </c>
      <c r="L912" s="106">
        <v>45</v>
      </c>
      <c r="M912" s="106">
        <f t="shared" si="59"/>
        <v>3</v>
      </c>
      <c r="N912" s="106">
        <v>45</v>
      </c>
      <c r="O912" s="107">
        <v>95.85</v>
      </c>
      <c r="P912" s="107">
        <v>26040</v>
      </c>
      <c r="Q912" s="107">
        <v>2495934</v>
      </c>
      <c r="R912" s="102"/>
      <c r="S912" s="108"/>
      <c r="T912" s="109" t="s">
        <v>30</v>
      </c>
      <c r="U912" s="109"/>
      <c r="V912" s="102"/>
      <c r="W912" s="109"/>
      <c r="X912" s="109"/>
      <c r="Y912" s="110" t="s">
        <v>1096</v>
      </c>
      <c r="Z912" s="111" t="str">
        <f>MID(E912,4,2)</f>
        <v>UT</v>
      </c>
    </row>
    <row r="913" spans="1:26" s="111" customFormat="1" x14ac:dyDescent="0.2">
      <c r="A913" s="101">
        <v>46246</v>
      </c>
      <c r="B913" s="91" t="s">
        <v>1090</v>
      </c>
      <c r="C913" s="102" t="s">
        <v>1091</v>
      </c>
      <c r="D913" s="103" t="s">
        <v>1092</v>
      </c>
      <c r="E913" s="91" t="s">
        <v>1093</v>
      </c>
      <c r="F913" s="91" t="s">
        <v>1113</v>
      </c>
      <c r="G913" s="91" t="s">
        <v>1114</v>
      </c>
      <c r="H913" s="104" t="str">
        <f t="shared" si="60"/>
        <v>C5240J20</v>
      </c>
      <c r="I913" s="104"/>
      <c r="J913" s="105">
        <v>2.13</v>
      </c>
      <c r="K913" s="106">
        <f>IF(D913="CAESARSTONE LTD",VLOOKUP(H913,'[2]GIA CA'!G:H,2,0),IF(OR(D913="STONE FACINGS LIMITED",D913="NORDIA SA",D913="INVICTUS STONE COUNTERTOPS INC",D913="QUARTZTOP LLC"),VLOOKUP(H913,'[2] Giá ngoài Mỹ - SI-GR'!$B$5:$AZ$84,51,0),IF(OR(D913="HYUNDAI L&amp;C CANADA INC",D913="Hyundai L&amp; C USA LLC"),VLOOKUP(H913,'[2]GIA HS'!A:D,4,0),IF(Y913="Mỹ",VLOOKUP(H913,'[2]giá mỹ từ 6.8.2025'!B:I,2,0),VLOOKUP(H913,'[2]giá ngoài mỹ 6.8.2025 (final)'!B:BP,51,0)))))</f>
        <v>59</v>
      </c>
      <c r="L913" s="106">
        <v>63</v>
      </c>
      <c r="M913" s="106">
        <f t="shared" si="59"/>
        <v>4</v>
      </c>
      <c r="N913" s="106">
        <v>63</v>
      </c>
      <c r="O913" s="107">
        <v>134.19</v>
      </c>
      <c r="P913" s="107">
        <v>26040</v>
      </c>
      <c r="Q913" s="107">
        <v>3494308</v>
      </c>
      <c r="R913" s="102"/>
      <c r="S913" s="108"/>
      <c r="T913" s="109" t="s">
        <v>30</v>
      </c>
      <c r="U913" s="109"/>
      <c r="V913" s="102"/>
      <c r="W913" s="109"/>
      <c r="X913" s="109"/>
      <c r="Y913" s="110" t="s">
        <v>1096</v>
      </c>
      <c r="Z913" s="111" t="str">
        <f>MID(E913,4,2)</f>
        <v>UT</v>
      </c>
    </row>
    <row r="914" spans="1:26" s="111" customFormat="1" x14ac:dyDescent="0.2">
      <c r="A914" s="101">
        <v>46246</v>
      </c>
      <c r="B914" s="91" t="s">
        <v>1090</v>
      </c>
      <c r="C914" s="102" t="s">
        <v>1091</v>
      </c>
      <c r="D914" s="103" t="s">
        <v>1092</v>
      </c>
      <c r="E914" s="91" t="s">
        <v>1093</v>
      </c>
      <c r="F914" s="91" t="s">
        <v>1115</v>
      </c>
      <c r="G914" s="91" t="s">
        <v>1116</v>
      </c>
      <c r="H914" s="104" t="str">
        <f t="shared" si="60"/>
        <v>C3146J20</v>
      </c>
      <c r="I914" s="104"/>
      <c r="J914" s="105">
        <v>1.56</v>
      </c>
      <c r="K914" s="106">
        <f>IF(D914="CAESARSTONE LTD",VLOOKUP(H914,'[2]GIA CA'!G:H,2,0),IF(OR(D914="STONE FACINGS LIMITED",D914="NORDIA SA",D914="INVICTUS STONE COUNTERTOPS INC",D914="QUARTZTOP LLC"),VLOOKUP(H914,'[2] Giá ngoài Mỹ - SI-GR'!$B$5:$AZ$84,51,0),IF(OR(D914="HYUNDAI L&amp;C CANADA INC",D914="Hyundai L&amp; C USA LLC"),VLOOKUP(H914,'[2]GIA HS'!A:D,4,0),IF(Y914="Mỹ",VLOOKUP(H914,'[2]giá mỹ từ 6.8.2025'!B:I,2,0),VLOOKUP(H914,'[2]giá ngoài mỹ 6.8.2025 (final)'!B:BP,51,0)))))</f>
        <v>50</v>
      </c>
      <c r="L914" s="106">
        <v>54.5</v>
      </c>
      <c r="M914" s="106">
        <f t="shared" si="59"/>
        <v>4.5</v>
      </c>
      <c r="N914" s="106">
        <v>54.5</v>
      </c>
      <c r="O914" s="107">
        <v>85.02</v>
      </c>
      <c r="P914" s="107">
        <v>26040</v>
      </c>
      <c r="Q914" s="107">
        <v>2213921</v>
      </c>
      <c r="R914" s="102"/>
      <c r="S914" s="108"/>
      <c r="T914" s="109" t="s">
        <v>30</v>
      </c>
      <c r="U914" s="109"/>
      <c r="V914" s="102"/>
      <c r="W914" s="109"/>
      <c r="X914" s="109"/>
      <c r="Y914" s="110" t="s">
        <v>1096</v>
      </c>
      <c r="Z914" s="111" t="str">
        <f>MID(E914,4,2)</f>
        <v>UT</v>
      </c>
    </row>
    <row r="915" spans="1:26" s="111" customFormat="1" x14ac:dyDescent="0.2">
      <c r="A915" s="101">
        <v>46246</v>
      </c>
      <c r="B915" s="91" t="s">
        <v>1090</v>
      </c>
      <c r="C915" s="102" t="s">
        <v>1091</v>
      </c>
      <c r="D915" s="103" t="s">
        <v>1092</v>
      </c>
      <c r="E915" s="91" t="s">
        <v>1093</v>
      </c>
      <c r="F915" s="91" t="s">
        <v>1117</v>
      </c>
      <c r="G915" s="91" t="s">
        <v>1118</v>
      </c>
      <c r="H915" s="104" t="str">
        <f t="shared" si="60"/>
        <v>C5233J20</v>
      </c>
      <c r="I915" s="104"/>
      <c r="J915" s="105">
        <v>1.56</v>
      </c>
      <c r="K915" s="106">
        <f>+L915</f>
        <v>81</v>
      </c>
      <c r="L915" s="106">
        <v>81</v>
      </c>
      <c r="M915" s="106">
        <f t="shared" si="59"/>
        <v>0</v>
      </c>
      <c r="N915" s="106">
        <v>81</v>
      </c>
      <c r="O915" s="107">
        <v>126.36</v>
      </c>
      <c r="P915" s="107">
        <v>26040</v>
      </c>
      <c r="Q915" s="107">
        <v>3290414</v>
      </c>
      <c r="R915" s="102"/>
      <c r="S915" s="108"/>
      <c r="T915" s="109" t="s">
        <v>30</v>
      </c>
      <c r="U915" s="109"/>
      <c r="V915" s="102"/>
      <c r="W915" s="109"/>
      <c r="X915" s="109"/>
      <c r="Y915" s="110" t="s">
        <v>1096</v>
      </c>
      <c r="Z915" s="111" t="str">
        <f>MID(E915,4,2)</f>
        <v>UT</v>
      </c>
    </row>
    <row r="916" spans="1:26" s="111" customFormat="1" x14ac:dyDescent="0.2">
      <c r="A916" s="101">
        <v>46246</v>
      </c>
      <c r="B916" s="91" t="s">
        <v>1090</v>
      </c>
      <c r="C916" s="102" t="s">
        <v>1091</v>
      </c>
      <c r="D916" s="103" t="s">
        <v>1092</v>
      </c>
      <c r="E916" s="91" t="s">
        <v>1093</v>
      </c>
      <c r="F916" s="91" t="s">
        <v>398</v>
      </c>
      <c r="G916" s="91" t="s">
        <v>399</v>
      </c>
      <c r="H916" s="104" t="str">
        <f t="shared" si="60"/>
        <v>C4246J20</v>
      </c>
      <c r="I916" s="104"/>
      <c r="J916" s="105">
        <v>1.56</v>
      </c>
      <c r="K916" s="106">
        <f>IF(D916="CAESARSTONE LTD",VLOOKUP(H916,'[2]GIA CA'!G:H,2,0),IF(OR(D916="STONE FACINGS LIMITED",D916="NORDIA SA",D916="INVICTUS STONE COUNTERTOPS INC",D916="QUARTZTOP LLC"),VLOOKUP(H916,'[2] Giá ngoài Mỹ - SI-GR'!$B$5:$AZ$84,51,0),IF(OR(D916="HYUNDAI L&amp;C CANADA INC",D916="Hyundai L&amp; C USA LLC"),VLOOKUP(H916,'[2]GIA HS'!A:D,4,0),IF(Y916="Mỹ",VLOOKUP(H916,'[2]giá mỹ từ 6.8.2025'!B:I,2,0),VLOOKUP(H916,'[2]giá ngoài mỹ 6.8.2025 (final)'!B:BP,51,0)))))</f>
        <v>54</v>
      </c>
      <c r="L916" s="106">
        <v>58</v>
      </c>
      <c r="M916" s="106">
        <f t="shared" si="59"/>
        <v>4</v>
      </c>
      <c r="N916" s="106">
        <v>58</v>
      </c>
      <c r="O916" s="107">
        <v>90.48</v>
      </c>
      <c r="P916" s="107">
        <v>26040</v>
      </c>
      <c r="Q916" s="107">
        <v>2356099</v>
      </c>
      <c r="R916" s="102"/>
      <c r="S916" s="108"/>
      <c r="T916" s="109" t="s">
        <v>30</v>
      </c>
      <c r="U916" s="109"/>
      <c r="V916" s="102"/>
      <c r="W916" s="109"/>
      <c r="X916" s="109"/>
      <c r="Y916" s="110" t="s">
        <v>1096</v>
      </c>
      <c r="Z916" s="111" t="str">
        <f>MID(E916,4,2)</f>
        <v>UT</v>
      </c>
    </row>
    <row r="917" spans="1:26" s="111" customFormat="1" x14ac:dyDescent="0.2">
      <c r="A917" s="101">
        <v>46246</v>
      </c>
      <c r="B917" s="91" t="s">
        <v>1090</v>
      </c>
      <c r="C917" s="102" t="s">
        <v>1091</v>
      </c>
      <c r="D917" s="103" t="s">
        <v>1092</v>
      </c>
      <c r="E917" s="91" t="s">
        <v>1093</v>
      </c>
      <c r="F917" s="91" t="s">
        <v>1119</v>
      </c>
      <c r="G917" s="91" t="s">
        <v>1120</v>
      </c>
      <c r="H917" s="104" t="str">
        <f t="shared" si="60"/>
        <v>C5240J20</v>
      </c>
      <c r="I917" s="104"/>
      <c r="J917" s="105">
        <v>1.56</v>
      </c>
      <c r="K917" s="106">
        <f>IF(D917="CAESARSTONE LTD",VLOOKUP(H917,'[2]GIA CA'!G:H,2,0),IF(OR(D917="STONE FACINGS LIMITED",D917="NORDIA SA",D917="INVICTUS STONE COUNTERTOPS INC",D917="QUARTZTOP LLC"),VLOOKUP(H917,'[2] Giá ngoài Mỹ - SI-GR'!$B$5:$AZ$84,51,0),IF(OR(D917="HYUNDAI L&amp;C CANADA INC",D917="Hyundai L&amp; C USA LLC"),VLOOKUP(H917,'[2]GIA HS'!A:D,4,0),IF(Y917="Mỹ",VLOOKUP(H917,'[2]giá mỹ từ 6.8.2025'!B:I,2,0),VLOOKUP(H917,'[2]giá ngoài mỹ 6.8.2025 (final)'!B:BP,51,0)))))</f>
        <v>59</v>
      </c>
      <c r="L917" s="106">
        <v>63</v>
      </c>
      <c r="M917" s="106">
        <f t="shared" si="59"/>
        <v>4</v>
      </c>
      <c r="N917" s="106">
        <v>63</v>
      </c>
      <c r="O917" s="107">
        <v>98.28</v>
      </c>
      <c r="P917" s="107">
        <v>26040</v>
      </c>
      <c r="Q917" s="107">
        <v>2559211</v>
      </c>
      <c r="R917" s="102"/>
      <c r="S917" s="108"/>
      <c r="T917" s="109" t="s">
        <v>30</v>
      </c>
      <c r="U917" s="109"/>
      <c r="V917" s="102"/>
      <c r="W917" s="109"/>
      <c r="X917" s="109"/>
      <c r="Y917" s="110" t="s">
        <v>1096</v>
      </c>
      <c r="Z917" s="111" t="str">
        <f>MID(E917,4,2)</f>
        <v>UT</v>
      </c>
    </row>
    <row r="918" spans="1:26" s="111" customFormat="1" x14ac:dyDescent="0.2">
      <c r="A918" s="101">
        <v>46246</v>
      </c>
      <c r="B918" s="91" t="s">
        <v>1090</v>
      </c>
      <c r="C918" s="102" t="s">
        <v>1091</v>
      </c>
      <c r="D918" s="103" t="s">
        <v>1092</v>
      </c>
      <c r="E918" s="91" t="s">
        <v>1093</v>
      </c>
      <c r="F918" s="91" t="s">
        <v>1121</v>
      </c>
      <c r="G918" s="91" t="s">
        <v>1122</v>
      </c>
      <c r="H918" s="104" t="str">
        <f t="shared" si="60"/>
        <v>C1102J20</v>
      </c>
      <c r="I918" s="104"/>
      <c r="J918" s="105">
        <v>43.56</v>
      </c>
      <c r="K918" s="106">
        <f>IF(D918="CAESARSTONE LTD",VLOOKUP(H918,'[2]GIA CA'!G:H,2,0),IF(OR(D918="STONE FACINGS LIMITED",D918="NORDIA SA",D918="INVICTUS STONE COUNTERTOPS INC",D918="QUARTZTOP LLC"),VLOOKUP(H918,'[2] Giá ngoài Mỹ - SI-GR'!$B$5:$AZ$84,51,0),IF(OR(D918="HYUNDAI L&amp;C CANADA INC",D918="Hyundai L&amp; C USA LLC"),VLOOKUP(H918,'[2]GIA HS'!A:D,4,0),IF(Y918="Mỹ",VLOOKUP(H918,'[2]giá mỹ từ 6.8.2025'!B:I,2,0),VLOOKUP(H918,'[2]giá ngoài mỹ 6.8.2025 (final)'!B:BP,51,0)))))</f>
        <v>64</v>
      </c>
      <c r="L918" s="106">
        <v>71.5</v>
      </c>
      <c r="M918" s="106">
        <f t="shared" si="59"/>
        <v>7.5</v>
      </c>
      <c r="N918" s="106">
        <v>71.5</v>
      </c>
      <c r="O918" s="107">
        <v>3114.54</v>
      </c>
      <c r="P918" s="107">
        <v>26040</v>
      </c>
      <c r="Q918" s="107">
        <v>81102622</v>
      </c>
      <c r="R918" s="102" t="s">
        <v>30</v>
      </c>
      <c r="S918" s="108"/>
      <c r="T918" s="109"/>
      <c r="U918" s="109"/>
      <c r="V918" s="102"/>
      <c r="W918" s="109"/>
      <c r="X918" s="109"/>
      <c r="Y918" s="110" t="s">
        <v>1096</v>
      </c>
      <c r="Z918" s="111" t="str">
        <f>MID(E918,4,2)</f>
        <v>UT</v>
      </c>
    </row>
    <row r="919" spans="1:26" s="111" customFormat="1" x14ac:dyDescent="0.2">
      <c r="A919" s="101">
        <v>46246</v>
      </c>
      <c r="B919" s="91" t="s">
        <v>1090</v>
      </c>
      <c r="C919" s="102" t="s">
        <v>1091</v>
      </c>
      <c r="D919" s="103" t="s">
        <v>1092</v>
      </c>
      <c r="E919" s="91" t="s">
        <v>1093</v>
      </c>
      <c r="F919" s="91" t="s">
        <v>1123</v>
      </c>
      <c r="G919" s="91" t="s">
        <v>1124</v>
      </c>
      <c r="H919" s="104" t="str">
        <f t="shared" si="60"/>
        <v>C3269J20</v>
      </c>
      <c r="I919" s="104"/>
      <c r="J919" s="105">
        <v>163.35</v>
      </c>
      <c r="K919" s="106">
        <f>IF(D919="CAESARSTONE LTD",VLOOKUP(H919,'[2]GIA CA'!G:H,2,0),IF(OR(D919="STONE FACINGS LIMITED",D919="NORDIA SA",D919="INVICTUS STONE COUNTERTOPS INC",D919="QUARTZTOP LLC"),VLOOKUP(H919,'[2] Giá ngoài Mỹ - SI-GR'!$B$5:$AZ$84,51,0),IF(OR(D919="HYUNDAI L&amp;C CANADA INC",D919="Hyundai L&amp; C USA LLC"),VLOOKUP(H919,'[2]GIA HS'!A:D,4,0),IF(Y919="Mỹ",VLOOKUP(H919,'[2]giá mỹ từ 6.8.2025'!B:I,2,0),VLOOKUP(H919,'[2]giá ngoài mỹ 6.8.2025 (final)'!B:BP,51,0)))))</f>
        <v>42</v>
      </c>
      <c r="L919" s="106">
        <v>47</v>
      </c>
      <c r="M919" s="106">
        <f t="shared" si="59"/>
        <v>5</v>
      </c>
      <c r="N919" s="106">
        <v>47</v>
      </c>
      <c r="O919" s="107">
        <v>7677.45</v>
      </c>
      <c r="P919" s="107">
        <v>26040</v>
      </c>
      <c r="Q919" s="107">
        <v>199920798</v>
      </c>
      <c r="R919" s="102" t="s">
        <v>30</v>
      </c>
      <c r="S919" s="108"/>
      <c r="T919" s="109"/>
      <c r="U919" s="109"/>
      <c r="V919" s="102"/>
      <c r="W919" s="109"/>
      <c r="X919" s="109"/>
      <c r="Y919" s="110" t="s">
        <v>1096</v>
      </c>
      <c r="Z919" s="111" t="str">
        <f>MID(E919,4,2)</f>
        <v>UT</v>
      </c>
    </row>
    <row r="920" spans="1:26" s="111" customFormat="1" x14ac:dyDescent="0.2">
      <c r="A920" s="101">
        <v>46246</v>
      </c>
      <c r="B920" s="91" t="s">
        <v>1090</v>
      </c>
      <c r="C920" s="102" t="s">
        <v>1091</v>
      </c>
      <c r="D920" s="103" t="s">
        <v>1092</v>
      </c>
      <c r="E920" s="91" t="s">
        <v>1093</v>
      </c>
      <c r="F920" s="91" t="s">
        <v>1125</v>
      </c>
      <c r="G920" s="91" t="s">
        <v>602</v>
      </c>
      <c r="H920" s="104" t="str">
        <f t="shared" si="60"/>
        <v>C3269J20</v>
      </c>
      <c r="I920" s="104"/>
      <c r="J920" s="105">
        <v>108.9</v>
      </c>
      <c r="K920" s="106">
        <f>IF(D920="CAESARSTONE LTD",VLOOKUP(H920,'[2]GIA CA'!G:H,2,0),IF(OR(D920="STONE FACINGS LIMITED",D920="NORDIA SA",D920="INVICTUS STONE COUNTERTOPS INC",D920="QUARTZTOP LLC"),VLOOKUP(H920,'[2] Giá ngoài Mỹ - SI-GR'!$B$5:$AZ$84,51,0),IF(OR(D920="HYUNDAI L&amp;C CANADA INC",D920="Hyundai L&amp; C USA LLC"),VLOOKUP(H920,'[2]GIA HS'!A:D,4,0),IF(Y920="Mỹ",VLOOKUP(H920,'[2]giá mỹ từ 6.8.2025'!B:I,2,0),VLOOKUP(H920,'[2]giá ngoài mỹ 6.8.2025 (final)'!B:BP,51,0)))))</f>
        <v>42</v>
      </c>
      <c r="L920" s="106">
        <v>45</v>
      </c>
      <c r="M920" s="106">
        <f t="shared" si="59"/>
        <v>3</v>
      </c>
      <c r="N920" s="106">
        <v>45</v>
      </c>
      <c r="O920" s="106">
        <v>4900.5</v>
      </c>
      <c r="P920" s="107">
        <v>26040</v>
      </c>
      <c r="Q920" s="107">
        <v>127609020</v>
      </c>
      <c r="R920" s="102" t="s">
        <v>30</v>
      </c>
      <c r="S920" s="108"/>
      <c r="T920" s="109"/>
      <c r="U920" s="109"/>
      <c r="V920" s="102"/>
      <c r="W920" s="109"/>
      <c r="X920" s="109"/>
      <c r="Y920" s="110" t="s">
        <v>1096</v>
      </c>
      <c r="Z920" s="111" t="str">
        <f>MID(E920,4,2)</f>
        <v>UT</v>
      </c>
    </row>
    <row r="921" spans="1:26" s="111" customFormat="1" x14ac:dyDescent="0.2">
      <c r="A921" s="101">
        <v>46246</v>
      </c>
      <c r="B921" s="91" t="s">
        <v>1090</v>
      </c>
      <c r="C921" s="102" t="s">
        <v>1091</v>
      </c>
      <c r="D921" s="103" t="s">
        <v>1092</v>
      </c>
      <c r="E921" s="91" t="s">
        <v>1093</v>
      </c>
      <c r="F921" s="91" t="s">
        <v>1126</v>
      </c>
      <c r="G921" s="91" t="s">
        <v>617</v>
      </c>
      <c r="H921" s="104" t="str">
        <f t="shared" si="60"/>
        <v>C4149J20</v>
      </c>
      <c r="I921" s="104"/>
      <c r="J921" s="105">
        <v>98.01</v>
      </c>
      <c r="K921" s="106">
        <f>IF(D921="CAESARSTONE LTD",VLOOKUP(H921,'[2]GIA CA'!G:H,2,0),IF(OR(D921="STONE FACINGS LIMITED",D921="NORDIA SA",D921="INVICTUS STONE COUNTERTOPS INC",D921="QUARTZTOP LLC"),VLOOKUP(H921,'[2] Giá ngoài Mỹ - SI-GR'!$B$5:$AZ$84,51,0),IF(OR(D921="HYUNDAI L&amp;C CANADA INC",D921="Hyundai L&amp; C USA LLC"),VLOOKUP(H921,'[2]GIA HS'!A:D,4,0),IF(Y921="Mỹ",VLOOKUP(H921,'[2]giá mỹ từ 6.8.2025'!B:I,2,0),VLOOKUP(H921,'[2]giá ngoài mỹ 6.8.2025 (final)'!B:BP,51,0)))))</f>
        <v>77</v>
      </c>
      <c r="L921" s="106">
        <v>81</v>
      </c>
      <c r="M921" s="106">
        <f t="shared" si="59"/>
        <v>4</v>
      </c>
      <c r="N921" s="106">
        <v>81</v>
      </c>
      <c r="O921" s="107">
        <v>7938.81</v>
      </c>
      <c r="P921" s="107">
        <v>26040</v>
      </c>
      <c r="Q921" s="107">
        <v>206726612</v>
      </c>
      <c r="R921" s="102" t="s">
        <v>30</v>
      </c>
      <c r="S921" s="108"/>
      <c r="T921" s="109"/>
      <c r="U921" s="109"/>
      <c r="V921" s="102"/>
      <c r="W921" s="109"/>
      <c r="X921" s="109"/>
      <c r="Y921" s="110" t="s">
        <v>1096</v>
      </c>
      <c r="Z921" s="111" t="str">
        <f>MID(E921,4,2)</f>
        <v>UT</v>
      </c>
    </row>
    <row r="922" spans="1:26" s="111" customFormat="1" x14ac:dyDescent="0.2">
      <c r="A922" s="101">
        <v>46246</v>
      </c>
      <c r="B922" s="91" t="s">
        <v>1090</v>
      </c>
      <c r="C922" s="102" t="s">
        <v>1091</v>
      </c>
      <c r="D922" s="103" t="s">
        <v>1092</v>
      </c>
      <c r="E922" s="91" t="s">
        <v>1093</v>
      </c>
      <c r="F922" s="91" t="s">
        <v>1127</v>
      </c>
      <c r="G922" s="91" t="s">
        <v>617</v>
      </c>
      <c r="H922" s="104" t="str">
        <f t="shared" si="60"/>
        <v>C4149J20</v>
      </c>
      <c r="I922" s="104"/>
      <c r="J922" s="105">
        <v>10.89</v>
      </c>
      <c r="K922" s="106">
        <f>IF(D922="CAESARSTONE LTD",VLOOKUP(H922,'[2]GIA CA'!G:H,2,0),IF(OR(D922="STONE FACINGS LIMITED",D922="NORDIA SA",D922="INVICTUS STONE COUNTERTOPS INC",D922="QUARTZTOP LLC"),VLOOKUP(H922,'[2] Giá ngoài Mỹ - SI-GR'!$B$5:$AZ$84,51,0),IF(OR(D922="HYUNDAI L&amp;C CANADA INC",D922="Hyundai L&amp; C USA LLC"),VLOOKUP(H922,'[2]GIA HS'!A:D,4,0),IF(Y922="Mỹ",VLOOKUP(H922,'[2]giá mỹ từ 6.8.2025'!B:I,2,0),VLOOKUP(H922,'[2]giá ngoài mỹ 6.8.2025 (final)'!B:BP,51,0)))))</f>
        <v>77</v>
      </c>
      <c r="L922" s="106">
        <v>81</v>
      </c>
      <c r="M922" s="106">
        <f t="shared" si="59"/>
        <v>4</v>
      </c>
      <c r="N922" s="106">
        <v>81</v>
      </c>
      <c r="O922" s="107">
        <v>882.09</v>
      </c>
      <c r="P922" s="107">
        <v>26040</v>
      </c>
      <c r="Q922" s="107">
        <v>22969624</v>
      </c>
      <c r="R922" s="102" t="s">
        <v>30</v>
      </c>
      <c r="S922" s="108"/>
      <c r="T922" s="109"/>
      <c r="U922" s="109"/>
      <c r="V922" s="102"/>
      <c r="W922" s="109"/>
      <c r="X922" s="109"/>
      <c r="Y922" s="110" t="s">
        <v>1096</v>
      </c>
      <c r="Z922" s="111" t="str">
        <f>MID(E922,4,2)</f>
        <v>UT</v>
      </c>
    </row>
    <row r="923" spans="1:26" s="111" customFormat="1" x14ac:dyDescent="0.2">
      <c r="A923" s="101">
        <v>46246</v>
      </c>
      <c r="B923" s="91" t="s">
        <v>1090</v>
      </c>
      <c r="C923" s="102" t="s">
        <v>1091</v>
      </c>
      <c r="D923" s="103" t="s">
        <v>1092</v>
      </c>
      <c r="E923" s="91" t="s">
        <v>1093</v>
      </c>
      <c r="F923" s="91" t="s">
        <v>1128</v>
      </c>
      <c r="G923" s="91" t="s">
        <v>632</v>
      </c>
      <c r="H923" s="104" t="str">
        <f t="shared" si="60"/>
        <v>C4342J20</v>
      </c>
      <c r="I923" s="104"/>
      <c r="J923" s="105">
        <v>10.89</v>
      </c>
      <c r="K923" s="106">
        <v>20</v>
      </c>
      <c r="L923" s="106">
        <v>20</v>
      </c>
      <c r="M923" s="106">
        <f t="shared" si="59"/>
        <v>0</v>
      </c>
      <c r="N923" s="106">
        <v>20</v>
      </c>
      <c r="O923" s="107">
        <v>217.8</v>
      </c>
      <c r="P923" s="107">
        <v>26040</v>
      </c>
      <c r="Q923" s="107">
        <v>5671512</v>
      </c>
      <c r="R923" s="102" t="s">
        <v>30</v>
      </c>
      <c r="S923" s="108"/>
      <c r="T923" s="109"/>
      <c r="U923" s="109"/>
      <c r="V923" s="102"/>
      <c r="W923" s="109"/>
      <c r="X923" s="109"/>
      <c r="Y923" s="110" t="s">
        <v>1096</v>
      </c>
      <c r="Z923" s="111" t="str">
        <f>MID(E923,4,2)</f>
        <v>UT</v>
      </c>
    </row>
    <row r="924" spans="1:26" s="111" customFormat="1" x14ac:dyDescent="0.2">
      <c r="A924" s="101">
        <v>46246</v>
      </c>
      <c r="B924" s="91" t="s">
        <v>1090</v>
      </c>
      <c r="C924" s="102" t="s">
        <v>1091</v>
      </c>
      <c r="D924" s="103" t="s">
        <v>1092</v>
      </c>
      <c r="E924" s="91" t="s">
        <v>1093</v>
      </c>
      <c r="F924" s="91" t="s">
        <v>1129</v>
      </c>
      <c r="G924" s="91" t="s">
        <v>1130</v>
      </c>
      <c r="H924" s="104" t="str">
        <f t="shared" si="60"/>
        <v>C5233J20</v>
      </c>
      <c r="I924" s="104"/>
      <c r="J924" s="105">
        <v>114.35</v>
      </c>
      <c r="K924" s="106">
        <f t="shared" ref="K924:K925" si="61">+L924</f>
        <v>68.209999999999994</v>
      </c>
      <c r="L924" s="106">
        <v>68.209999999999994</v>
      </c>
      <c r="M924" s="106">
        <f t="shared" si="59"/>
        <v>0</v>
      </c>
      <c r="N924" s="106">
        <v>68.209999999999994</v>
      </c>
      <c r="O924" s="107">
        <v>7799.87</v>
      </c>
      <c r="P924" s="107">
        <v>26040</v>
      </c>
      <c r="Q924" s="107">
        <v>203108615</v>
      </c>
      <c r="R924" s="102" t="s">
        <v>30</v>
      </c>
      <c r="S924" s="108"/>
      <c r="T924" s="109"/>
      <c r="U924" s="109"/>
      <c r="V924" s="102"/>
      <c r="W924" s="109"/>
      <c r="X924" s="109"/>
      <c r="Y924" s="110" t="s">
        <v>1096</v>
      </c>
      <c r="Z924" s="111" t="str">
        <f>MID(E924,4,2)</f>
        <v>UT</v>
      </c>
    </row>
    <row r="925" spans="1:26" s="111" customFormat="1" x14ac:dyDescent="0.2">
      <c r="A925" s="101">
        <v>46246</v>
      </c>
      <c r="B925" s="91" t="s">
        <v>1090</v>
      </c>
      <c r="C925" s="102" t="s">
        <v>1091</v>
      </c>
      <c r="D925" s="103" t="s">
        <v>1092</v>
      </c>
      <c r="E925" s="91" t="s">
        <v>1093</v>
      </c>
      <c r="F925" s="91" t="s">
        <v>1131</v>
      </c>
      <c r="G925" s="91" t="s">
        <v>1130</v>
      </c>
      <c r="H925" s="104" t="str">
        <f t="shared" si="60"/>
        <v>C5233J20</v>
      </c>
      <c r="I925" s="104"/>
      <c r="J925" s="105">
        <v>21.78</v>
      </c>
      <c r="K925" s="106">
        <f t="shared" si="61"/>
        <v>68.209999999999994</v>
      </c>
      <c r="L925" s="106">
        <v>68.209999999999994</v>
      </c>
      <c r="M925" s="106">
        <f t="shared" si="59"/>
        <v>0</v>
      </c>
      <c r="N925" s="106">
        <v>68.209999999999994</v>
      </c>
      <c r="O925" s="107">
        <v>1485.63</v>
      </c>
      <c r="P925" s="107">
        <v>26040</v>
      </c>
      <c r="Q925" s="107">
        <v>38685805</v>
      </c>
      <c r="R925" s="102" t="s">
        <v>30</v>
      </c>
      <c r="S925" s="108"/>
      <c r="T925" s="109"/>
      <c r="U925" s="109"/>
      <c r="V925" s="102"/>
      <c r="W925" s="109"/>
      <c r="X925" s="109"/>
      <c r="Y925" s="110" t="s">
        <v>1096</v>
      </c>
      <c r="Z925" s="111" t="str">
        <f>MID(E925,4,2)</f>
        <v>UT</v>
      </c>
    </row>
    <row r="926" spans="1:26" s="111" customFormat="1" x14ac:dyDescent="0.2">
      <c r="A926" s="101">
        <v>46246</v>
      </c>
      <c r="B926" s="91" t="s">
        <v>1132</v>
      </c>
      <c r="C926" s="102" t="s">
        <v>1133</v>
      </c>
      <c r="D926" s="103" t="s">
        <v>47</v>
      </c>
      <c r="E926" s="91" t="s">
        <v>1134</v>
      </c>
      <c r="F926" s="91" t="s">
        <v>479</v>
      </c>
      <c r="G926" s="91" t="s">
        <v>480</v>
      </c>
      <c r="H926" s="104" t="str">
        <f t="shared" si="60"/>
        <v>C4342J30</v>
      </c>
      <c r="I926" s="104"/>
      <c r="J926" s="105">
        <v>315.81</v>
      </c>
      <c r="K926" s="106">
        <f>IF(D926="CAESARSTONE LTD",VLOOKUP(H926,'[2]GIA CA'!G:H,2,0),IF(OR(D926="STONE FACINGS LIMITED",D926="NORDIA SA",D926="INVICTUS STONE COUNTERTOPS INC",D926="QUARTZTOP LLC"),VLOOKUP(H926,'[2] Giá ngoài Mỹ - SI-GR'!$B$5:$AZ$84,51,0),IF(OR(D926="HYUNDAI L&amp;C CANADA INC",D926="Hyundai L&amp; C USA LLC"),VLOOKUP(H926,'[2]GIA HS'!A:D,4,0),IF(Y926="Mỹ",VLOOKUP(H926,'[2]giá mỹ từ 6.8.2025'!B:I,2,0),VLOOKUP(H926,'[2]giá ngoài mỹ 6.8.2025 (final)'!B:BP,51,0)))))</f>
        <v>79</v>
      </c>
      <c r="L926" s="106">
        <v>83.09</v>
      </c>
      <c r="M926" s="106">
        <f t="shared" si="59"/>
        <v>4.0900000000000034</v>
      </c>
      <c r="N926" s="106">
        <v>83.09</v>
      </c>
      <c r="O926" s="107">
        <v>26240.36</v>
      </c>
      <c r="P926" s="107">
        <v>26040</v>
      </c>
      <c r="Q926" s="107">
        <v>683298974</v>
      </c>
      <c r="R926" s="102" t="s">
        <v>30</v>
      </c>
      <c r="S926" s="108"/>
      <c r="T926" s="109"/>
      <c r="U926" s="109"/>
      <c r="V926" s="102"/>
      <c r="W926" s="109"/>
      <c r="X926" s="109"/>
      <c r="Y926" s="110" t="s">
        <v>31</v>
      </c>
      <c r="Z926" s="111" t="str">
        <f>MID(E926,4,2)</f>
        <v>AT</v>
      </c>
    </row>
    <row r="927" spans="1:26" s="111" customFormat="1" x14ac:dyDescent="0.2">
      <c r="A927" s="101">
        <v>46246</v>
      </c>
      <c r="B927" s="91" t="s">
        <v>1135</v>
      </c>
      <c r="C927" s="102" t="s">
        <v>1136</v>
      </c>
      <c r="D927" s="103" t="s">
        <v>47</v>
      </c>
      <c r="E927" s="91" t="s">
        <v>1137</v>
      </c>
      <c r="F927" s="91" t="s">
        <v>479</v>
      </c>
      <c r="G927" s="91" t="s">
        <v>480</v>
      </c>
      <c r="H927" s="104" t="str">
        <f t="shared" si="60"/>
        <v>C4342J30</v>
      </c>
      <c r="I927" s="104"/>
      <c r="J927" s="105">
        <v>315.81</v>
      </c>
      <c r="K927" s="106">
        <f>IF(D927="CAESARSTONE LTD",VLOOKUP(H927,'[2]GIA CA'!G:H,2,0),IF(OR(D927="STONE FACINGS LIMITED",D927="NORDIA SA",D927="INVICTUS STONE COUNTERTOPS INC",D927="QUARTZTOP LLC"),VLOOKUP(H927,'[2] Giá ngoài Mỹ - SI-GR'!$B$5:$AZ$84,51,0),IF(OR(D927="HYUNDAI L&amp;C CANADA INC",D927="Hyundai L&amp; C USA LLC"),VLOOKUP(H927,'[2]GIA HS'!A:D,4,0),IF(Y927="Mỹ",VLOOKUP(H927,'[2]giá mỹ từ 6.8.2025'!B:I,2,0),VLOOKUP(H927,'[2]giá ngoài mỹ 6.8.2025 (final)'!B:BP,51,0)))))</f>
        <v>79</v>
      </c>
      <c r="L927" s="106">
        <v>83.09</v>
      </c>
      <c r="M927" s="106">
        <f t="shared" si="59"/>
        <v>4.0900000000000034</v>
      </c>
      <c r="N927" s="106">
        <v>83.09</v>
      </c>
      <c r="O927" s="107">
        <v>26240.36</v>
      </c>
      <c r="P927" s="107">
        <v>26040</v>
      </c>
      <c r="Q927" s="107">
        <v>683298974</v>
      </c>
      <c r="R927" s="102" t="s">
        <v>30</v>
      </c>
      <c r="S927" s="108"/>
      <c r="T927" s="109"/>
      <c r="U927" s="109"/>
      <c r="V927" s="102"/>
      <c r="W927" s="109"/>
      <c r="X927" s="109"/>
      <c r="Y927" s="110" t="s">
        <v>31</v>
      </c>
      <c r="Z927" s="111" t="str">
        <f>MID(E927,4,2)</f>
        <v>AT</v>
      </c>
    </row>
    <row r="928" spans="1:26" s="111" customFormat="1" x14ac:dyDescent="0.2">
      <c r="A928" s="101">
        <v>46246</v>
      </c>
      <c r="B928" s="91" t="s">
        <v>1138</v>
      </c>
      <c r="C928" s="102" t="s">
        <v>1139</v>
      </c>
      <c r="D928" s="103" t="s">
        <v>490</v>
      </c>
      <c r="E928" s="91" t="s">
        <v>1140</v>
      </c>
      <c r="F928" s="91" t="s">
        <v>1141</v>
      </c>
      <c r="G928" s="91" t="s">
        <v>1142</v>
      </c>
      <c r="H928" s="104" t="str">
        <f t="shared" si="60"/>
        <v>C1102J20</v>
      </c>
      <c r="I928" s="104"/>
      <c r="J928" s="105">
        <v>49.01</v>
      </c>
      <c r="K928" s="106">
        <v>20</v>
      </c>
      <c r="L928" s="106">
        <v>20.399999999999999</v>
      </c>
      <c r="M928" s="106">
        <f t="shared" si="59"/>
        <v>0.39999999999999858</v>
      </c>
      <c r="N928" s="106">
        <v>20.399999999999999</v>
      </c>
      <c r="O928" s="107">
        <v>999.81</v>
      </c>
      <c r="P928" s="107">
        <v>26040</v>
      </c>
      <c r="Q928" s="107">
        <v>26035052</v>
      </c>
      <c r="R928" s="102" t="s">
        <v>30</v>
      </c>
      <c r="S928" s="108"/>
      <c r="T928" s="109"/>
      <c r="U928" s="109"/>
      <c r="V928" s="102"/>
      <c r="W928" s="109"/>
      <c r="X928" s="109"/>
      <c r="Y928" s="110" t="s">
        <v>494</v>
      </c>
      <c r="Z928" s="111" t="str">
        <f>MID(E928,4,2)</f>
        <v>JO</v>
      </c>
    </row>
    <row r="929" spans="1:26" s="111" customFormat="1" x14ac:dyDescent="0.2">
      <c r="A929" s="101">
        <v>46246</v>
      </c>
      <c r="B929" s="91" t="s">
        <v>1138</v>
      </c>
      <c r="C929" s="102" t="s">
        <v>1139</v>
      </c>
      <c r="D929" s="103" t="s">
        <v>490</v>
      </c>
      <c r="E929" s="91" t="s">
        <v>1140</v>
      </c>
      <c r="F929" s="91" t="s">
        <v>1143</v>
      </c>
      <c r="G929" s="91" t="s">
        <v>1144</v>
      </c>
      <c r="H929" s="104" t="str">
        <f t="shared" si="60"/>
        <v>C1102J20</v>
      </c>
      <c r="I929" s="104"/>
      <c r="J929" s="105">
        <v>32.659999999999997</v>
      </c>
      <c r="K929" s="106">
        <v>20</v>
      </c>
      <c r="L929" s="106">
        <v>20.399999999999999</v>
      </c>
      <c r="M929" s="106">
        <f t="shared" si="59"/>
        <v>0.39999999999999858</v>
      </c>
      <c r="N929" s="106">
        <v>20.399999999999999</v>
      </c>
      <c r="O929" s="107">
        <v>666.26</v>
      </c>
      <c r="P929" s="107">
        <v>26040</v>
      </c>
      <c r="Q929" s="107">
        <v>17349410</v>
      </c>
      <c r="R929" s="102" t="s">
        <v>30</v>
      </c>
      <c r="S929" s="108"/>
      <c r="T929" s="109"/>
      <c r="U929" s="109"/>
      <c r="V929" s="102"/>
      <c r="W929" s="109"/>
      <c r="X929" s="109"/>
      <c r="Y929" s="110" t="s">
        <v>494</v>
      </c>
      <c r="Z929" s="111" t="str">
        <f>MID(E929,4,2)</f>
        <v>JO</v>
      </c>
    </row>
    <row r="930" spans="1:26" s="111" customFormat="1" x14ac:dyDescent="0.2">
      <c r="A930" s="101">
        <v>46246</v>
      </c>
      <c r="B930" s="91" t="s">
        <v>1138</v>
      </c>
      <c r="C930" s="102" t="s">
        <v>1139</v>
      </c>
      <c r="D930" s="103" t="s">
        <v>490</v>
      </c>
      <c r="E930" s="91" t="s">
        <v>1140</v>
      </c>
      <c r="F930" s="91" t="s">
        <v>1145</v>
      </c>
      <c r="G930" s="91" t="s">
        <v>1146</v>
      </c>
      <c r="H930" s="104" t="str">
        <f t="shared" si="60"/>
        <v>C1102J20</v>
      </c>
      <c r="I930" s="104"/>
      <c r="J930" s="105">
        <v>5.45</v>
      </c>
      <c r="K930" s="106">
        <v>30</v>
      </c>
      <c r="L930" s="106">
        <v>30.6</v>
      </c>
      <c r="M930" s="106">
        <f t="shared" si="59"/>
        <v>0.60000000000000142</v>
      </c>
      <c r="N930" s="106">
        <v>30.6</v>
      </c>
      <c r="O930" s="107">
        <v>166.77</v>
      </c>
      <c r="P930" s="107">
        <v>26040</v>
      </c>
      <c r="Q930" s="107">
        <v>4342691</v>
      </c>
      <c r="R930" s="102" t="s">
        <v>30</v>
      </c>
      <c r="S930" s="108"/>
      <c r="T930" s="109"/>
      <c r="U930" s="109"/>
      <c r="V930" s="102"/>
      <c r="W930" s="109"/>
      <c r="X930" s="109"/>
      <c r="Y930" s="110" t="s">
        <v>494</v>
      </c>
      <c r="Z930" s="111" t="str">
        <f>MID(E930,4,2)</f>
        <v>JO</v>
      </c>
    </row>
    <row r="931" spans="1:26" s="111" customFormat="1" x14ac:dyDescent="0.2">
      <c r="A931" s="101">
        <v>46246</v>
      </c>
      <c r="B931" s="91" t="s">
        <v>1138</v>
      </c>
      <c r="C931" s="102" t="s">
        <v>1139</v>
      </c>
      <c r="D931" s="103" t="s">
        <v>490</v>
      </c>
      <c r="E931" s="91" t="s">
        <v>1140</v>
      </c>
      <c r="F931" s="91" t="s">
        <v>1147</v>
      </c>
      <c r="G931" s="91" t="s">
        <v>1144</v>
      </c>
      <c r="H931" s="104" t="str">
        <f t="shared" si="60"/>
        <v>C1102J20</v>
      </c>
      <c r="I931" s="104"/>
      <c r="J931" s="105">
        <v>5.45</v>
      </c>
      <c r="K931" s="106">
        <v>20</v>
      </c>
      <c r="L931" s="106">
        <v>20.399999999999999</v>
      </c>
      <c r="M931" s="106">
        <f t="shared" si="59"/>
        <v>0.39999999999999858</v>
      </c>
      <c r="N931" s="106">
        <v>20.399999999999999</v>
      </c>
      <c r="O931" s="107">
        <v>111.18</v>
      </c>
      <c r="P931" s="107">
        <v>26040</v>
      </c>
      <c r="Q931" s="107">
        <v>2895127</v>
      </c>
      <c r="R931" s="102" t="s">
        <v>30</v>
      </c>
      <c r="S931" s="108"/>
      <c r="T931" s="109"/>
      <c r="U931" s="109"/>
      <c r="V931" s="102"/>
      <c r="W931" s="109"/>
      <c r="X931" s="109"/>
      <c r="Y931" s="110" t="s">
        <v>494</v>
      </c>
      <c r="Z931" s="111" t="str">
        <f>MID(E931,4,2)</f>
        <v>JO</v>
      </c>
    </row>
    <row r="932" spans="1:26" s="111" customFormat="1" x14ac:dyDescent="0.2">
      <c r="A932" s="101">
        <v>46246</v>
      </c>
      <c r="B932" s="91" t="s">
        <v>1138</v>
      </c>
      <c r="C932" s="102" t="s">
        <v>1139</v>
      </c>
      <c r="D932" s="103" t="s">
        <v>490</v>
      </c>
      <c r="E932" s="91" t="s">
        <v>1140</v>
      </c>
      <c r="F932" s="91" t="s">
        <v>1148</v>
      </c>
      <c r="G932" s="91" t="s">
        <v>1144</v>
      </c>
      <c r="H932" s="104" t="str">
        <f t="shared" si="60"/>
        <v>C1102J20</v>
      </c>
      <c r="I932" s="104"/>
      <c r="J932" s="105">
        <v>49.01</v>
      </c>
      <c r="K932" s="106">
        <v>20</v>
      </c>
      <c r="L932" s="106">
        <v>20.399999999999999</v>
      </c>
      <c r="M932" s="106">
        <f t="shared" si="59"/>
        <v>0.39999999999999858</v>
      </c>
      <c r="N932" s="106">
        <v>20.399999999999999</v>
      </c>
      <c r="O932" s="107">
        <v>999.8</v>
      </c>
      <c r="P932" s="107">
        <v>26040</v>
      </c>
      <c r="Q932" s="107">
        <v>26034792</v>
      </c>
      <c r="R932" s="102" t="s">
        <v>30</v>
      </c>
      <c r="S932" s="108"/>
      <c r="T932" s="109"/>
      <c r="U932" s="109"/>
      <c r="V932" s="102"/>
      <c r="W932" s="109"/>
      <c r="X932" s="109"/>
      <c r="Y932" s="110" t="s">
        <v>494</v>
      </c>
      <c r="Z932" s="111" t="str">
        <f>MID(E932,4,2)</f>
        <v>JO</v>
      </c>
    </row>
    <row r="933" spans="1:26" s="111" customFormat="1" x14ac:dyDescent="0.2">
      <c r="A933" s="101">
        <v>46246</v>
      </c>
      <c r="B933" s="91" t="s">
        <v>1138</v>
      </c>
      <c r="C933" s="102" t="s">
        <v>1139</v>
      </c>
      <c r="D933" s="103" t="s">
        <v>490</v>
      </c>
      <c r="E933" s="91" t="s">
        <v>1140</v>
      </c>
      <c r="F933" s="91" t="s">
        <v>817</v>
      </c>
      <c r="G933" s="91" t="s">
        <v>818</v>
      </c>
      <c r="H933" s="104" t="str">
        <f t="shared" si="60"/>
        <v>C1102J30</v>
      </c>
      <c r="I933" s="104"/>
      <c r="J933" s="105">
        <v>16.329999999999998</v>
      </c>
      <c r="K933" s="106">
        <v>20</v>
      </c>
      <c r="L933" s="106">
        <v>20.399999999999999</v>
      </c>
      <c r="M933" s="106">
        <f t="shared" si="59"/>
        <v>0.39999999999999858</v>
      </c>
      <c r="N933" s="106">
        <v>20.399999999999999</v>
      </c>
      <c r="O933" s="107">
        <v>333.14</v>
      </c>
      <c r="P933" s="107">
        <v>26040</v>
      </c>
      <c r="Q933" s="107">
        <v>8674966</v>
      </c>
      <c r="R933" s="102" t="s">
        <v>30</v>
      </c>
      <c r="S933" s="108"/>
      <c r="T933" s="109"/>
      <c r="U933" s="109"/>
      <c r="V933" s="102"/>
      <c r="W933" s="109"/>
      <c r="X933" s="109"/>
      <c r="Y933" s="110" t="s">
        <v>494</v>
      </c>
      <c r="Z933" s="111" t="str">
        <f>MID(E933,4,2)</f>
        <v>JO</v>
      </c>
    </row>
    <row r="934" spans="1:26" s="111" customFormat="1" x14ac:dyDescent="0.2">
      <c r="A934" s="101">
        <v>46246</v>
      </c>
      <c r="B934" s="91" t="s">
        <v>1138</v>
      </c>
      <c r="C934" s="102" t="s">
        <v>1139</v>
      </c>
      <c r="D934" s="103" t="s">
        <v>490</v>
      </c>
      <c r="E934" s="91" t="s">
        <v>1140</v>
      </c>
      <c r="F934" s="91" t="s">
        <v>817</v>
      </c>
      <c r="G934" s="91" t="s">
        <v>818</v>
      </c>
      <c r="H934" s="104" t="str">
        <f t="shared" si="60"/>
        <v>C1102J30</v>
      </c>
      <c r="I934" s="104"/>
      <c r="J934" s="105">
        <v>5.45</v>
      </c>
      <c r="K934" s="106">
        <v>20</v>
      </c>
      <c r="L934" s="106">
        <v>20.399999999999999</v>
      </c>
      <c r="M934" s="106">
        <f t="shared" si="59"/>
        <v>0.39999999999999858</v>
      </c>
      <c r="N934" s="106">
        <v>20.399999999999999</v>
      </c>
      <c r="O934" s="107">
        <v>111.18</v>
      </c>
      <c r="P934" s="107">
        <v>26040</v>
      </c>
      <c r="Q934" s="107">
        <v>2895127</v>
      </c>
      <c r="R934" s="102" t="s">
        <v>30</v>
      </c>
      <c r="S934" s="108"/>
      <c r="T934" s="109"/>
      <c r="U934" s="109"/>
      <c r="V934" s="102"/>
      <c r="W934" s="109"/>
      <c r="X934" s="109"/>
      <c r="Y934" s="110" t="s">
        <v>494</v>
      </c>
      <c r="Z934" s="111" t="str">
        <f>MID(E934,4,2)</f>
        <v>JO</v>
      </c>
    </row>
    <row r="935" spans="1:26" s="111" customFormat="1" x14ac:dyDescent="0.2">
      <c r="A935" s="101">
        <v>46246</v>
      </c>
      <c r="B935" s="91" t="s">
        <v>1138</v>
      </c>
      <c r="C935" s="102" t="s">
        <v>1139</v>
      </c>
      <c r="D935" s="103" t="s">
        <v>490</v>
      </c>
      <c r="E935" s="91" t="s">
        <v>1140</v>
      </c>
      <c r="F935" s="91" t="s">
        <v>1149</v>
      </c>
      <c r="G935" s="91" t="s">
        <v>1150</v>
      </c>
      <c r="H935" s="104" t="str">
        <f t="shared" si="60"/>
        <v>C1102J20</v>
      </c>
      <c r="I935" s="104"/>
      <c r="J935" s="105">
        <v>43.56</v>
      </c>
      <c r="K935" s="106">
        <v>30</v>
      </c>
      <c r="L935" s="106">
        <v>30.6</v>
      </c>
      <c r="M935" s="106">
        <f t="shared" si="59"/>
        <v>0.60000000000000142</v>
      </c>
      <c r="N935" s="106">
        <v>30.6</v>
      </c>
      <c r="O935" s="107">
        <v>1332.94</v>
      </c>
      <c r="P935" s="107">
        <v>26040</v>
      </c>
      <c r="Q935" s="107">
        <v>34709758</v>
      </c>
      <c r="R935" s="102" t="s">
        <v>30</v>
      </c>
      <c r="S935" s="108"/>
      <c r="T935" s="109"/>
      <c r="U935" s="109"/>
      <c r="V935" s="102"/>
      <c r="W935" s="109"/>
      <c r="X935" s="109"/>
      <c r="Y935" s="110" t="s">
        <v>494</v>
      </c>
      <c r="Z935" s="111" t="str">
        <f>MID(E935,4,2)</f>
        <v>JO</v>
      </c>
    </row>
    <row r="936" spans="1:26" s="111" customFormat="1" x14ac:dyDescent="0.2">
      <c r="A936" s="101">
        <v>46246</v>
      </c>
      <c r="B936" s="91" t="s">
        <v>1138</v>
      </c>
      <c r="C936" s="102" t="s">
        <v>1139</v>
      </c>
      <c r="D936" s="103" t="s">
        <v>490</v>
      </c>
      <c r="E936" s="91" t="s">
        <v>1140</v>
      </c>
      <c r="F936" s="91" t="s">
        <v>1151</v>
      </c>
      <c r="G936" s="91" t="s">
        <v>1150</v>
      </c>
      <c r="H936" s="104" t="str">
        <f t="shared" si="60"/>
        <v>C1102J20</v>
      </c>
      <c r="I936" s="104"/>
      <c r="J936" s="105">
        <v>10.89</v>
      </c>
      <c r="K936" s="106">
        <v>30</v>
      </c>
      <c r="L936" s="106">
        <v>30.6</v>
      </c>
      <c r="M936" s="106">
        <f t="shared" si="59"/>
        <v>0.60000000000000142</v>
      </c>
      <c r="N936" s="106">
        <v>30.6</v>
      </c>
      <c r="O936" s="107">
        <v>333.22</v>
      </c>
      <c r="P936" s="107">
        <v>26040</v>
      </c>
      <c r="Q936" s="107">
        <v>8677049</v>
      </c>
      <c r="R936" s="102" t="s">
        <v>30</v>
      </c>
      <c r="S936" s="108"/>
      <c r="T936" s="109"/>
      <c r="U936" s="109"/>
      <c r="V936" s="102"/>
      <c r="W936" s="109"/>
      <c r="X936" s="109"/>
      <c r="Y936" s="110" t="s">
        <v>494</v>
      </c>
      <c r="Z936" s="111" t="str">
        <f>MID(E936,4,2)</f>
        <v>JO</v>
      </c>
    </row>
    <row r="937" spans="1:26" s="111" customFormat="1" x14ac:dyDescent="0.2">
      <c r="A937" s="101">
        <v>46246</v>
      </c>
      <c r="B937" s="91" t="s">
        <v>1138</v>
      </c>
      <c r="C937" s="102" t="s">
        <v>1139</v>
      </c>
      <c r="D937" s="103" t="s">
        <v>490</v>
      </c>
      <c r="E937" s="91" t="s">
        <v>1140</v>
      </c>
      <c r="F937" s="91" t="s">
        <v>1152</v>
      </c>
      <c r="G937" s="91" t="s">
        <v>1153</v>
      </c>
      <c r="H937" s="104" t="str">
        <f t="shared" si="60"/>
        <v>C3311J30</v>
      </c>
      <c r="I937" s="104"/>
      <c r="J937" s="105">
        <v>5.45</v>
      </c>
      <c r="K937" s="106">
        <v>20</v>
      </c>
      <c r="L937" s="106">
        <v>20.399999999999999</v>
      </c>
      <c r="M937" s="106">
        <f t="shared" si="59"/>
        <v>0.39999999999999858</v>
      </c>
      <c r="N937" s="106">
        <v>20.399999999999999</v>
      </c>
      <c r="O937" s="107">
        <v>111.18</v>
      </c>
      <c r="P937" s="107">
        <v>26040</v>
      </c>
      <c r="Q937" s="107">
        <v>2895127</v>
      </c>
      <c r="R937" s="102" t="s">
        <v>30</v>
      </c>
      <c r="S937" s="108"/>
      <c r="T937" s="109"/>
      <c r="U937" s="109"/>
      <c r="V937" s="102"/>
      <c r="W937" s="109"/>
      <c r="X937" s="109"/>
      <c r="Y937" s="110" t="s">
        <v>494</v>
      </c>
      <c r="Z937" s="111" t="str">
        <f>MID(E937,4,2)</f>
        <v>JO</v>
      </c>
    </row>
    <row r="938" spans="1:26" s="111" customFormat="1" x14ac:dyDescent="0.2">
      <c r="A938" s="101">
        <v>46246</v>
      </c>
      <c r="B938" s="91" t="s">
        <v>1138</v>
      </c>
      <c r="C938" s="102" t="s">
        <v>1139</v>
      </c>
      <c r="D938" s="103" t="s">
        <v>490</v>
      </c>
      <c r="E938" s="91" t="s">
        <v>1140</v>
      </c>
      <c r="F938" s="91" t="s">
        <v>1154</v>
      </c>
      <c r="G938" s="91" t="s">
        <v>1153</v>
      </c>
      <c r="H938" s="104" t="str">
        <f t="shared" si="60"/>
        <v>C3311J30</v>
      </c>
      <c r="I938" s="104"/>
      <c r="J938" s="105">
        <v>5.45</v>
      </c>
      <c r="K938" s="106">
        <v>20</v>
      </c>
      <c r="L938" s="106">
        <v>20.399999999999999</v>
      </c>
      <c r="M938" s="106">
        <f t="shared" si="59"/>
        <v>0.39999999999999858</v>
      </c>
      <c r="N938" s="106">
        <v>20.399999999999999</v>
      </c>
      <c r="O938" s="107">
        <v>111.18</v>
      </c>
      <c r="P938" s="107">
        <v>26040</v>
      </c>
      <c r="Q938" s="107">
        <v>2895127</v>
      </c>
      <c r="R938" s="102" t="s">
        <v>30</v>
      </c>
      <c r="S938" s="108"/>
      <c r="T938" s="109"/>
      <c r="U938" s="109"/>
      <c r="V938" s="102"/>
      <c r="W938" s="109"/>
      <c r="X938" s="109"/>
      <c r="Y938" s="110" t="s">
        <v>494</v>
      </c>
      <c r="Z938" s="111" t="str">
        <f>MID(E938,4,2)</f>
        <v>JO</v>
      </c>
    </row>
    <row r="939" spans="1:26" s="111" customFormat="1" x14ac:dyDescent="0.2">
      <c r="A939" s="101">
        <v>46246</v>
      </c>
      <c r="B939" s="91" t="s">
        <v>1138</v>
      </c>
      <c r="C939" s="102" t="s">
        <v>1139</v>
      </c>
      <c r="D939" s="103" t="s">
        <v>490</v>
      </c>
      <c r="E939" s="91" t="s">
        <v>1140</v>
      </c>
      <c r="F939" s="91" t="s">
        <v>1154</v>
      </c>
      <c r="G939" s="91" t="s">
        <v>1153</v>
      </c>
      <c r="H939" s="104" t="str">
        <f t="shared" si="60"/>
        <v>C3311J30</v>
      </c>
      <c r="I939" s="104"/>
      <c r="J939" s="105">
        <v>5.45</v>
      </c>
      <c r="K939" s="106">
        <v>20</v>
      </c>
      <c r="L939" s="106">
        <v>20.399999999999999</v>
      </c>
      <c r="M939" s="106">
        <f t="shared" si="59"/>
        <v>0.39999999999999858</v>
      </c>
      <c r="N939" s="106">
        <v>20.399999999999999</v>
      </c>
      <c r="O939" s="107">
        <v>111.18</v>
      </c>
      <c r="P939" s="107">
        <v>26040</v>
      </c>
      <c r="Q939" s="107">
        <v>2895127</v>
      </c>
      <c r="R939" s="102" t="s">
        <v>30</v>
      </c>
      <c r="S939" s="108"/>
      <c r="T939" s="109"/>
      <c r="U939" s="109"/>
      <c r="V939" s="102"/>
      <c r="W939" s="109"/>
      <c r="X939" s="109"/>
      <c r="Y939" s="110" t="s">
        <v>494</v>
      </c>
      <c r="Z939" s="111" t="str">
        <f>MID(E939,4,2)</f>
        <v>JO</v>
      </c>
    </row>
    <row r="940" spans="1:26" s="111" customFormat="1" x14ac:dyDescent="0.2">
      <c r="A940" s="101">
        <v>46246</v>
      </c>
      <c r="B940" s="91" t="s">
        <v>1138</v>
      </c>
      <c r="C940" s="102" t="s">
        <v>1139</v>
      </c>
      <c r="D940" s="103" t="s">
        <v>490</v>
      </c>
      <c r="E940" s="91" t="s">
        <v>1140</v>
      </c>
      <c r="F940" s="91" t="s">
        <v>1155</v>
      </c>
      <c r="G940" s="91" t="s">
        <v>1153</v>
      </c>
      <c r="H940" s="104" t="str">
        <f t="shared" si="60"/>
        <v>C3311J30</v>
      </c>
      <c r="I940" s="104"/>
      <c r="J940" s="105">
        <v>10.88</v>
      </c>
      <c r="K940" s="106">
        <v>20</v>
      </c>
      <c r="L940" s="106">
        <v>20.399999999999999</v>
      </c>
      <c r="M940" s="106">
        <f t="shared" si="59"/>
        <v>0.39999999999999858</v>
      </c>
      <c r="N940" s="106">
        <v>20.399999999999999</v>
      </c>
      <c r="O940" s="107">
        <v>221.95</v>
      </c>
      <c r="P940" s="107">
        <v>26040</v>
      </c>
      <c r="Q940" s="107">
        <v>5779578</v>
      </c>
      <c r="R940" s="102" t="s">
        <v>30</v>
      </c>
      <c r="S940" s="108"/>
      <c r="T940" s="109"/>
      <c r="U940" s="109"/>
      <c r="V940" s="102"/>
      <c r="W940" s="109"/>
      <c r="X940" s="109"/>
      <c r="Y940" s="110" t="s">
        <v>494</v>
      </c>
      <c r="Z940" s="111" t="str">
        <f>MID(E940,4,2)</f>
        <v>JO</v>
      </c>
    </row>
    <row r="941" spans="1:26" s="111" customFormat="1" x14ac:dyDescent="0.2">
      <c r="A941" s="101">
        <v>46246</v>
      </c>
      <c r="B941" s="91" t="s">
        <v>1138</v>
      </c>
      <c r="C941" s="102" t="s">
        <v>1139</v>
      </c>
      <c r="D941" s="103" t="s">
        <v>490</v>
      </c>
      <c r="E941" s="91" t="s">
        <v>1140</v>
      </c>
      <c r="F941" s="91" t="s">
        <v>1155</v>
      </c>
      <c r="G941" s="91" t="s">
        <v>1153</v>
      </c>
      <c r="H941" s="104" t="str">
        <f t="shared" si="60"/>
        <v>C3311J30</v>
      </c>
      <c r="I941" s="104"/>
      <c r="J941" s="105">
        <v>5.45</v>
      </c>
      <c r="K941" s="106">
        <v>20</v>
      </c>
      <c r="L941" s="106">
        <v>20.399999999999999</v>
      </c>
      <c r="M941" s="106">
        <f t="shared" si="59"/>
        <v>0.39999999999999858</v>
      </c>
      <c r="N941" s="106">
        <v>20.399999999999999</v>
      </c>
      <c r="O941" s="107">
        <v>111.18</v>
      </c>
      <c r="P941" s="107">
        <v>26040</v>
      </c>
      <c r="Q941" s="107">
        <v>2895127</v>
      </c>
      <c r="R941" s="102" t="s">
        <v>30</v>
      </c>
      <c r="S941" s="108"/>
      <c r="T941" s="109"/>
      <c r="U941" s="109"/>
      <c r="V941" s="102"/>
      <c r="W941" s="109"/>
      <c r="X941" s="109"/>
      <c r="Y941" s="110" t="s">
        <v>494</v>
      </c>
      <c r="Z941" s="111" t="str">
        <f>MID(E941,4,2)</f>
        <v>JO</v>
      </c>
    </row>
    <row r="942" spans="1:26" s="111" customFormat="1" x14ac:dyDescent="0.2">
      <c r="A942" s="101">
        <v>46246</v>
      </c>
      <c r="B942" s="91" t="s">
        <v>1138</v>
      </c>
      <c r="C942" s="102" t="s">
        <v>1139</v>
      </c>
      <c r="D942" s="103" t="s">
        <v>490</v>
      </c>
      <c r="E942" s="91" t="s">
        <v>1140</v>
      </c>
      <c r="F942" s="91" t="s">
        <v>1155</v>
      </c>
      <c r="G942" s="91" t="s">
        <v>1153</v>
      </c>
      <c r="H942" s="104" t="str">
        <f t="shared" si="60"/>
        <v>C3311J30</v>
      </c>
      <c r="I942" s="104"/>
      <c r="J942" s="105">
        <v>21.77</v>
      </c>
      <c r="K942" s="106">
        <v>20</v>
      </c>
      <c r="L942" s="106">
        <v>20.399999999999999</v>
      </c>
      <c r="M942" s="106">
        <f t="shared" si="59"/>
        <v>0.39999999999999858</v>
      </c>
      <c r="N942" s="106">
        <v>20.399999999999999</v>
      </c>
      <c r="O942" s="107">
        <v>444.11</v>
      </c>
      <c r="P942" s="107">
        <v>26040</v>
      </c>
      <c r="Q942" s="107">
        <v>11564624</v>
      </c>
      <c r="R942" s="102" t="s">
        <v>30</v>
      </c>
      <c r="S942" s="108"/>
      <c r="T942" s="109"/>
      <c r="U942" s="109"/>
      <c r="V942" s="102"/>
      <c r="W942" s="109"/>
      <c r="X942" s="109"/>
      <c r="Y942" s="110" t="s">
        <v>494</v>
      </c>
      <c r="Z942" s="111" t="str">
        <f>MID(E942,4,2)</f>
        <v>JO</v>
      </c>
    </row>
    <row r="943" spans="1:26" s="111" customFormat="1" x14ac:dyDescent="0.2">
      <c r="A943" s="101">
        <v>46246</v>
      </c>
      <c r="B943" s="91" t="s">
        <v>1138</v>
      </c>
      <c r="C943" s="102" t="s">
        <v>1139</v>
      </c>
      <c r="D943" s="103" t="s">
        <v>490</v>
      </c>
      <c r="E943" s="91" t="s">
        <v>1140</v>
      </c>
      <c r="F943" s="91" t="s">
        <v>1156</v>
      </c>
      <c r="G943" s="91" t="s">
        <v>1153</v>
      </c>
      <c r="H943" s="104" t="str">
        <f t="shared" si="60"/>
        <v>C3311J30</v>
      </c>
      <c r="I943" s="104"/>
      <c r="J943" s="105">
        <v>16.329999999999998</v>
      </c>
      <c r="K943" s="106">
        <v>20</v>
      </c>
      <c r="L943" s="106">
        <v>20.399999999999999</v>
      </c>
      <c r="M943" s="106">
        <f t="shared" si="59"/>
        <v>0.39999999999999858</v>
      </c>
      <c r="N943" s="106">
        <v>20.399999999999999</v>
      </c>
      <c r="O943" s="107">
        <v>333.13</v>
      </c>
      <c r="P943" s="107">
        <v>26040</v>
      </c>
      <c r="Q943" s="107">
        <v>8674705</v>
      </c>
      <c r="R943" s="102" t="s">
        <v>30</v>
      </c>
      <c r="S943" s="108"/>
      <c r="T943" s="109"/>
      <c r="U943" s="109"/>
      <c r="V943" s="102"/>
      <c r="W943" s="109"/>
      <c r="X943" s="109"/>
      <c r="Y943" s="110" t="s">
        <v>494</v>
      </c>
      <c r="Z943" s="111" t="str">
        <f>MID(E943,4,2)</f>
        <v>JO</v>
      </c>
    </row>
    <row r="944" spans="1:26" s="111" customFormat="1" x14ac:dyDescent="0.2">
      <c r="A944" s="101">
        <v>46246</v>
      </c>
      <c r="B944" s="91" t="s">
        <v>1138</v>
      </c>
      <c r="C944" s="102" t="s">
        <v>1139</v>
      </c>
      <c r="D944" s="103" t="s">
        <v>490</v>
      </c>
      <c r="E944" s="91" t="s">
        <v>1140</v>
      </c>
      <c r="F944" s="91" t="s">
        <v>1156</v>
      </c>
      <c r="G944" s="91" t="s">
        <v>1153</v>
      </c>
      <c r="H944" s="104" t="str">
        <f t="shared" si="60"/>
        <v>C3311J30</v>
      </c>
      <c r="I944" s="104"/>
      <c r="J944" s="105">
        <v>5.45</v>
      </c>
      <c r="K944" s="106">
        <v>20</v>
      </c>
      <c r="L944" s="106">
        <v>20.399999999999999</v>
      </c>
      <c r="M944" s="106">
        <f t="shared" si="59"/>
        <v>0.39999999999999858</v>
      </c>
      <c r="N944" s="106">
        <v>20.399999999999999</v>
      </c>
      <c r="O944" s="107">
        <v>111.18</v>
      </c>
      <c r="P944" s="107">
        <v>26040</v>
      </c>
      <c r="Q944" s="107">
        <v>2895127</v>
      </c>
      <c r="R944" s="102" t="s">
        <v>30</v>
      </c>
      <c r="S944" s="108"/>
      <c r="T944" s="109"/>
      <c r="U944" s="109"/>
      <c r="V944" s="102"/>
      <c r="W944" s="109"/>
      <c r="X944" s="109"/>
      <c r="Y944" s="110" t="s">
        <v>494</v>
      </c>
      <c r="Z944" s="111" t="str">
        <f>MID(E944,4,2)</f>
        <v>JO</v>
      </c>
    </row>
    <row r="945" spans="1:26" s="111" customFormat="1" x14ac:dyDescent="0.2">
      <c r="A945" s="101">
        <v>46246</v>
      </c>
      <c r="B945" s="91" t="s">
        <v>1138</v>
      </c>
      <c r="C945" s="102" t="s">
        <v>1139</v>
      </c>
      <c r="D945" s="103" t="s">
        <v>490</v>
      </c>
      <c r="E945" s="91" t="s">
        <v>1140</v>
      </c>
      <c r="F945" s="91" t="s">
        <v>1156</v>
      </c>
      <c r="G945" s="91" t="s">
        <v>1153</v>
      </c>
      <c r="H945" s="104" t="str">
        <f t="shared" si="60"/>
        <v>C3311J30</v>
      </c>
      <c r="I945" s="104"/>
      <c r="J945" s="105">
        <v>5.45</v>
      </c>
      <c r="K945" s="106">
        <v>20</v>
      </c>
      <c r="L945" s="106">
        <v>20.399999999999999</v>
      </c>
      <c r="M945" s="106">
        <f t="shared" si="59"/>
        <v>0.39999999999999858</v>
      </c>
      <c r="N945" s="106">
        <v>20.399999999999999</v>
      </c>
      <c r="O945" s="107">
        <v>111.18</v>
      </c>
      <c r="P945" s="107">
        <v>26040</v>
      </c>
      <c r="Q945" s="107">
        <v>2895127</v>
      </c>
      <c r="R945" s="102" t="s">
        <v>30</v>
      </c>
      <c r="S945" s="108"/>
      <c r="T945" s="109"/>
      <c r="U945" s="109"/>
      <c r="V945" s="102"/>
      <c r="W945" s="109"/>
      <c r="X945" s="109"/>
      <c r="Y945" s="110" t="s">
        <v>494</v>
      </c>
      <c r="Z945" s="111" t="str">
        <f>MID(E945,4,2)</f>
        <v>JO</v>
      </c>
    </row>
    <row r="946" spans="1:26" s="111" customFormat="1" x14ac:dyDescent="0.2">
      <c r="A946" s="101">
        <v>46246</v>
      </c>
      <c r="B946" s="91" t="s">
        <v>1138</v>
      </c>
      <c r="C946" s="102" t="s">
        <v>1139</v>
      </c>
      <c r="D946" s="103" t="s">
        <v>490</v>
      </c>
      <c r="E946" s="91" t="s">
        <v>1140</v>
      </c>
      <c r="F946" s="91" t="s">
        <v>1156</v>
      </c>
      <c r="G946" s="91" t="s">
        <v>1153</v>
      </c>
      <c r="H946" s="104" t="str">
        <f t="shared" si="60"/>
        <v>C3311J30</v>
      </c>
      <c r="I946" s="104"/>
      <c r="J946" s="105">
        <v>49</v>
      </c>
      <c r="K946" s="106">
        <v>20</v>
      </c>
      <c r="L946" s="106">
        <v>20.399999999999999</v>
      </c>
      <c r="M946" s="106">
        <f t="shared" si="59"/>
        <v>0.39999999999999858</v>
      </c>
      <c r="N946" s="106">
        <v>20.399999999999999</v>
      </c>
      <c r="O946" s="107">
        <v>999.6</v>
      </c>
      <c r="P946" s="107">
        <v>26040</v>
      </c>
      <c r="Q946" s="107">
        <v>26029584</v>
      </c>
      <c r="R946" s="102" t="s">
        <v>30</v>
      </c>
      <c r="S946" s="108"/>
      <c r="T946" s="109"/>
      <c r="U946" s="109"/>
      <c r="V946" s="102"/>
      <c r="W946" s="109"/>
      <c r="X946" s="109"/>
      <c r="Y946" s="110" t="s">
        <v>494</v>
      </c>
      <c r="Z946" s="111" t="str">
        <f>MID(E946,4,2)</f>
        <v>JO</v>
      </c>
    </row>
    <row r="947" spans="1:26" s="111" customFormat="1" x14ac:dyDescent="0.2">
      <c r="A947" s="101">
        <v>46246</v>
      </c>
      <c r="B947" s="91" t="s">
        <v>1138</v>
      </c>
      <c r="C947" s="102" t="s">
        <v>1139</v>
      </c>
      <c r="D947" s="103" t="s">
        <v>490</v>
      </c>
      <c r="E947" s="91" t="s">
        <v>1140</v>
      </c>
      <c r="F947" s="91" t="s">
        <v>1157</v>
      </c>
      <c r="G947" s="91" t="s">
        <v>1153</v>
      </c>
      <c r="H947" s="104" t="str">
        <f t="shared" si="60"/>
        <v>C3311J30</v>
      </c>
      <c r="I947" s="104"/>
      <c r="J947" s="105">
        <v>5.45</v>
      </c>
      <c r="K947" s="106">
        <v>20</v>
      </c>
      <c r="L947" s="106">
        <v>20.399999999999999</v>
      </c>
      <c r="M947" s="106">
        <f t="shared" si="59"/>
        <v>0.39999999999999858</v>
      </c>
      <c r="N947" s="106">
        <v>20.399999999999999</v>
      </c>
      <c r="O947" s="107">
        <v>111.18</v>
      </c>
      <c r="P947" s="107">
        <v>26040</v>
      </c>
      <c r="Q947" s="107">
        <v>2895127</v>
      </c>
      <c r="R947" s="102" t="s">
        <v>30</v>
      </c>
      <c r="S947" s="108"/>
      <c r="T947" s="109"/>
      <c r="U947" s="109"/>
      <c r="V947" s="102"/>
      <c r="W947" s="109"/>
      <c r="X947" s="109"/>
      <c r="Y947" s="110" t="s">
        <v>494</v>
      </c>
      <c r="Z947" s="111" t="str">
        <f>MID(E947,4,2)</f>
        <v>JO</v>
      </c>
    </row>
    <row r="948" spans="1:26" s="111" customFormat="1" x14ac:dyDescent="0.2">
      <c r="A948" s="101">
        <v>46246</v>
      </c>
      <c r="B948" s="91" t="s">
        <v>1138</v>
      </c>
      <c r="C948" s="102" t="s">
        <v>1139</v>
      </c>
      <c r="D948" s="103" t="s">
        <v>490</v>
      </c>
      <c r="E948" s="91" t="s">
        <v>1140</v>
      </c>
      <c r="F948" s="91" t="s">
        <v>492</v>
      </c>
      <c r="G948" s="91" t="s">
        <v>493</v>
      </c>
      <c r="H948" s="104" t="str">
        <f t="shared" si="60"/>
        <v>C4143J30</v>
      </c>
      <c r="I948" s="104"/>
      <c r="J948" s="105">
        <v>5.45</v>
      </c>
      <c r="K948" s="106">
        <v>20</v>
      </c>
      <c r="L948" s="106">
        <v>20.399999999999999</v>
      </c>
      <c r="M948" s="106">
        <f t="shared" si="59"/>
        <v>0.39999999999999858</v>
      </c>
      <c r="N948" s="106">
        <v>20.399999999999999</v>
      </c>
      <c r="O948" s="107">
        <v>111.18</v>
      </c>
      <c r="P948" s="107">
        <v>26040</v>
      </c>
      <c r="Q948" s="107">
        <v>2895127</v>
      </c>
      <c r="R948" s="102" t="s">
        <v>30</v>
      </c>
      <c r="S948" s="108"/>
      <c r="T948" s="109"/>
      <c r="U948" s="109"/>
      <c r="V948" s="102"/>
      <c r="W948" s="109"/>
      <c r="X948" s="109"/>
      <c r="Y948" s="110" t="s">
        <v>494</v>
      </c>
      <c r="Z948" s="111" t="str">
        <f>MID(E948,4,2)</f>
        <v>JO</v>
      </c>
    </row>
    <row r="949" spans="1:26" s="111" customFormat="1" x14ac:dyDescent="0.2">
      <c r="A949" s="101">
        <v>46246</v>
      </c>
      <c r="B949" s="91" t="s">
        <v>1138</v>
      </c>
      <c r="C949" s="102" t="s">
        <v>1139</v>
      </c>
      <c r="D949" s="103" t="s">
        <v>490</v>
      </c>
      <c r="E949" s="91" t="s">
        <v>1140</v>
      </c>
      <c r="F949" s="91" t="s">
        <v>492</v>
      </c>
      <c r="G949" s="91" t="s">
        <v>493</v>
      </c>
      <c r="H949" s="104" t="str">
        <f t="shared" si="60"/>
        <v>C4143J30</v>
      </c>
      <c r="I949" s="104"/>
      <c r="J949" s="105">
        <v>5.45</v>
      </c>
      <c r="K949" s="106">
        <v>20</v>
      </c>
      <c r="L949" s="106">
        <v>20.399999999999999</v>
      </c>
      <c r="M949" s="106">
        <f t="shared" si="59"/>
        <v>0.39999999999999858</v>
      </c>
      <c r="N949" s="106">
        <v>20.399999999999999</v>
      </c>
      <c r="O949" s="107">
        <v>111.18</v>
      </c>
      <c r="P949" s="107">
        <v>26040</v>
      </c>
      <c r="Q949" s="107">
        <v>2895127</v>
      </c>
      <c r="R949" s="102" t="s">
        <v>30</v>
      </c>
      <c r="S949" s="108"/>
      <c r="T949" s="109"/>
      <c r="U949" s="109"/>
      <c r="V949" s="102"/>
      <c r="W949" s="109"/>
      <c r="X949" s="109"/>
      <c r="Y949" s="110" t="s">
        <v>494</v>
      </c>
      <c r="Z949" s="111" t="str">
        <f>MID(E949,4,2)</f>
        <v>JO</v>
      </c>
    </row>
    <row r="950" spans="1:26" s="111" customFormat="1" x14ac:dyDescent="0.2">
      <c r="A950" s="101">
        <v>46246</v>
      </c>
      <c r="B950" s="91" t="s">
        <v>1138</v>
      </c>
      <c r="C950" s="102" t="s">
        <v>1139</v>
      </c>
      <c r="D950" s="103" t="s">
        <v>490</v>
      </c>
      <c r="E950" s="91" t="s">
        <v>1140</v>
      </c>
      <c r="F950" s="91" t="s">
        <v>492</v>
      </c>
      <c r="G950" s="91" t="s">
        <v>493</v>
      </c>
      <c r="H950" s="104" t="str">
        <f t="shared" si="60"/>
        <v>C4143J30</v>
      </c>
      <c r="I950" s="104"/>
      <c r="J950" s="105">
        <v>16.34</v>
      </c>
      <c r="K950" s="106">
        <v>20</v>
      </c>
      <c r="L950" s="106">
        <v>20.399999999999999</v>
      </c>
      <c r="M950" s="106">
        <f t="shared" si="59"/>
        <v>0.39999999999999858</v>
      </c>
      <c r="N950" s="106">
        <v>20.399999999999999</v>
      </c>
      <c r="O950" s="107">
        <v>333.34</v>
      </c>
      <c r="P950" s="107">
        <v>26040</v>
      </c>
      <c r="Q950" s="107">
        <v>8680174</v>
      </c>
      <c r="R950" s="102" t="s">
        <v>30</v>
      </c>
      <c r="S950" s="108"/>
      <c r="T950" s="109"/>
      <c r="U950" s="109"/>
      <c r="V950" s="102"/>
      <c r="W950" s="109"/>
      <c r="X950" s="109"/>
      <c r="Y950" s="110" t="s">
        <v>494</v>
      </c>
      <c r="Z950" s="111" t="str">
        <f>MID(E950,4,2)</f>
        <v>JO</v>
      </c>
    </row>
    <row r="951" spans="1:26" s="111" customFormat="1" x14ac:dyDescent="0.2">
      <c r="A951" s="101">
        <v>46246</v>
      </c>
      <c r="B951" s="91" t="s">
        <v>1138</v>
      </c>
      <c r="C951" s="102" t="s">
        <v>1139</v>
      </c>
      <c r="D951" s="103" t="s">
        <v>490</v>
      </c>
      <c r="E951" s="91" t="s">
        <v>1140</v>
      </c>
      <c r="F951" s="91" t="s">
        <v>495</v>
      </c>
      <c r="G951" s="91" t="s">
        <v>493</v>
      </c>
      <c r="H951" s="104" t="str">
        <f t="shared" si="60"/>
        <v>C4143J30</v>
      </c>
      <c r="I951" s="104"/>
      <c r="J951" s="105">
        <v>5.45</v>
      </c>
      <c r="K951" s="106">
        <v>20</v>
      </c>
      <c r="L951" s="106">
        <v>20.399999999999999</v>
      </c>
      <c r="M951" s="106">
        <f t="shared" si="59"/>
        <v>0.39999999999999858</v>
      </c>
      <c r="N951" s="106">
        <v>20.399999999999999</v>
      </c>
      <c r="O951" s="107">
        <v>111.18</v>
      </c>
      <c r="P951" s="107">
        <v>26040</v>
      </c>
      <c r="Q951" s="107">
        <v>2895127</v>
      </c>
      <c r="R951" s="102" t="s">
        <v>30</v>
      </c>
      <c r="S951" s="108"/>
      <c r="T951" s="109"/>
      <c r="U951" s="109"/>
      <c r="V951" s="102"/>
      <c r="W951" s="109"/>
      <c r="X951" s="109"/>
      <c r="Y951" s="110" t="s">
        <v>494</v>
      </c>
      <c r="Z951" s="111" t="str">
        <f>MID(E951,4,2)</f>
        <v>JO</v>
      </c>
    </row>
    <row r="952" spans="1:26" s="111" customFormat="1" x14ac:dyDescent="0.2">
      <c r="A952" s="101">
        <v>46246</v>
      </c>
      <c r="B952" s="91" t="s">
        <v>1138</v>
      </c>
      <c r="C952" s="102" t="s">
        <v>1139</v>
      </c>
      <c r="D952" s="103" t="s">
        <v>490</v>
      </c>
      <c r="E952" s="91" t="s">
        <v>1140</v>
      </c>
      <c r="F952" s="91" t="s">
        <v>496</v>
      </c>
      <c r="G952" s="91" t="s">
        <v>493</v>
      </c>
      <c r="H952" s="104" t="str">
        <f t="shared" si="60"/>
        <v>C4143J30</v>
      </c>
      <c r="I952" s="104"/>
      <c r="J952" s="105">
        <v>10.88</v>
      </c>
      <c r="K952" s="106">
        <v>20</v>
      </c>
      <c r="L952" s="106">
        <v>20.399999999999999</v>
      </c>
      <c r="M952" s="106">
        <f t="shared" si="59"/>
        <v>0.39999999999999858</v>
      </c>
      <c r="N952" s="106">
        <v>20.399999999999999</v>
      </c>
      <c r="O952" s="107">
        <v>221.95</v>
      </c>
      <c r="P952" s="107">
        <v>26040</v>
      </c>
      <c r="Q952" s="107">
        <v>5779578</v>
      </c>
      <c r="R952" s="102" t="s">
        <v>30</v>
      </c>
      <c r="S952" s="108"/>
      <c r="T952" s="109"/>
      <c r="U952" s="109"/>
      <c r="V952" s="102"/>
      <c r="W952" s="109"/>
      <c r="X952" s="109"/>
      <c r="Y952" s="110" t="s">
        <v>494</v>
      </c>
      <c r="Z952" s="111" t="str">
        <f>MID(E952,4,2)</f>
        <v>JO</v>
      </c>
    </row>
    <row r="953" spans="1:26" s="111" customFormat="1" x14ac:dyDescent="0.2">
      <c r="A953" s="101">
        <v>46246</v>
      </c>
      <c r="B953" s="91" t="s">
        <v>1138</v>
      </c>
      <c r="C953" s="102" t="s">
        <v>1139</v>
      </c>
      <c r="D953" s="103" t="s">
        <v>490</v>
      </c>
      <c r="E953" s="91" t="s">
        <v>1140</v>
      </c>
      <c r="F953" s="91" t="s">
        <v>496</v>
      </c>
      <c r="G953" s="91" t="s">
        <v>493</v>
      </c>
      <c r="H953" s="104" t="str">
        <f t="shared" si="60"/>
        <v>C4143J30</v>
      </c>
      <c r="I953" s="104"/>
      <c r="J953" s="105">
        <v>5.45</v>
      </c>
      <c r="K953" s="106">
        <v>20</v>
      </c>
      <c r="L953" s="106">
        <v>20.399999999999999</v>
      </c>
      <c r="M953" s="106">
        <f t="shared" si="59"/>
        <v>0.39999999999999858</v>
      </c>
      <c r="N953" s="106">
        <v>20.399999999999999</v>
      </c>
      <c r="O953" s="107">
        <v>111.18</v>
      </c>
      <c r="P953" s="107">
        <v>26040</v>
      </c>
      <c r="Q953" s="107">
        <v>2895127</v>
      </c>
      <c r="R953" s="102" t="s">
        <v>30</v>
      </c>
      <c r="S953" s="108"/>
      <c r="T953" s="109"/>
      <c r="U953" s="109"/>
      <c r="V953" s="102"/>
      <c r="W953" s="109"/>
      <c r="X953" s="109"/>
      <c r="Y953" s="110" t="s">
        <v>494</v>
      </c>
      <c r="Z953" s="111" t="str">
        <f>MID(E953,4,2)</f>
        <v>JO</v>
      </c>
    </row>
    <row r="954" spans="1:26" s="111" customFormat="1" x14ac:dyDescent="0.2">
      <c r="A954" s="101">
        <v>46246</v>
      </c>
      <c r="B954" s="91" t="s">
        <v>1138</v>
      </c>
      <c r="C954" s="102" t="s">
        <v>1139</v>
      </c>
      <c r="D954" s="103" t="s">
        <v>490</v>
      </c>
      <c r="E954" s="91" t="s">
        <v>1140</v>
      </c>
      <c r="F954" s="91" t="s">
        <v>496</v>
      </c>
      <c r="G954" s="91" t="s">
        <v>493</v>
      </c>
      <c r="H954" s="104" t="str">
        <f t="shared" si="60"/>
        <v>C4143J30</v>
      </c>
      <c r="I954" s="104"/>
      <c r="J954" s="105">
        <v>10.88</v>
      </c>
      <c r="K954" s="106">
        <v>20</v>
      </c>
      <c r="L954" s="106">
        <v>20.399999999999999</v>
      </c>
      <c r="M954" s="106">
        <f t="shared" si="59"/>
        <v>0.39999999999999858</v>
      </c>
      <c r="N954" s="106">
        <v>20.399999999999999</v>
      </c>
      <c r="O954" s="107">
        <v>221.95</v>
      </c>
      <c r="P954" s="107">
        <v>26040</v>
      </c>
      <c r="Q954" s="107">
        <v>5779578</v>
      </c>
      <c r="R954" s="102" t="s">
        <v>30</v>
      </c>
      <c r="S954" s="108"/>
      <c r="T954" s="109"/>
      <c r="U954" s="109"/>
      <c r="V954" s="102"/>
      <c r="W954" s="109"/>
      <c r="X954" s="109"/>
      <c r="Y954" s="110" t="s">
        <v>494</v>
      </c>
      <c r="Z954" s="111" t="str">
        <f>MID(E954,4,2)</f>
        <v>JO</v>
      </c>
    </row>
    <row r="955" spans="1:26" s="111" customFormat="1" x14ac:dyDescent="0.2">
      <c r="A955" s="101">
        <v>46246</v>
      </c>
      <c r="B955" s="91" t="s">
        <v>1158</v>
      </c>
      <c r="C955" s="102" t="s">
        <v>1159</v>
      </c>
      <c r="D955" s="103" t="s">
        <v>1160</v>
      </c>
      <c r="E955" s="91" t="s">
        <v>1161</v>
      </c>
      <c r="F955" s="91" t="s">
        <v>1162</v>
      </c>
      <c r="G955" s="91" t="s">
        <v>1163</v>
      </c>
      <c r="H955" s="104" t="str">
        <f t="shared" si="60"/>
        <v>C1102J20</v>
      </c>
      <c r="I955" s="104"/>
      <c r="J955" s="105">
        <v>0.86</v>
      </c>
      <c r="K955" s="106">
        <f>IF(D955="CAESARSTONE LTD",VLOOKUP(H955,'[2]GIA CA'!G:H,2,0),IF(OR(D955="STONE FACINGS LIMITED",D955="NORDIA SA",D955="INVICTUS STONE COUNTERTOPS INC",D955="QUARTZTOP LLC"),VLOOKUP(H955,'[2] Giá ngoài Mỹ - SI-GR'!$B$5:$AZ$84,51,0),IF(OR(D955="HYUNDAI L&amp;C CANADA INC",D955="Hyundai L&amp; C USA LLC"),VLOOKUP(H955,'[2]GIA HS'!A:D,4,0),IF(Y955="Mỹ",VLOOKUP(H955,'[2]giá mỹ từ 6.8.2025'!B:I,2,0),VLOOKUP(H955,'[2]giá ngoài mỹ 6.8.2025 (final)'!B:BP,51,0)))))</f>
        <v>70</v>
      </c>
      <c r="L955" s="106">
        <v>72</v>
      </c>
      <c r="M955" s="106">
        <f t="shared" si="59"/>
        <v>2</v>
      </c>
      <c r="N955" s="106">
        <v>78.7</v>
      </c>
      <c r="O955" s="107">
        <v>67.680000000000007</v>
      </c>
      <c r="P955" s="107">
        <v>26040</v>
      </c>
      <c r="Q955" s="107">
        <v>1762387</v>
      </c>
      <c r="R955" s="102"/>
      <c r="S955" s="108"/>
      <c r="T955" s="109" t="s">
        <v>30</v>
      </c>
      <c r="U955" s="109"/>
      <c r="V955" s="102"/>
      <c r="W955" s="109"/>
      <c r="X955" s="109"/>
      <c r="Y955" s="110" t="s">
        <v>31</v>
      </c>
      <c r="Z955" s="111" t="str">
        <f>MID(E955,4,2)</f>
        <v>VE</v>
      </c>
    </row>
    <row r="956" spans="1:26" s="111" customFormat="1" x14ac:dyDescent="0.2">
      <c r="A956" s="101">
        <v>46246</v>
      </c>
      <c r="B956" s="91" t="s">
        <v>1158</v>
      </c>
      <c r="C956" s="102" t="s">
        <v>1159</v>
      </c>
      <c r="D956" s="103" t="s">
        <v>1160</v>
      </c>
      <c r="E956" s="91" t="s">
        <v>1161</v>
      </c>
      <c r="F956" s="91" t="s">
        <v>1164</v>
      </c>
      <c r="G956" s="91" t="s">
        <v>1165</v>
      </c>
      <c r="H956" s="104" t="str">
        <f t="shared" si="60"/>
        <v>C3146J20</v>
      </c>
      <c r="I956" s="104"/>
      <c r="J956" s="105">
        <v>0.94</v>
      </c>
      <c r="K956" s="106">
        <f>IF(D956="CAESARSTONE LTD",VLOOKUP(H956,'[2]GIA CA'!G:H,2,0),IF(OR(D956="STONE FACINGS LIMITED",D956="NORDIA SA",D956="INVICTUS STONE COUNTERTOPS INC",D956="QUARTZTOP LLC"),VLOOKUP(H956,'[2] Giá ngoài Mỹ - SI-GR'!$B$5:$AZ$84,51,0),IF(OR(D956="HYUNDAI L&amp;C CANADA INC",D956="Hyundai L&amp; C USA LLC"),VLOOKUP(H956,'[2]GIA HS'!A:D,4,0),IF(Y956="Mỹ",VLOOKUP(H956,'[2]giá mỹ từ 6.8.2025'!B:I,2,0),VLOOKUP(H956,'[2]giá ngoài mỹ 6.8.2025 (final)'!B:BP,51,0)))))</f>
        <v>55</v>
      </c>
      <c r="L956" s="106">
        <v>59</v>
      </c>
      <c r="M956" s="106">
        <f t="shared" si="59"/>
        <v>4</v>
      </c>
      <c r="N956" s="106">
        <v>59</v>
      </c>
      <c r="O956" s="107">
        <v>55.46</v>
      </c>
      <c r="P956" s="107">
        <v>26040</v>
      </c>
      <c r="Q956" s="107">
        <v>1444178</v>
      </c>
      <c r="R956" s="102"/>
      <c r="S956" s="108"/>
      <c r="T956" s="109" t="s">
        <v>30</v>
      </c>
      <c r="U956" s="109"/>
      <c r="V956" s="102"/>
      <c r="W956" s="109"/>
      <c r="X956" s="109"/>
      <c r="Y956" s="110" t="s">
        <v>31</v>
      </c>
      <c r="Z956" s="111" t="str">
        <f>MID(E956,4,2)</f>
        <v>VE</v>
      </c>
    </row>
    <row r="957" spans="1:26" s="111" customFormat="1" x14ac:dyDescent="0.2">
      <c r="A957" s="101">
        <v>46246</v>
      </c>
      <c r="B957" s="91" t="s">
        <v>1158</v>
      </c>
      <c r="C957" s="102" t="s">
        <v>1159</v>
      </c>
      <c r="D957" s="103" t="s">
        <v>1160</v>
      </c>
      <c r="E957" s="91" t="s">
        <v>1161</v>
      </c>
      <c r="F957" s="91" t="s">
        <v>1166</v>
      </c>
      <c r="G957" s="91" t="s">
        <v>1167</v>
      </c>
      <c r="H957" s="104" t="str">
        <f t="shared" si="60"/>
        <v>C1102J30</v>
      </c>
      <c r="I957" s="104"/>
      <c r="J957" s="105">
        <v>168.8</v>
      </c>
      <c r="K957" s="106">
        <f>IF(D957="CAESARSTONE LTD",VLOOKUP(H957,'[2]GIA CA'!G:H,2,0),IF(OR(D957="STONE FACINGS LIMITED",D957="NORDIA SA",D957="INVICTUS STONE COUNTERTOPS INC",D957="QUARTZTOP LLC"),VLOOKUP(H957,'[2] Giá ngoài Mỹ - SI-GR'!$B$5:$AZ$84,51,0),IF(OR(D957="HYUNDAI L&amp;C CANADA INC",D957="Hyundai L&amp; C USA LLC"),VLOOKUP(H957,'[2]GIA HS'!A:D,4,0),IF(Y957="Mỹ",VLOOKUP(H957,'[2]giá mỹ từ 6.8.2025'!B:I,2,0),VLOOKUP(H957,'[2]giá ngoài mỹ 6.8.2025 (final)'!B:BP,51,0)))))</f>
        <v>89</v>
      </c>
      <c r="L957" s="106">
        <v>89.65</v>
      </c>
      <c r="M957" s="106">
        <f t="shared" si="59"/>
        <v>0.65000000000000568</v>
      </c>
      <c r="N957" s="106">
        <v>89.65</v>
      </c>
      <c r="O957" s="107">
        <v>15133.57</v>
      </c>
      <c r="P957" s="107">
        <v>26040</v>
      </c>
      <c r="Q957" s="107">
        <v>394078163</v>
      </c>
      <c r="R957" s="102" t="s">
        <v>30</v>
      </c>
      <c r="S957" s="108"/>
      <c r="T957" s="109"/>
      <c r="U957" s="109"/>
      <c r="V957" s="102"/>
      <c r="W957" s="109"/>
      <c r="X957" s="109"/>
      <c r="Y957" s="110" t="s">
        <v>31</v>
      </c>
      <c r="Z957" s="111" t="str">
        <f>MID(E957,4,2)</f>
        <v>VE</v>
      </c>
    </row>
    <row r="958" spans="1:26" s="111" customFormat="1" x14ac:dyDescent="0.2">
      <c r="A958" s="101">
        <v>46246</v>
      </c>
      <c r="B958" s="91" t="s">
        <v>1158</v>
      </c>
      <c r="C958" s="102" t="s">
        <v>1159</v>
      </c>
      <c r="D958" s="103" t="s">
        <v>1160</v>
      </c>
      <c r="E958" s="91" t="s">
        <v>1161</v>
      </c>
      <c r="F958" s="91" t="s">
        <v>1168</v>
      </c>
      <c r="G958" s="91" t="s">
        <v>1167</v>
      </c>
      <c r="H958" s="104" t="str">
        <f t="shared" si="60"/>
        <v>C1102J30</v>
      </c>
      <c r="I958" s="104"/>
      <c r="J958" s="105">
        <v>21.78</v>
      </c>
      <c r="K958" s="106">
        <f>IF(D958="CAESARSTONE LTD",VLOOKUP(H958,'[2]GIA CA'!G:H,2,0),IF(OR(D958="STONE FACINGS LIMITED",D958="NORDIA SA",D958="INVICTUS STONE COUNTERTOPS INC",D958="QUARTZTOP LLC"),VLOOKUP(H958,'[2] Giá ngoài Mỹ - SI-GR'!$B$5:$AZ$84,51,0),IF(OR(D958="HYUNDAI L&amp;C CANADA INC",D958="Hyundai L&amp; C USA LLC"),VLOOKUP(H958,'[2]GIA HS'!A:D,4,0),IF(Y958="Mỹ",VLOOKUP(H958,'[2]giá mỹ từ 6.8.2025'!B:I,2,0),VLOOKUP(H958,'[2]giá ngoài mỹ 6.8.2025 (final)'!B:BP,51,0)))))</f>
        <v>89</v>
      </c>
      <c r="L958" s="106">
        <v>89.65</v>
      </c>
      <c r="M958" s="106">
        <f t="shared" si="59"/>
        <v>0.65000000000000568</v>
      </c>
      <c r="N958" s="106">
        <v>89.65</v>
      </c>
      <c r="O958" s="107">
        <v>1952.66</v>
      </c>
      <c r="P958" s="107">
        <v>26040</v>
      </c>
      <c r="Q958" s="107">
        <v>50847266</v>
      </c>
      <c r="R958" s="102" t="s">
        <v>30</v>
      </c>
      <c r="S958" s="108"/>
      <c r="T958" s="109"/>
      <c r="U958" s="109"/>
      <c r="V958" s="102"/>
      <c r="W958" s="109"/>
      <c r="X958" s="109"/>
      <c r="Y958" s="110" t="s">
        <v>31</v>
      </c>
      <c r="Z958" s="111" t="str">
        <f>MID(E958,4,2)</f>
        <v>VE</v>
      </c>
    </row>
    <row r="959" spans="1:26" s="111" customFormat="1" x14ac:dyDescent="0.2">
      <c r="A959" s="101">
        <v>46246</v>
      </c>
      <c r="B959" s="91" t="s">
        <v>1158</v>
      </c>
      <c r="C959" s="102" t="s">
        <v>1159</v>
      </c>
      <c r="D959" s="103" t="s">
        <v>1160</v>
      </c>
      <c r="E959" s="91" t="s">
        <v>1161</v>
      </c>
      <c r="F959" s="91" t="s">
        <v>552</v>
      </c>
      <c r="G959" s="91" t="s">
        <v>553</v>
      </c>
      <c r="H959" s="104" t="str">
        <f t="shared" si="60"/>
        <v>C3146J30</v>
      </c>
      <c r="I959" s="104"/>
      <c r="J959" s="105">
        <v>190.58</v>
      </c>
      <c r="K959" s="106">
        <f>IF(D959="CAESARSTONE LTD",VLOOKUP(H959,'[2]GIA CA'!G:H,2,0),IF(OR(D959="STONE FACINGS LIMITED",D959="NORDIA SA",D959="INVICTUS STONE COUNTERTOPS INC",D959="QUARTZTOP LLC"),VLOOKUP(H959,'[2] Giá ngoài Mỹ - SI-GR'!$B$5:$AZ$84,51,0),IF(OR(D959="HYUNDAI L&amp;C CANADA INC",D959="Hyundai L&amp; C USA LLC"),VLOOKUP(H959,'[2]GIA HS'!A:D,4,0),IF(Y959="Mỹ",VLOOKUP(H959,'[2]giá mỹ từ 6.8.2025'!B:I,2,0),VLOOKUP(H959,'[2]giá ngoài mỹ 6.8.2025 (final)'!B:BP,51,0)))))</f>
        <v>69</v>
      </c>
      <c r="L959" s="106">
        <v>73.5</v>
      </c>
      <c r="M959" s="106">
        <f t="shared" si="59"/>
        <v>4.5</v>
      </c>
      <c r="N959" s="106">
        <v>73.5</v>
      </c>
      <c r="O959" s="107">
        <v>14007.63</v>
      </c>
      <c r="P959" s="107">
        <v>26040</v>
      </c>
      <c r="Q959" s="107">
        <v>364758685</v>
      </c>
      <c r="R959" s="102" t="s">
        <v>30</v>
      </c>
      <c r="S959" s="108"/>
      <c r="T959" s="109"/>
      <c r="U959" s="109"/>
      <c r="V959" s="102"/>
      <c r="W959" s="109"/>
      <c r="X959" s="109"/>
      <c r="Y959" s="110" t="s">
        <v>31</v>
      </c>
      <c r="Z959" s="111" t="str">
        <f>MID(E959,4,2)</f>
        <v>VE</v>
      </c>
    </row>
    <row r="960" spans="1:26" s="111" customFormat="1" x14ac:dyDescent="0.2">
      <c r="A960" s="101">
        <v>46246</v>
      </c>
      <c r="B960" s="91" t="s">
        <v>1169</v>
      </c>
      <c r="C960" s="102" t="s">
        <v>1170</v>
      </c>
      <c r="D960" s="103" t="s">
        <v>26</v>
      </c>
      <c r="E960" s="91" t="s">
        <v>1171</v>
      </c>
      <c r="F960" s="91" t="s">
        <v>705</v>
      </c>
      <c r="G960" s="91" t="s">
        <v>706</v>
      </c>
      <c r="H960" s="104" t="str">
        <f t="shared" si="60"/>
        <v>C4004J20</v>
      </c>
      <c r="I960" s="104"/>
      <c r="J960" s="105">
        <v>43.56</v>
      </c>
      <c r="K960" s="106">
        <f>IF(D960="CAESARSTONE LTD",VLOOKUP(H960,'[2]GIA CA'!G:H,2,0),IF(OR(D960="STONE FACINGS LIMITED",D960="NORDIA SA",D960="INVICTUS STONE COUNTERTOPS INC",D960="QUARTZTOP LLC"),VLOOKUP(H960,'[2] Giá ngoài Mỹ - SI-GR'!$B$5:$AZ$84,51,0),IF(OR(D960="HYUNDAI L&amp;C CANADA INC",D960="Hyundai L&amp; C USA LLC"),VLOOKUP(H960,'[2]GIA HS'!A:D,4,0),IF(Y960="Mỹ",VLOOKUP(H960,'[2]giá mỹ từ 6.8.2025'!B:I,2,0),VLOOKUP(H960,'[2]giá ngoài mỹ 6.8.2025 (final)'!B:BP,51,0)))))</f>
        <v>55</v>
      </c>
      <c r="L960" s="106">
        <v>57.8</v>
      </c>
      <c r="M960" s="106">
        <f t="shared" si="59"/>
        <v>2.7999999999999972</v>
      </c>
      <c r="N960" s="106">
        <v>57.8</v>
      </c>
      <c r="O960" s="107">
        <v>2517.7600000000002</v>
      </c>
      <c r="P960" s="107">
        <v>26040</v>
      </c>
      <c r="Q960" s="107">
        <v>65562470</v>
      </c>
      <c r="R960" s="102" t="s">
        <v>30</v>
      </c>
      <c r="S960" s="108"/>
      <c r="T960" s="109"/>
      <c r="U960" s="109"/>
      <c r="V960" s="102"/>
      <c r="W960" s="109"/>
      <c r="X960" s="109"/>
      <c r="Y960" s="110" t="s">
        <v>132</v>
      </c>
      <c r="Z960" s="111" t="str">
        <f>MID(E960,4,2)</f>
        <v>CA</v>
      </c>
    </row>
    <row r="961" spans="1:26" s="111" customFormat="1" x14ac:dyDescent="0.2">
      <c r="A961" s="101">
        <v>46246</v>
      </c>
      <c r="B961" s="91" t="s">
        <v>1169</v>
      </c>
      <c r="C961" s="102" t="s">
        <v>1170</v>
      </c>
      <c r="D961" s="103" t="s">
        <v>26</v>
      </c>
      <c r="E961" s="91" t="s">
        <v>1171</v>
      </c>
      <c r="F961" s="91" t="s">
        <v>356</v>
      </c>
      <c r="G961" s="91" t="s">
        <v>357</v>
      </c>
      <c r="H961" s="104" t="str">
        <f t="shared" si="60"/>
        <v>C5222J20</v>
      </c>
      <c r="I961" s="104"/>
      <c r="J961" s="105">
        <v>304.92</v>
      </c>
      <c r="K961" s="106">
        <f>+L961</f>
        <v>60.06</v>
      </c>
      <c r="L961" s="106">
        <v>60.06</v>
      </c>
      <c r="M961" s="106">
        <f t="shared" si="59"/>
        <v>0</v>
      </c>
      <c r="N961" s="106">
        <v>60.06</v>
      </c>
      <c r="O961" s="107">
        <v>18314.46</v>
      </c>
      <c r="P961" s="107">
        <v>26040</v>
      </c>
      <c r="Q961" s="107">
        <v>476908538</v>
      </c>
      <c r="R961" s="102" t="s">
        <v>30</v>
      </c>
      <c r="S961" s="108"/>
      <c r="T961" s="109"/>
      <c r="U961" s="109"/>
      <c r="V961" s="102"/>
      <c r="W961" s="109"/>
      <c r="X961" s="109"/>
      <c r="Y961" s="110" t="s">
        <v>132</v>
      </c>
      <c r="Z961" s="111" t="str">
        <f>MID(E961,4,2)</f>
        <v>CA</v>
      </c>
    </row>
    <row r="962" spans="1:26" s="111" customFormat="1" x14ac:dyDescent="0.2">
      <c r="A962" s="101">
        <v>46246</v>
      </c>
      <c r="B962" s="91" t="s">
        <v>1169</v>
      </c>
      <c r="C962" s="102" t="s">
        <v>1170</v>
      </c>
      <c r="D962" s="103" t="s">
        <v>26</v>
      </c>
      <c r="E962" s="91" t="s">
        <v>1171</v>
      </c>
      <c r="F962" s="91" t="s">
        <v>778</v>
      </c>
      <c r="G962" s="91" t="s">
        <v>779</v>
      </c>
      <c r="H962" s="104" t="str">
        <f t="shared" si="60"/>
        <v>C6131J20</v>
      </c>
      <c r="I962" s="104"/>
      <c r="J962" s="105">
        <v>87.12</v>
      </c>
      <c r="K962" s="106">
        <f>IF(D962="CAESARSTONE LTD",VLOOKUP(H962,'[2]GIA CA'!G:H,2,0),IF(OR(D962="STONE FACINGS LIMITED",D962="NORDIA SA",D962="INVICTUS STONE COUNTERTOPS INC",D962="QUARTZTOP LLC"),VLOOKUP(H962,'[2] Giá ngoài Mỹ - SI-GR'!$B$5:$AZ$84,51,0),IF(OR(D962="HYUNDAI L&amp;C CANADA INC",D962="Hyundai L&amp; C USA LLC"),VLOOKUP(H962,'[2]GIA HS'!A:D,4,0),IF(Y962="Mỹ",VLOOKUP(H962,'[2]giá mỹ từ 6.8.2025'!B:I,2,0),VLOOKUP(H962,'[2]giá ngoài mỹ 6.8.2025 (final)'!B:BP,51,0)))))</f>
        <v>59</v>
      </c>
      <c r="L962" s="106">
        <v>62</v>
      </c>
      <c r="M962" s="106">
        <f t="shared" si="59"/>
        <v>3</v>
      </c>
      <c r="N962" s="106">
        <v>62</v>
      </c>
      <c r="O962" s="107">
        <v>5401.44</v>
      </c>
      <c r="P962" s="107">
        <v>26040</v>
      </c>
      <c r="Q962" s="107">
        <v>140653498</v>
      </c>
      <c r="R962" s="102" t="s">
        <v>30</v>
      </c>
      <c r="S962" s="108"/>
      <c r="T962" s="109"/>
      <c r="U962" s="109"/>
      <c r="V962" s="102"/>
      <c r="W962" s="109"/>
      <c r="X962" s="109"/>
      <c r="Y962" s="110" t="s">
        <v>132</v>
      </c>
      <c r="Z962" s="111" t="str">
        <f>MID(E962,4,2)</f>
        <v>CA</v>
      </c>
    </row>
    <row r="963" spans="1:26" s="111" customFormat="1" x14ac:dyDescent="0.2">
      <c r="A963" s="101">
        <v>46246</v>
      </c>
      <c r="B963" s="91" t="s">
        <v>1169</v>
      </c>
      <c r="C963" s="102" t="s">
        <v>1170</v>
      </c>
      <c r="D963" s="103" t="s">
        <v>26</v>
      </c>
      <c r="E963" s="91" t="s">
        <v>1171</v>
      </c>
      <c r="F963" s="91" t="s">
        <v>110</v>
      </c>
      <c r="G963" s="91" t="s">
        <v>111</v>
      </c>
      <c r="H963" s="104" t="str">
        <f t="shared" si="60"/>
        <v>C4023J20</v>
      </c>
      <c r="I963" s="104"/>
      <c r="J963" s="105">
        <v>163.35</v>
      </c>
      <c r="K963" s="106">
        <f>+L963</f>
        <v>59.9</v>
      </c>
      <c r="L963" s="106">
        <v>59.9</v>
      </c>
      <c r="M963" s="106">
        <f t="shared" si="59"/>
        <v>0</v>
      </c>
      <c r="N963" s="106">
        <v>59.9</v>
      </c>
      <c r="O963" s="107">
        <v>9784.7999999999993</v>
      </c>
      <c r="P963" s="107">
        <v>26040</v>
      </c>
      <c r="Q963" s="107">
        <v>254796192</v>
      </c>
      <c r="R963" s="102" t="s">
        <v>30</v>
      </c>
      <c r="S963" s="108"/>
      <c r="T963" s="109"/>
      <c r="U963" s="109"/>
      <c r="V963" s="102"/>
      <c r="W963" s="109"/>
      <c r="X963" s="109"/>
      <c r="Y963" s="110" t="s">
        <v>132</v>
      </c>
      <c r="Z963" s="111" t="str">
        <f>MID(E963,4,2)</f>
        <v>CA</v>
      </c>
    </row>
    <row r="964" spans="1:26" s="111" customFormat="1" x14ac:dyDescent="0.2">
      <c r="A964" s="101">
        <v>46246</v>
      </c>
      <c r="B964" s="91" t="s">
        <v>1169</v>
      </c>
      <c r="C964" s="102" t="s">
        <v>1170</v>
      </c>
      <c r="D964" s="103" t="s">
        <v>26</v>
      </c>
      <c r="E964" s="91" t="s">
        <v>1171</v>
      </c>
      <c r="F964" s="91" t="s">
        <v>124</v>
      </c>
      <c r="G964" s="91" t="s">
        <v>113</v>
      </c>
      <c r="H964" s="104" t="str">
        <f t="shared" si="60"/>
        <v>C5212J20</v>
      </c>
      <c r="I964" s="104"/>
      <c r="J964" s="105">
        <v>54.45</v>
      </c>
      <c r="K964" s="106">
        <f>IF(D964="CAESARSTONE LTD",VLOOKUP(H964,'[2]GIA CA'!G:H,2,0),IF(OR(D964="STONE FACINGS LIMITED",D964="NORDIA SA",D964="INVICTUS STONE COUNTERTOPS INC",D964="QUARTZTOP LLC"),VLOOKUP(H964,'[2] Giá ngoài Mỹ - SI-GR'!$B$5:$AZ$84,51,0),IF(OR(D964="HYUNDAI L&amp;C CANADA INC",D964="Hyundai L&amp; C USA LLC"),VLOOKUP(H964,'[2]GIA HS'!A:D,4,0),IF(Y964="Mỹ",VLOOKUP(H964,'[2]giá mỹ từ 6.8.2025'!B:I,2,0),VLOOKUP(H964,'[2]giá ngoài mỹ 6.8.2025 (final)'!B:BP,51,0)))))</f>
        <v>59</v>
      </c>
      <c r="L964" s="106">
        <v>62</v>
      </c>
      <c r="M964" s="106">
        <f t="shared" si="59"/>
        <v>3</v>
      </c>
      <c r="N964" s="106">
        <v>62</v>
      </c>
      <c r="O964" s="107">
        <v>3375.9</v>
      </c>
      <c r="P964" s="107">
        <v>26040</v>
      </c>
      <c r="Q964" s="107">
        <v>87908436</v>
      </c>
      <c r="R964" s="102" t="s">
        <v>30</v>
      </c>
      <c r="S964" s="108"/>
      <c r="T964" s="109"/>
      <c r="U964" s="109"/>
      <c r="V964" s="102"/>
      <c r="W964" s="109"/>
      <c r="X964" s="109"/>
      <c r="Y964" s="110" t="s">
        <v>132</v>
      </c>
      <c r="Z964" s="111" t="str">
        <f>MID(E964,4,2)</f>
        <v>CA</v>
      </c>
    </row>
    <row r="965" spans="1:26" s="111" customFormat="1" x14ac:dyDescent="0.2">
      <c r="A965" s="101">
        <v>46246</v>
      </c>
      <c r="B965" s="91" t="s">
        <v>1169</v>
      </c>
      <c r="C965" s="102" t="s">
        <v>1170</v>
      </c>
      <c r="D965" s="103" t="s">
        <v>26</v>
      </c>
      <c r="E965" s="91" t="s">
        <v>1171</v>
      </c>
      <c r="F965" s="91" t="s">
        <v>356</v>
      </c>
      <c r="G965" s="91" t="s">
        <v>357</v>
      </c>
      <c r="H965" s="104" t="str">
        <f t="shared" si="60"/>
        <v>C5222J20</v>
      </c>
      <c r="I965" s="104"/>
      <c r="J965" s="105">
        <v>212.36</v>
      </c>
      <c r="K965" s="106">
        <f t="shared" ref="K965:K966" si="62">+L965</f>
        <v>60.06</v>
      </c>
      <c r="L965" s="106">
        <v>60.06</v>
      </c>
      <c r="M965" s="106">
        <f t="shared" si="59"/>
        <v>0</v>
      </c>
      <c r="N965" s="106">
        <v>60.06</v>
      </c>
      <c r="O965" s="107">
        <v>12755.02</v>
      </c>
      <c r="P965" s="107">
        <v>26040</v>
      </c>
      <c r="Q965" s="107">
        <v>332140721</v>
      </c>
      <c r="R965" s="102" t="s">
        <v>30</v>
      </c>
      <c r="S965" s="108"/>
      <c r="T965" s="109"/>
      <c r="U965" s="109"/>
      <c r="V965" s="102"/>
      <c r="W965" s="109"/>
      <c r="X965" s="109"/>
      <c r="Y965" s="110" t="s">
        <v>132</v>
      </c>
      <c r="Z965" s="111" t="str">
        <f>MID(E965,4,2)</f>
        <v>CA</v>
      </c>
    </row>
    <row r="966" spans="1:26" s="111" customFormat="1" x14ac:dyDescent="0.2">
      <c r="A966" s="101">
        <v>46246</v>
      </c>
      <c r="B966" s="91" t="s">
        <v>1169</v>
      </c>
      <c r="C966" s="102" t="s">
        <v>1170</v>
      </c>
      <c r="D966" s="103" t="s">
        <v>26</v>
      </c>
      <c r="E966" s="91" t="s">
        <v>1171</v>
      </c>
      <c r="F966" s="91" t="s">
        <v>356</v>
      </c>
      <c r="G966" s="91" t="s">
        <v>357</v>
      </c>
      <c r="H966" s="104" t="str">
        <f t="shared" si="60"/>
        <v>C5222J20</v>
      </c>
      <c r="I966" s="104"/>
      <c r="J966" s="105">
        <v>435.6</v>
      </c>
      <c r="K966" s="106">
        <f t="shared" si="62"/>
        <v>60.06</v>
      </c>
      <c r="L966" s="106">
        <v>60.06</v>
      </c>
      <c r="M966" s="106">
        <f t="shared" si="59"/>
        <v>0</v>
      </c>
      <c r="N966" s="106">
        <v>60.06</v>
      </c>
      <c r="O966" s="107">
        <v>26163.52</v>
      </c>
      <c r="P966" s="107">
        <v>26040</v>
      </c>
      <c r="Q966" s="107">
        <v>681298061</v>
      </c>
      <c r="R966" s="102" t="s">
        <v>30</v>
      </c>
      <c r="S966" s="108"/>
      <c r="T966" s="109"/>
      <c r="U966" s="109"/>
      <c r="V966" s="102"/>
      <c r="W966" s="109"/>
      <c r="X966" s="109"/>
      <c r="Y966" s="110" t="s">
        <v>132</v>
      </c>
      <c r="Z966" s="111" t="str">
        <f>MID(E966,4,2)</f>
        <v>CA</v>
      </c>
    </row>
    <row r="967" spans="1:26" s="111" customFormat="1" x14ac:dyDescent="0.2">
      <c r="A967" s="101">
        <v>46246</v>
      </c>
      <c r="B967" s="91" t="s">
        <v>1172</v>
      </c>
      <c r="C967" s="102" t="s">
        <v>1173</v>
      </c>
      <c r="D967" s="103" t="s">
        <v>26</v>
      </c>
      <c r="E967" s="91" t="s">
        <v>1174</v>
      </c>
      <c r="F967" s="91" t="s">
        <v>70</v>
      </c>
      <c r="G967" s="91" t="s">
        <v>71</v>
      </c>
      <c r="H967" s="104" t="str">
        <f t="shared" si="60"/>
        <v>C5116J30</v>
      </c>
      <c r="I967" s="104"/>
      <c r="J967" s="105">
        <v>38.119999999999997</v>
      </c>
      <c r="K967" s="106">
        <f>IF(D967="CAESARSTONE LTD",VLOOKUP(H967,'[2]GIA CA'!G:H,2,0),IF(OR(D967="STONE FACINGS LIMITED",D967="NORDIA SA",D967="INVICTUS STONE COUNTERTOPS INC",D967="QUARTZTOP LLC"),VLOOKUP(H967,'[2] Giá ngoài Mỹ - SI-GR'!$B$5:$AZ$84,51,0),IF(OR(D967="HYUNDAI L&amp;C CANADA INC",D967="Hyundai L&amp; C USA LLC"),VLOOKUP(H967,'[2]GIA HS'!A:D,4,0),IF(Y967="Mỹ",VLOOKUP(H967,'[2]giá mỹ từ 6.8.2025'!B:I,2,0),VLOOKUP(H967,'[2]giá ngoài mỹ 6.8.2025 (final)'!B:BP,51,0)))))</f>
        <v>81.25</v>
      </c>
      <c r="L967" s="106">
        <v>85.02</v>
      </c>
      <c r="M967" s="106">
        <f t="shared" si="59"/>
        <v>3.769999999999996</v>
      </c>
      <c r="N967" s="106">
        <v>85.02</v>
      </c>
      <c r="O967" s="107">
        <v>3241.06</v>
      </c>
      <c r="P967" s="107">
        <v>26040</v>
      </c>
      <c r="Q967" s="107">
        <v>84397202</v>
      </c>
      <c r="R967" s="102" t="s">
        <v>30</v>
      </c>
      <c r="S967" s="108"/>
      <c r="T967" s="109"/>
      <c r="U967" s="109"/>
      <c r="V967" s="102"/>
      <c r="W967" s="109"/>
      <c r="X967" s="109"/>
      <c r="Y967" s="110" t="s">
        <v>31</v>
      </c>
      <c r="Z967" s="111" t="str">
        <f>MID(E967,4,2)</f>
        <v>CA</v>
      </c>
    </row>
    <row r="968" spans="1:26" s="111" customFormat="1" x14ac:dyDescent="0.2">
      <c r="A968" s="101">
        <v>46246</v>
      </c>
      <c r="B968" s="91" t="s">
        <v>1172</v>
      </c>
      <c r="C968" s="102" t="s">
        <v>1173</v>
      </c>
      <c r="D968" s="103" t="s">
        <v>26</v>
      </c>
      <c r="E968" s="91" t="s">
        <v>1174</v>
      </c>
      <c r="F968" s="91" t="s">
        <v>383</v>
      </c>
      <c r="G968" s="91" t="s">
        <v>384</v>
      </c>
      <c r="H968" s="104" t="str">
        <f t="shared" si="60"/>
        <v>C5141J30</v>
      </c>
      <c r="I968" s="104"/>
      <c r="J968" s="105">
        <v>27.23</v>
      </c>
      <c r="K968" s="106">
        <f>IF(D968="CAESARSTONE LTD",VLOOKUP(H968,'[2]GIA CA'!G:H,2,0),IF(OR(D968="STONE FACINGS LIMITED",D968="NORDIA SA",D968="INVICTUS STONE COUNTERTOPS INC",D968="QUARTZTOP LLC"),VLOOKUP(H968,'[2] Giá ngoài Mỹ - SI-GR'!$B$5:$AZ$84,51,0),IF(OR(D968="HYUNDAI L&amp;C CANADA INC",D968="Hyundai L&amp; C USA LLC"),VLOOKUP(H968,'[2]GIA HS'!A:D,4,0),IF(Y968="Mỹ",VLOOKUP(H968,'[2]giá mỹ từ 6.8.2025'!B:I,2,0),VLOOKUP(H968,'[2]giá ngoài mỹ 6.8.2025 (final)'!B:BP,51,0)))))</f>
        <v>68.75</v>
      </c>
      <c r="L968" s="106">
        <v>72.19</v>
      </c>
      <c r="M968" s="106">
        <f t="shared" si="59"/>
        <v>3.4399999999999977</v>
      </c>
      <c r="N968" s="106">
        <v>72.19</v>
      </c>
      <c r="O968" s="107">
        <v>1965.75</v>
      </c>
      <c r="P968" s="107">
        <v>26040</v>
      </c>
      <c r="Q968" s="107">
        <v>51188130</v>
      </c>
      <c r="R968" s="102" t="s">
        <v>30</v>
      </c>
      <c r="S968" s="108"/>
      <c r="T968" s="109"/>
      <c r="U968" s="109"/>
      <c r="V968" s="102"/>
      <c r="W968" s="109"/>
      <c r="X968" s="109"/>
      <c r="Y968" s="110" t="s">
        <v>31</v>
      </c>
      <c r="Z968" s="111" t="str">
        <f>MID(E968,4,2)</f>
        <v>CA</v>
      </c>
    </row>
    <row r="969" spans="1:26" s="111" customFormat="1" x14ac:dyDescent="0.2">
      <c r="A969" s="101">
        <v>46246</v>
      </c>
      <c r="B969" s="91" t="s">
        <v>1172</v>
      </c>
      <c r="C969" s="102" t="s">
        <v>1173</v>
      </c>
      <c r="D969" s="103" t="s">
        <v>26</v>
      </c>
      <c r="E969" s="91" t="s">
        <v>1174</v>
      </c>
      <c r="F969" s="91" t="s">
        <v>408</v>
      </c>
      <c r="G969" s="91" t="s">
        <v>384</v>
      </c>
      <c r="H969" s="104" t="str">
        <f t="shared" si="60"/>
        <v>C5141J30</v>
      </c>
      <c r="I969" s="104"/>
      <c r="J969" s="105">
        <v>10.89</v>
      </c>
      <c r="K969" s="106">
        <f>IF(D969="CAESARSTONE LTD",VLOOKUP(H969,'[2]GIA CA'!G:H,2,0),IF(OR(D969="STONE FACINGS LIMITED",D969="NORDIA SA",D969="INVICTUS STONE COUNTERTOPS INC",D969="QUARTZTOP LLC"),VLOOKUP(H969,'[2] Giá ngoài Mỹ - SI-GR'!$B$5:$AZ$84,51,0),IF(OR(D969="HYUNDAI L&amp;C CANADA INC",D969="Hyundai L&amp; C USA LLC"),VLOOKUP(H969,'[2]GIA HS'!A:D,4,0),IF(Y969="Mỹ",VLOOKUP(H969,'[2]giá mỹ từ 6.8.2025'!B:I,2,0),VLOOKUP(H969,'[2]giá ngoài mỹ 6.8.2025 (final)'!B:BP,51,0)))))</f>
        <v>68.75</v>
      </c>
      <c r="L969" s="106">
        <v>72.19</v>
      </c>
      <c r="M969" s="106">
        <f t="shared" si="59"/>
        <v>3.4399999999999977</v>
      </c>
      <c r="N969" s="106">
        <v>72.19</v>
      </c>
      <c r="O969" s="107">
        <v>786.16</v>
      </c>
      <c r="P969" s="107">
        <v>26040</v>
      </c>
      <c r="Q969" s="107">
        <v>20471606</v>
      </c>
      <c r="R969" s="102" t="s">
        <v>30</v>
      </c>
      <c r="S969" s="108"/>
      <c r="T969" s="109"/>
      <c r="U969" s="109"/>
      <c r="V969" s="102"/>
      <c r="W969" s="109"/>
      <c r="X969" s="109"/>
      <c r="Y969" s="110" t="s">
        <v>31</v>
      </c>
      <c r="Z969" s="111" t="str">
        <f>MID(E969,4,2)</f>
        <v>CA</v>
      </c>
    </row>
    <row r="970" spans="1:26" s="111" customFormat="1" x14ac:dyDescent="0.2">
      <c r="A970" s="101">
        <v>46246</v>
      </c>
      <c r="B970" s="91" t="s">
        <v>1172</v>
      </c>
      <c r="C970" s="102" t="s">
        <v>1173</v>
      </c>
      <c r="D970" s="103" t="s">
        <v>26</v>
      </c>
      <c r="E970" s="91" t="s">
        <v>1174</v>
      </c>
      <c r="F970" s="91" t="s">
        <v>74</v>
      </c>
      <c r="G970" s="91" t="s">
        <v>75</v>
      </c>
      <c r="H970" s="104" t="str">
        <f t="shared" si="60"/>
        <v>C5151J30</v>
      </c>
      <c r="I970" s="104"/>
      <c r="J970" s="105">
        <v>38.119999999999997</v>
      </c>
      <c r="K970" s="106">
        <f>IF(D970="CAESARSTONE LTD",VLOOKUP(H970,'[2]GIA CA'!G:H,2,0),IF(OR(D970="STONE FACINGS LIMITED",D970="NORDIA SA",D970="INVICTUS STONE COUNTERTOPS INC",D970="QUARTZTOP LLC"),VLOOKUP(H970,'[2] Giá ngoài Mỹ - SI-GR'!$B$5:$AZ$84,51,0),IF(OR(D970="HYUNDAI L&amp;C CANADA INC",D970="Hyundai L&amp; C USA LLC"),VLOOKUP(H970,'[2]GIA HS'!A:D,4,0),IF(Y970="Mỹ",VLOOKUP(H970,'[2]giá mỹ từ 6.8.2025'!B:I,2,0),VLOOKUP(H970,'[2]giá ngoài mỹ 6.8.2025 (final)'!B:BP,51,0)))))</f>
        <v>81.25</v>
      </c>
      <c r="L970" s="106">
        <v>85.3</v>
      </c>
      <c r="M970" s="106">
        <f t="shared" si="59"/>
        <v>4.0499999999999972</v>
      </c>
      <c r="N970" s="106">
        <v>85.3</v>
      </c>
      <c r="O970" s="107">
        <v>3251.57</v>
      </c>
      <c r="P970" s="107">
        <v>26040</v>
      </c>
      <c r="Q970" s="107">
        <v>84670883</v>
      </c>
      <c r="R970" s="102" t="s">
        <v>30</v>
      </c>
      <c r="S970" s="108"/>
      <c r="T970" s="109"/>
      <c r="U970" s="109"/>
      <c r="V970" s="102"/>
      <c r="W970" s="109"/>
      <c r="X970" s="109"/>
      <c r="Y970" s="110" t="s">
        <v>31</v>
      </c>
      <c r="Z970" s="111" t="str">
        <f>MID(E970,4,2)</f>
        <v>CA</v>
      </c>
    </row>
    <row r="971" spans="1:26" s="111" customFormat="1" x14ac:dyDescent="0.2">
      <c r="A971" s="101">
        <v>46246</v>
      </c>
      <c r="B971" s="91" t="s">
        <v>1172</v>
      </c>
      <c r="C971" s="102" t="s">
        <v>1173</v>
      </c>
      <c r="D971" s="103" t="s">
        <v>26</v>
      </c>
      <c r="E971" s="91" t="s">
        <v>1174</v>
      </c>
      <c r="F971" s="91" t="s">
        <v>79</v>
      </c>
      <c r="G971" s="91" t="s">
        <v>80</v>
      </c>
      <c r="H971" s="104" t="str">
        <f t="shared" si="60"/>
        <v>C6046J30</v>
      </c>
      <c r="I971" s="104"/>
      <c r="J971" s="105">
        <v>38.119999999999997</v>
      </c>
      <c r="K971" s="106">
        <f>IF(D971="CAESARSTONE LTD",VLOOKUP(H971,'[2]GIA CA'!G:H,2,0),IF(OR(D971="STONE FACINGS LIMITED",D971="NORDIA SA",D971="INVICTUS STONE COUNTERTOPS INC",D971="QUARTZTOP LLC"),VLOOKUP(H971,'[2] Giá ngoài Mỹ - SI-GR'!$B$5:$AZ$84,51,0),IF(OR(D971="HYUNDAI L&amp;C CANADA INC",D971="Hyundai L&amp; C USA LLC"),VLOOKUP(H971,'[2]GIA HS'!A:D,4,0),IF(Y971="Mỹ",VLOOKUP(H971,'[2]giá mỹ từ 6.8.2025'!B:I,2,0),VLOOKUP(H971,'[2]giá ngoài mỹ 6.8.2025 (final)'!B:BP,51,0)))))</f>
        <v>73.75</v>
      </c>
      <c r="L971" s="106">
        <v>77.39</v>
      </c>
      <c r="M971" s="106">
        <f t="shared" si="59"/>
        <v>3.6400000000000006</v>
      </c>
      <c r="N971" s="106">
        <v>77.39</v>
      </c>
      <c r="O971" s="107">
        <v>2950.08</v>
      </c>
      <c r="P971" s="107">
        <v>26040</v>
      </c>
      <c r="Q971" s="107">
        <v>76820083</v>
      </c>
      <c r="R971" s="102" t="s">
        <v>30</v>
      </c>
      <c r="S971" s="108"/>
      <c r="T971" s="109"/>
      <c r="U971" s="109"/>
      <c r="V971" s="102"/>
      <c r="W971" s="109"/>
      <c r="X971" s="109"/>
      <c r="Y971" s="110" t="s">
        <v>31</v>
      </c>
      <c r="Z971" s="111" t="str">
        <f>MID(E971,4,2)</f>
        <v>CA</v>
      </c>
    </row>
    <row r="972" spans="1:26" s="111" customFormat="1" x14ac:dyDescent="0.2">
      <c r="A972" s="101">
        <v>46246</v>
      </c>
      <c r="B972" s="91" t="s">
        <v>1172</v>
      </c>
      <c r="C972" s="102" t="s">
        <v>1173</v>
      </c>
      <c r="D972" s="103" t="s">
        <v>26</v>
      </c>
      <c r="E972" s="91" t="s">
        <v>1174</v>
      </c>
      <c r="F972" s="91" t="s">
        <v>456</v>
      </c>
      <c r="G972" s="91" t="s">
        <v>457</v>
      </c>
      <c r="H972" s="104" t="str">
        <f t="shared" si="60"/>
        <v>F5131J30</v>
      </c>
      <c r="I972" s="104"/>
      <c r="J972" s="105">
        <v>49.01</v>
      </c>
      <c r="K972" s="106">
        <f>IF(D972="CAESARSTONE LTD",VLOOKUP(H972,'[2]GIA CA'!G:H,2,0),IF(OR(D972="STONE FACINGS LIMITED",D972="NORDIA SA",D972="INVICTUS STONE COUNTERTOPS INC",D972="QUARTZTOP LLC"),VLOOKUP(H972,'[2] Giá ngoài Mỹ - SI-GR'!$B$5:$AZ$84,51,0),IF(OR(D972="HYUNDAI L&amp;C CANADA INC",D972="Hyundai L&amp; C USA LLC"),VLOOKUP(H972,'[2]GIA HS'!A:D,4,0),IF(Y972="Mỹ",VLOOKUP(H972,'[2]giá mỹ từ 6.8.2025'!B:I,2,0),VLOOKUP(H972,'[2]giá ngoài mỹ 6.8.2025 (final)'!B:BP,51,0)))))</f>
        <v>75</v>
      </c>
      <c r="L972" s="106">
        <v>79</v>
      </c>
      <c r="M972" s="106">
        <f t="shared" si="59"/>
        <v>4</v>
      </c>
      <c r="N972" s="106">
        <v>79</v>
      </c>
      <c r="O972" s="107">
        <v>3871.79</v>
      </c>
      <c r="P972" s="107">
        <v>26040</v>
      </c>
      <c r="Q972" s="107">
        <v>100821412</v>
      </c>
      <c r="R972" s="102" t="s">
        <v>30</v>
      </c>
      <c r="S972" s="108"/>
      <c r="T972" s="109"/>
      <c r="U972" s="109"/>
      <c r="V972" s="102"/>
      <c r="W972" s="109"/>
      <c r="X972" s="109"/>
      <c r="Y972" s="110" t="s">
        <v>31</v>
      </c>
      <c r="Z972" s="111" t="str">
        <f>MID(E972,4,2)</f>
        <v>CA</v>
      </c>
    </row>
    <row r="973" spans="1:26" s="111" customFormat="1" x14ac:dyDescent="0.2">
      <c r="A973" s="101">
        <v>46246</v>
      </c>
      <c r="B973" s="91" t="s">
        <v>1172</v>
      </c>
      <c r="C973" s="102" t="s">
        <v>1173</v>
      </c>
      <c r="D973" s="103" t="s">
        <v>26</v>
      </c>
      <c r="E973" s="91" t="s">
        <v>1174</v>
      </c>
      <c r="F973" s="91" t="s">
        <v>1175</v>
      </c>
      <c r="G973" s="91" t="s">
        <v>1176</v>
      </c>
      <c r="H973" s="104" t="str">
        <f t="shared" si="60"/>
        <v>F5131J30</v>
      </c>
      <c r="I973" s="104"/>
      <c r="J973" s="105">
        <v>5.44</v>
      </c>
      <c r="K973" s="106">
        <v>20</v>
      </c>
      <c r="L973" s="106">
        <v>39.39</v>
      </c>
      <c r="M973" s="106">
        <f t="shared" ref="M973:M1036" si="63">L973-K973</f>
        <v>19.39</v>
      </c>
      <c r="N973" s="106">
        <v>39.39</v>
      </c>
      <c r="O973" s="107">
        <v>214.3</v>
      </c>
      <c r="P973" s="107">
        <v>26040</v>
      </c>
      <c r="Q973" s="107">
        <v>5580372</v>
      </c>
      <c r="R973" s="102" t="s">
        <v>30</v>
      </c>
      <c r="S973" s="108"/>
      <c r="T973" s="109"/>
      <c r="U973" s="109"/>
      <c r="V973" s="102"/>
      <c r="W973" s="109"/>
      <c r="X973" s="109"/>
      <c r="Y973" s="110" t="s">
        <v>31</v>
      </c>
      <c r="Z973" s="111" t="str">
        <f>MID(E973,4,2)</f>
        <v>CA</v>
      </c>
    </row>
    <row r="974" spans="1:26" s="111" customFormat="1" x14ac:dyDescent="0.2">
      <c r="A974" s="101">
        <v>46246</v>
      </c>
      <c r="B974" s="91" t="s">
        <v>1172</v>
      </c>
      <c r="C974" s="102" t="s">
        <v>1173</v>
      </c>
      <c r="D974" s="103" t="s">
        <v>26</v>
      </c>
      <c r="E974" s="91" t="s">
        <v>1174</v>
      </c>
      <c r="F974" s="91" t="s">
        <v>1175</v>
      </c>
      <c r="G974" s="91" t="s">
        <v>1176</v>
      </c>
      <c r="H974" s="104" t="str">
        <f t="shared" ref="H974:H1037" si="64">IF(LEN(G974)=13,LEFT(G974,5)&amp;MID(G974,SEARCH("-J",G974)+1,3),LEFT(G974,5)&amp;"J20")</f>
        <v>F5131J30</v>
      </c>
      <c r="I974" s="104"/>
      <c r="J974" s="105">
        <v>5.44</v>
      </c>
      <c r="K974" s="106">
        <v>20</v>
      </c>
      <c r="L974" s="106">
        <v>39.39</v>
      </c>
      <c r="M974" s="106">
        <f t="shared" si="63"/>
        <v>19.39</v>
      </c>
      <c r="N974" s="106">
        <v>39.39</v>
      </c>
      <c r="O974" s="107">
        <v>214.31</v>
      </c>
      <c r="P974" s="107">
        <v>26040</v>
      </c>
      <c r="Q974" s="107">
        <v>5580632</v>
      </c>
      <c r="R974" s="102" t="s">
        <v>30</v>
      </c>
      <c r="S974" s="108"/>
      <c r="T974" s="109"/>
      <c r="U974" s="109"/>
      <c r="V974" s="102"/>
      <c r="W974" s="109"/>
      <c r="X974" s="109"/>
      <c r="Y974" s="110" t="s">
        <v>31</v>
      </c>
      <c r="Z974" s="111" t="str">
        <f>MID(E974,4,2)</f>
        <v>CA</v>
      </c>
    </row>
    <row r="975" spans="1:26" s="111" customFormat="1" x14ac:dyDescent="0.2">
      <c r="A975" s="101">
        <v>46246</v>
      </c>
      <c r="B975" s="91" t="s">
        <v>1172</v>
      </c>
      <c r="C975" s="102" t="s">
        <v>1173</v>
      </c>
      <c r="D975" s="103" t="s">
        <v>26</v>
      </c>
      <c r="E975" s="91" t="s">
        <v>1174</v>
      </c>
      <c r="F975" s="91" t="s">
        <v>1177</v>
      </c>
      <c r="G975" s="91" t="s">
        <v>1176</v>
      </c>
      <c r="H975" s="104" t="str">
        <f t="shared" si="64"/>
        <v>F5131J30</v>
      </c>
      <c r="I975" s="104"/>
      <c r="J975" s="105">
        <v>5.45</v>
      </c>
      <c r="K975" s="106">
        <v>20</v>
      </c>
      <c r="L975" s="106">
        <v>39.39</v>
      </c>
      <c r="M975" s="106">
        <f t="shared" si="63"/>
        <v>19.39</v>
      </c>
      <c r="N975" s="106">
        <v>39.39</v>
      </c>
      <c r="O975" s="107">
        <v>214.69</v>
      </c>
      <c r="P975" s="107">
        <v>26040</v>
      </c>
      <c r="Q975" s="107">
        <v>5590528</v>
      </c>
      <c r="R975" s="102" t="s">
        <v>30</v>
      </c>
      <c r="S975" s="108"/>
      <c r="T975" s="109"/>
      <c r="U975" s="109"/>
      <c r="V975" s="102"/>
      <c r="W975" s="109"/>
      <c r="X975" s="109"/>
      <c r="Y975" s="110" t="s">
        <v>31</v>
      </c>
      <c r="Z975" s="111" t="str">
        <f>MID(E975,4,2)</f>
        <v>CA</v>
      </c>
    </row>
    <row r="976" spans="1:26" s="111" customFormat="1" x14ac:dyDescent="0.2">
      <c r="A976" s="101">
        <v>46246</v>
      </c>
      <c r="B976" s="91" t="s">
        <v>1172</v>
      </c>
      <c r="C976" s="102" t="s">
        <v>1173</v>
      </c>
      <c r="D976" s="103" t="s">
        <v>26</v>
      </c>
      <c r="E976" s="91" t="s">
        <v>1174</v>
      </c>
      <c r="F976" s="91" t="s">
        <v>1177</v>
      </c>
      <c r="G976" s="91" t="s">
        <v>1176</v>
      </c>
      <c r="H976" s="104" t="str">
        <f t="shared" si="64"/>
        <v>F5131J30</v>
      </c>
      <c r="I976" s="104"/>
      <c r="J976" s="105">
        <v>5.45</v>
      </c>
      <c r="K976" s="106">
        <v>20</v>
      </c>
      <c r="L976" s="106">
        <v>39.39</v>
      </c>
      <c r="M976" s="106">
        <f t="shared" si="63"/>
        <v>19.39</v>
      </c>
      <c r="N976" s="106">
        <v>39.39</v>
      </c>
      <c r="O976" s="107">
        <v>214.69</v>
      </c>
      <c r="P976" s="107">
        <v>26040</v>
      </c>
      <c r="Q976" s="107">
        <v>5590528</v>
      </c>
      <c r="R976" s="102" t="s">
        <v>30</v>
      </c>
      <c r="S976" s="108"/>
      <c r="T976" s="109"/>
      <c r="U976" s="109"/>
      <c r="V976" s="102"/>
      <c r="W976" s="109"/>
      <c r="X976" s="109"/>
      <c r="Y976" s="110" t="s">
        <v>31</v>
      </c>
      <c r="Z976" s="111" t="str">
        <f>MID(E976,4,2)</f>
        <v>CA</v>
      </c>
    </row>
    <row r="977" spans="1:26" s="111" customFormat="1" x14ac:dyDescent="0.2">
      <c r="A977" s="101">
        <v>46246</v>
      </c>
      <c r="B977" s="91" t="s">
        <v>1172</v>
      </c>
      <c r="C977" s="102" t="s">
        <v>1173</v>
      </c>
      <c r="D977" s="103" t="s">
        <v>26</v>
      </c>
      <c r="E977" s="91" t="s">
        <v>1174</v>
      </c>
      <c r="F977" s="91" t="s">
        <v>211</v>
      </c>
      <c r="G977" s="91" t="s">
        <v>212</v>
      </c>
      <c r="H977" s="104" t="str">
        <f t="shared" si="64"/>
        <v>F5444J30</v>
      </c>
      <c r="I977" s="104"/>
      <c r="J977" s="105">
        <v>32.67</v>
      </c>
      <c r="K977" s="106">
        <f>IF(D977="CAESARSTONE LTD",VLOOKUP(H977,'[2]GIA CA'!G:H,2,0),IF(OR(D977="STONE FACINGS LIMITED",D977="NORDIA SA",D977="INVICTUS STONE COUNTERTOPS INC",D977="QUARTZTOP LLC"),VLOOKUP(H977,'[2] Giá ngoài Mỹ - SI-GR'!$B$5:$AZ$84,51,0),IF(OR(D977="HYUNDAI L&amp;C CANADA INC",D977="Hyundai L&amp; C USA LLC"),VLOOKUP(H977,'[2]GIA HS'!A:D,4,0),IF(Y977="Mỹ",VLOOKUP(H977,'[2]giá mỹ từ 6.8.2025'!B:I,2,0),VLOOKUP(H977,'[2]giá ngoài mỹ 6.8.2025 (final)'!B:BP,51,0)))))</f>
        <v>92.5</v>
      </c>
      <c r="L977" s="106">
        <v>97.09</v>
      </c>
      <c r="M977" s="106">
        <f t="shared" si="63"/>
        <v>4.5900000000000034</v>
      </c>
      <c r="N977" s="106">
        <v>97.09</v>
      </c>
      <c r="O977" s="107">
        <v>3171.84</v>
      </c>
      <c r="P977" s="107">
        <v>26040</v>
      </c>
      <c r="Q977" s="107">
        <v>82594714</v>
      </c>
      <c r="R977" s="102" t="s">
        <v>30</v>
      </c>
      <c r="S977" s="108"/>
      <c r="T977" s="109"/>
      <c r="U977" s="109"/>
      <c r="V977" s="102"/>
      <c r="W977" s="109"/>
      <c r="X977" s="109"/>
      <c r="Y977" s="110" t="s">
        <v>31</v>
      </c>
      <c r="Z977" s="111" t="str">
        <f>MID(E977,4,2)</f>
        <v>CA</v>
      </c>
    </row>
    <row r="978" spans="1:26" s="111" customFormat="1" x14ac:dyDescent="0.2">
      <c r="A978" s="101">
        <v>46246</v>
      </c>
      <c r="B978" s="91" t="s">
        <v>1172</v>
      </c>
      <c r="C978" s="102" t="s">
        <v>1173</v>
      </c>
      <c r="D978" s="103" t="s">
        <v>26</v>
      </c>
      <c r="E978" s="91" t="s">
        <v>1174</v>
      </c>
      <c r="F978" s="91" t="s">
        <v>1178</v>
      </c>
      <c r="G978" s="91" t="s">
        <v>212</v>
      </c>
      <c r="H978" s="104" t="str">
        <f t="shared" si="64"/>
        <v>F5444J30</v>
      </c>
      <c r="I978" s="104"/>
      <c r="J978" s="105">
        <v>5.45</v>
      </c>
      <c r="K978" s="106">
        <f>IF(D978="CAESARSTONE LTD",VLOOKUP(H978,'[2]GIA CA'!G:H,2,0),IF(OR(D978="STONE FACINGS LIMITED",D978="NORDIA SA",D978="INVICTUS STONE COUNTERTOPS INC",D978="QUARTZTOP LLC"),VLOOKUP(H978,'[2] Giá ngoài Mỹ - SI-GR'!$B$5:$AZ$84,51,0),IF(OR(D978="HYUNDAI L&amp;C CANADA INC",D978="Hyundai L&amp; C USA LLC"),VLOOKUP(H978,'[2]GIA HS'!A:D,4,0),IF(Y978="Mỹ",VLOOKUP(H978,'[2]giá mỹ từ 6.8.2025'!B:I,2,0),VLOOKUP(H978,'[2]giá ngoài mỹ 6.8.2025 (final)'!B:BP,51,0)))))</f>
        <v>92.5</v>
      </c>
      <c r="L978" s="106">
        <v>97.09</v>
      </c>
      <c r="M978" s="106">
        <f t="shared" si="63"/>
        <v>4.5900000000000034</v>
      </c>
      <c r="N978" s="106">
        <v>97.09</v>
      </c>
      <c r="O978" s="107">
        <v>529.13</v>
      </c>
      <c r="P978" s="107">
        <v>26040</v>
      </c>
      <c r="Q978" s="107">
        <v>13778545</v>
      </c>
      <c r="R978" s="102" t="s">
        <v>30</v>
      </c>
      <c r="S978" s="108"/>
      <c r="T978" s="109"/>
      <c r="U978" s="109"/>
      <c r="V978" s="102"/>
      <c r="W978" s="109"/>
      <c r="X978" s="109"/>
      <c r="Y978" s="110" t="s">
        <v>31</v>
      </c>
      <c r="Z978" s="111" t="str">
        <f>MID(E978,4,2)</f>
        <v>CA</v>
      </c>
    </row>
    <row r="979" spans="1:26" s="111" customFormat="1" x14ac:dyDescent="0.2">
      <c r="A979" s="101">
        <v>46246</v>
      </c>
      <c r="B979" s="91" t="s">
        <v>1172</v>
      </c>
      <c r="C979" s="102" t="s">
        <v>1173</v>
      </c>
      <c r="D979" s="103" t="s">
        <v>26</v>
      </c>
      <c r="E979" s="91" t="s">
        <v>1174</v>
      </c>
      <c r="F979" s="91" t="s">
        <v>90</v>
      </c>
      <c r="G979" s="91" t="s">
        <v>91</v>
      </c>
      <c r="H979" s="104" t="str">
        <f t="shared" si="64"/>
        <v>F6131J30</v>
      </c>
      <c r="I979" s="104"/>
      <c r="J979" s="105">
        <v>38.119999999999997</v>
      </c>
      <c r="K979" s="106">
        <f>IF(D979="CAESARSTONE LTD",VLOOKUP(H979,'[2]GIA CA'!G:H,2,0),IF(OR(D979="STONE FACINGS LIMITED",D979="NORDIA SA",D979="INVICTUS STONE COUNTERTOPS INC",D979="QUARTZTOP LLC"),VLOOKUP(H979,'[2] Giá ngoài Mỹ - SI-GR'!$B$5:$AZ$84,51,0),IF(OR(D979="HYUNDAI L&amp;C CANADA INC",D979="Hyundai L&amp; C USA LLC"),VLOOKUP(H979,'[2]GIA HS'!A:D,4,0),IF(Y979="Mỹ",VLOOKUP(H979,'[2]giá mỹ từ 6.8.2025'!B:I,2,0),VLOOKUP(H979,'[2]giá ngoài mỹ 6.8.2025 (final)'!B:BP,51,0)))))</f>
        <v>77.5</v>
      </c>
      <c r="L979" s="106">
        <v>81.39</v>
      </c>
      <c r="M979" s="106">
        <f t="shared" si="63"/>
        <v>3.8900000000000006</v>
      </c>
      <c r="N979" s="106">
        <v>81.39</v>
      </c>
      <c r="O979" s="107">
        <v>3102.54</v>
      </c>
      <c r="P979" s="107">
        <v>26040</v>
      </c>
      <c r="Q979" s="107">
        <v>80790142</v>
      </c>
      <c r="R979" s="102" t="s">
        <v>30</v>
      </c>
      <c r="S979" s="108"/>
      <c r="T979" s="109"/>
      <c r="U979" s="109"/>
      <c r="V979" s="102"/>
      <c r="W979" s="109"/>
      <c r="X979" s="109"/>
      <c r="Y979" s="110" t="s">
        <v>31</v>
      </c>
      <c r="Z979" s="111" t="str">
        <f>MID(E979,4,2)</f>
        <v>CA</v>
      </c>
    </row>
    <row r="980" spans="1:26" s="111" customFormat="1" x14ac:dyDescent="0.2">
      <c r="A980" s="101">
        <v>46246</v>
      </c>
      <c r="B980" s="91" t="s">
        <v>1172</v>
      </c>
      <c r="C980" s="102" t="s">
        <v>1173</v>
      </c>
      <c r="D980" s="103" t="s">
        <v>26</v>
      </c>
      <c r="E980" s="91" t="s">
        <v>1174</v>
      </c>
      <c r="F980" s="91" t="s">
        <v>1179</v>
      </c>
      <c r="G980" s="91" t="s">
        <v>1180</v>
      </c>
      <c r="H980" s="104" t="str">
        <f t="shared" si="64"/>
        <v>G5131J30</v>
      </c>
      <c r="I980" s="104"/>
      <c r="J980" s="105">
        <v>5.45</v>
      </c>
      <c r="K980" s="106">
        <v>20</v>
      </c>
      <c r="L980" s="106">
        <v>39.39</v>
      </c>
      <c r="M980" s="106">
        <f t="shared" si="63"/>
        <v>19.39</v>
      </c>
      <c r="N980" s="106">
        <v>39.39</v>
      </c>
      <c r="O980" s="107">
        <v>214.69</v>
      </c>
      <c r="P980" s="107">
        <v>26040</v>
      </c>
      <c r="Q980" s="107">
        <v>5590528</v>
      </c>
      <c r="R980" s="102" t="s">
        <v>30</v>
      </c>
      <c r="S980" s="108"/>
      <c r="T980" s="109"/>
      <c r="U980" s="109"/>
      <c r="V980" s="102"/>
      <c r="W980" s="109"/>
      <c r="X980" s="109"/>
      <c r="Y980" s="110" t="s">
        <v>31</v>
      </c>
      <c r="Z980" s="111" t="str">
        <f>MID(E980,4,2)</f>
        <v>CA</v>
      </c>
    </row>
    <row r="981" spans="1:26" s="111" customFormat="1" x14ac:dyDescent="0.2">
      <c r="A981" s="101">
        <v>46246</v>
      </c>
      <c r="B981" s="91" t="s">
        <v>1181</v>
      </c>
      <c r="C981" s="102" t="s">
        <v>1182</v>
      </c>
      <c r="D981" s="103" t="s">
        <v>26</v>
      </c>
      <c r="E981" s="91" t="s">
        <v>1183</v>
      </c>
      <c r="F981" s="91" t="s">
        <v>296</v>
      </c>
      <c r="G981" s="91" t="s">
        <v>297</v>
      </c>
      <c r="H981" s="104" t="str">
        <f t="shared" si="64"/>
        <v>F5130J20</v>
      </c>
      <c r="I981" s="104"/>
      <c r="J981" s="105">
        <v>479.16</v>
      </c>
      <c r="K981" s="106">
        <f>IF(D981="CAESARSTONE LTD",VLOOKUP(H981,'[2]GIA CA'!G:H,2,0),IF(OR(D981="STONE FACINGS LIMITED",D981="NORDIA SA",D981="INVICTUS STONE COUNTERTOPS INC",D981="QUARTZTOP LLC"),VLOOKUP(H981,'[2] Giá ngoài Mỹ - SI-GR'!$B$5:$AZ$84,51,0),IF(OR(D981="HYUNDAI L&amp;C CANADA INC",D981="Hyundai L&amp; C USA LLC"),VLOOKUP(H981,'[2]GIA HS'!A:D,4,0),IF(Y981="Mỹ",VLOOKUP(H981,'[2]giá mỹ từ 6.8.2025'!B:I,2,0),VLOOKUP(H981,'[2]giá ngoài mỹ 6.8.2025 (final)'!B:BP,51,0)))))</f>
        <v>62</v>
      </c>
      <c r="L981" s="106">
        <v>65.099999999999994</v>
      </c>
      <c r="M981" s="106">
        <f t="shared" si="63"/>
        <v>3.0999999999999943</v>
      </c>
      <c r="N981" s="106">
        <v>65.099999999999994</v>
      </c>
      <c r="O981" s="107">
        <v>31193.360000000001</v>
      </c>
      <c r="P981" s="107">
        <v>26040</v>
      </c>
      <c r="Q981" s="107">
        <v>812275094</v>
      </c>
      <c r="R981" s="102" t="s">
        <v>30</v>
      </c>
      <c r="S981" s="108"/>
      <c r="T981" s="109"/>
      <c r="U981" s="109"/>
      <c r="V981" s="102"/>
      <c r="W981" s="109"/>
      <c r="X981" s="109"/>
      <c r="Y981" s="110" t="s">
        <v>290</v>
      </c>
      <c r="Z981" s="111" t="str">
        <f>MID(E981,4,2)</f>
        <v>CA</v>
      </c>
    </row>
    <row r="982" spans="1:26" s="111" customFormat="1" x14ac:dyDescent="0.2">
      <c r="A982" s="101">
        <v>46247</v>
      </c>
      <c r="B982" s="91" t="s">
        <v>1184</v>
      </c>
      <c r="C982" s="102" t="s">
        <v>1185</v>
      </c>
      <c r="D982" s="103" t="s">
        <v>26</v>
      </c>
      <c r="E982" s="91" t="s">
        <v>1186</v>
      </c>
      <c r="F982" s="91" t="s">
        <v>1187</v>
      </c>
      <c r="G982" s="91" t="s">
        <v>1188</v>
      </c>
      <c r="H982" s="104" t="str">
        <f t="shared" si="64"/>
        <v>C6313J20</v>
      </c>
      <c r="I982" s="104"/>
      <c r="J982" s="105">
        <v>0.32</v>
      </c>
      <c r="K982" s="106">
        <f>IF(D982="CAESARSTONE LTD",VLOOKUP(H982,'[2]GIA CA'!G:H,2,0),IF(OR(D982="STONE FACINGS LIMITED",D982="NORDIA SA",D982="INVICTUS STONE COUNTERTOPS INC",D982="QUARTZTOP LLC"),VLOOKUP(H982,'[2] Giá ngoài Mỹ - SI-GR'!$B$5:$AZ$84,51,0),IF(OR(D982="HYUNDAI L&amp;C CANADA INC",D982="Hyundai L&amp; C USA LLC"),VLOOKUP(H982,'[2]GIA HS'!A:D,4,0),IF(Y982="Mỹ",VLOOKUP(H982,'[2]giá mỹ từ 6.8.2025'!B:I,2,0),VLOOKUP(H982,'[2]giá ngoài mỹ 6.8.2025 (final)'!B:BP,51,0)))))</f>
        <v>59</v>
      </c>
      <c r="L982" s="106">
        <v>130.16</v>
      </c>
      <c r="M982" s="106">
        <f t="shared" si="63"/>
        <v>71.16</v>
      </c>
      <c r="N982" s="106">
        <v>130.16</v>
      </c>
      <c r="O982" s="107">
        <v>41.65</v>
      </c>
      <c r="P982" s="107">
        <v>26040</v>
      </c>
      <c r="Q982" s="107">
        <v>1084566</v>
      </c>
      <c r="R982" s="102"/>
      <c r="S982" s="108"/>
      <c r="T982" s="109" t="s">
        <v>30</v>
      </c>
      <c r="U982" s="109"/>
      <c r="V982" s="102"/>
      <c r="W982" s="109"/>
      <c r="X982" s="109"/>
      <c r="Y982" s="110" t="s">
        <v>119</v>
      </c>
      <c r="Z982" s="111" t="str">
        <f>MID(E982,4,2)</f>
        <v>CA</v>
      </c>
    </row>
    <row r="983" spans="1:26" s="111" customFormat="1" x14ac:dyDescent="0.2">
      <c r="A983" s="101">
        <v>46247</v>
      </c>
      <c r="B983" s="91" t="s">
        <v>1184</v>
      </c>
      <c r="C983" s="102" t="s">
        <v>1185</v>
      </c>
      <c r="D983" s="103" t="s">
        <v>26</v>
      </c>
      <c r="E983" s="91" t="s">
        <v>1186</v>
      </c>
      <c r="F983" s="91" t="s">
        <v>356</v>
      </c>
      <c r="G983" s="91" t="s">
        <v>357</v>
      </c>
      <c r="H983" s="104" t="str">
        <f t="shared" si="64"/>
        <v>C5222J20</v>
      </c>
      <c r="I983" s="104"/>
      <c r="J983" s="105">
        <v>326.7</v>
      </c>
      <c r="K983" s="106">
        <f t="shared" ref="K983:K985" si="65">+L983</f>
        <v>59.9</v>
      </c>
      <c r="L983" s="106">
        <v>59.9</v>
      </c>
      <c r="M983" s="106">
        <f t="shared" si="63"/>
        <v>0</v>
      </c>
      <c r="N983" s="106">
        <v>59.9</v>
      </c>
      <c r="O983" s="107">
        <v>19569.599999999999</v>
      </c>
      <c r="P983" s="107">
        <v>26040</v>
      </c>
      <c r="Q983" s="107">
        <v>509592384</v>
      </c>
      <c r="R983" s="102" t="s">
        <v>30</v>
      </c>
      <c r="S983" s="108"/>
      <c r="T983" s="109"/>
      <c r="U983" s="109"/>
      <c r="V983" s="102"/>
      <c r="W983" s="109"/>
      <c r="X983" s="109"/>
      <c r="Y983" s="110" t="s">
        <v>119</v>
      </c>
      <c r="Z983" s="111" t="str">
        <f>MID(E983,4,2)</f>
        <v>CA</v>
      </c>
    </row>
    <row r="984" spans="1:26" s="111" customFormat="1" x14ac:dyDescent="0.2">
      <c r="A984" s="101">
        <v>46247</v>
      </c>
      <c r="B984" s="91" t="s">
        <v>1184</v>
      </c>
      <c r="C984" s="102" t="s">
        <v>1185</v>
      </c>
      <c r="D984" s="103" t="s">
        <v>26</v>
      </c>
      <c r="E984" s="91" t="s">
        <v>1186</v>
      </c>
      <c r="F984" s="91" t="s">
        <v>1189</v>
      </c>
      <c r="G984" s="91" t="s">
        <v>1190</v>
      </c>
      <c r="H984" s="104" t="str">
        <f t="shared" si="64"/>
        <v>C6338J20</v>
      </c>
      <c r="I984" s="104"/>
      <c r="J984" s="105">
        <v>163.35</v>
      </c>
      <c r="K984" s="106">
        <f t="shared" si="65"/>
        <v>60</v>
      </c>
      <c r="L984" s="106">
        <v>60</v>
      </c>
      <c r="M984" s="106">
        <f t="shared" si="63"/>
        <v>0</v>
      </c>
      <c r="N984" s="106">
        <v>60.64</v>
      </c>
      <c r="O984" s="107">
        <v>9904.7999999999993</v>
      </c>
      <c r="P984" s="107">
        <v>26040</v>
      </c>
      <c r="Q984" s="107">
        <v>257920992</v>
      </c>
      <c r="R984" s="102" t="s">
        <v>30</v>
      </c>
      <c r="S984" s="108"/>
      <c r="T984" s="109"/>
      <c r="U984" s="109"/>
      <c r="V984" s="102"/>
      <c r="W984" s="109"/>
      <c r="X984" s="109"/>
      <c r="Y984" s="110" t="s">
        <v>119</v>
      </c>
      <c r="Z984" s="111" t="str">
        <f>MID(E984,4,2)</f>
        <v>CA</v>
      </c>
    </row>
    <row r="985" spans="1:26" s="111" customFormat="1" x14ac:dyDescent="0.2">
      <c r="A985" s="101">
        <v>46247</v>
      </c>
      <c r="B985" s="91" t="s">
        <v>1184</v>
      </c>
      <c r="C985" s="102" t="s">
        <v>1185</v>
      </c>
      <c r="D985" s="103" t="s">
        <v>26</v>
      </c>
      <c r="E985" s="91" t="s">
        <v>1186</v>
      </c>
      <c r="F985" s="91" t="s">
        <v>356</v>
      </c>
      <c r="G985" s="91" t="s">
        <v>357</v>
      </c>
      <c r="H985" s="104" t="str">
        <f t="shared" si="64"/>
        <v>C5222J20</v>
      </c>
      <c r="I985" s="104"/>
      <c r="J985" s="105">
        <v>490.05</v>
      </c>
      <c r="K985" s="106">
        <f t="shared" si="65"/>
        <v>59.9</v>
      </c>
      <c r="L985" s="106">
        <v>59.9</v>
      </c>
      <c r="M985" s="106">
        <f t="shared" si="63"/>
        <v>0</v>
      </c>
      <c r="N985" s="106">
        <v>59.9</v>
      </c>
      <c r="O985" s="107">
        <v>29354.400000000001</v>
      </c>
      <c r="P985" s="107">
        <v>26040</v>
      </c>
      <c r="Q985" s="107">
        <v>764388576</v>
      </c>
      <c r="R985" s="102" t="s">
        <v>30</v>
      </c>
      <c r="S985" s="108"/>
      <c r="T985" s="109"/>
      <c r="U985" s="109"/>
      <c r="V985" s="102"/>
      <c r="W985" s="109"/>
      <c r="X985" s="109"/>
      <c r="Y985" s="110" t="s">
        <v>119</v>
      </c>
      <c r="Z985" s="111" t="str">
        <f>MID(E985,4,2)</f>
        <v>CA</v>
      </c>
    </row>
    <row r="986" spans="1:26" s="111" customFormat="1" x14ac:dyDescent="0.2">
      <c r="A986" s="101">
        <v>46247</v>
      </c>
      <c r="B986" s="91" t="s">
        <v>1191</v>
      </c>
      <c r="C986" s="102" t="s">
        <v>1192</v>
      </c>
      <c r="D986" s="103" t="s">
        <v>26</v>
      </c>
      <c r="E986" s="91" t="s">
        <v>1193</v>
      </c>
      <c r="F986" s="91" t="s">
        <v>1194</v>
      </c>
      <c r="G986" s="91" t="s">
        <v>1195</v>
      </c>
      <c r="H986" s="104" t="str">
        <f t="shared" si="64"/>
        <v>F8250J20</v>
      </c>
      <c r="I986" s="104"/>
      <c r="J986" s="105">
        <v>17.190000000000001</v>
      </c>
      <c r="K986" s="106">
        <f>IF(D986="CAESARSTONE LTD",VLOOKUP(H986,'[2]GIA CA'!G:H,2,0),IF(OR(D986="STONE FACINGS LIMITED",D986="NORDIA SA",D986="INVICTUS STONE COUNTERTOPS INC",D986="QUARTZTOP LLC"),VLOOKUP(H986,'[2] Giá ngoài Mỹ - SI-GR'!$B$5:$AZ$84,51,0),IF(OR(D986="HYUNDAI L&amp;C CANADA INC",D986="Hyundai L&amp; C USA LLC"),VLOOKUP(H986,'[2]GIA HS'!A:D,4,0),IF(Y986="Mỹ",VLOOKUP(H986,'[2]giá mỹ từ 6.8.2025'!B:I,2,0),VLOOKUP(H986,'[2]giá ngoài mỹ 6.8.2025 (final)'!B:BP,51,0)))))</f>
        <v>74</v>
      </c>
      <c r="L986" s="106">
        <v>140.46</v>
      </c>
      <c r="M986" s="106">
        <f t="shared" si="63"/>
        <v>66.460000000000008</v>
      </c>
      <c r="N986" s="106">
        <v>140.46</v>
      </c>
      <c r="O986" s="107">
        <v>2414.5</v>
      </c>
      <c r="P986" s="107">
        <v>26040</v>
      </c>
      <c r="Q986" s="107">
        <v>62873580</v>
      </c>
      <c r="R986" s="102"/>
      <c r="S986" s="108"/>
      <c r="T986" s="109" t="s">
        <v>30</v>
      </c>
      <c r="U986" s="109"/>
      <c r="V986" s="102"/>
      <c r="W986" s="109"/>
      <c r="X986" s="109"/>
      <c r="Y986" s="110" t="s">
        <v>932</v>
      </c>
      <c r="Z986" s="111" t="str">
        <f>MID(E986,4,2)</f>
        <v>CA</v>
      </c>
    </row>
    <row r="987" spans="1:26" s="111" customFormat="1" x14ac:dyDescent="0.2">
      <c r="A987" s="101">
        <v>46247</v>
      </c>
      <c r="B987" s="91" t="s">
        <v>1191</v>
      </c>
      <c r="C987" s="102" t="s">
        <v>1192</v>
      </c>
      <c r="D987" s="103" t="s">
        <v>26</v>
      </c>
      <c r="E987" s="91" t="s">
        <v>1193</v>
      </c>
      <c r="F987" s="91" t="s">
        <v>458</v>
      </c>
      <c r="G987" s="91" t="s">
        <v>459</v>
      </c>
      <c r="H987" s="104" t="str">
        <f t="shared" si="64"/>
        <v>F6131J20</v>
      </c>
      <c r="I987" s="104"/>
      <c r="J987" s="105">
        <v>435.6</v>
      </c>
      <c r="K987" s="106">
        <f>IF(D987="CAESARSTONE LTD",VLOOKUP(H987,'[2]GIA CA'!G:H,2,0),IF(OR(D987="STONE FACINGS LIMITED",D987="NORDIA SA",D987="INVICTUS STONE COUNTERTOPS INC",D987="QUARTZTOP LLC"),VLOOKUP(H987,'[2] Giá ngoài Mỹ - SI-GR'!$B$5:$AZ$84,51,0),IF(OR(D987="HYUNDAI L&amp;C CANADA INC",D987="Hyundai L&amp; C USA LLC"),VLOOKUP(H987,'[2]GIA HS'!A:D,4,0),IF(Y987="Mỹ",VLOOKUP(H987,'[2]giá mỹ từ 6.8.2025'!B:I,2,0),VLOOKUP(H987,'[2]giá ngoài mỹ 6.8.2025 (final)'!B:BP,51,0)))))</f>
        <v>62</v>
      </c>
      <c r="L987" s="106">
        <v>65.099999999999994</v>
      </c>
      <c r="M987" s="106">
        <f t="shared" si="63"/>
        <v>3.0999999999999943</v>
      </c>
      <c r="N987" s="106">
        <v>65.099999999999994</v>
      </c>
      <c r="O987" s="107">
        <v>28357.599999999999</v>
      </c>
      <c r="P987" s="107">
        <v>26040</v>
      </c>
      <c r="Q987" s="107">
        <v>738431904</v>
      </c>
      <c r="R987" s="102" t="s">
        <v>30</v>
      </c>
      <c r="S987" s="108"/>
      <c r="T987" s="109"/>
      <c r="U987" s="109"/>
      <c r="V987" s="102"/>
      <c r="W987" s="109"/>
      <c r="X987" s="109"/>
      <c r="Y987" s="110" t="s">
        <v>932</v>
      </c>
      <c r="Z987" s="111" t="str">
        <f>MID(E987,4,2)</f>
        <v>CA</v>
      </c>
    </row>
    <row r="988" spans="1:26" s="111" customFormat="1" x14ac:dyDescent="0.2">
      <c r="A988" s="101">
        <v>46247</v>
      </c>
      <c r="B988" s="91" t="s">
        <v>1191</v>
      </c>
      <c r="C988" s="102" t="s">
        <v>1192</v>
      </c>
      <c r="D988" s="103" t="s">
        <v>26</v>
      </c>
      <c r="E988" s="91" t="s">
        <v>1193</v>
      </c>
      <c r="F988" s="91" t="s">
        <v>1196</v>
      </c>
      <c r="G988" s="91" t="s">
        <v>1197</v>
      </c>
      <c r="H988" s="104" t="str">
        <f t="shared" si="64"/>
        <v>C5100J30</v>
      </c>
      <c r="I988" s="104"/>
      <c r="J988" s="105">
        <v>10.89</v>
      </c>
      <c r="K988" s="106">
        <f>IF(D988="CAESARSTONE LTD",VLOOKUP(H988,'[2]GIA CA'!G:H,2,0),IF(OR(D988="STONE FACINGS LIMITED",D988="NORDIA SA",D988="INVICTUS STONE COUNTERTOPS INC",D988="QUARTZTOP LLC"),VLOOKUP(H988,'[2] Giá ngoài Mỹ - SI-GR'!$B$5:$AZ$84,51,0),IF(OR(D988="HYUNDAI L&amp;C CANADA INC",D988="Hyundai L&amp; C USA LLC"),VLOOKUP(H988,'[2]GIA HS'!A:D,4,0),IF(Y988="Mỹ",VLOOKUP(H988,'[2]giá mỹ từ 6.8.2025'!B:I,2,0),VLOOKUP(H988,'[2]giá ngoài mỹ 6.8.2025 (final)'!B:BP,51,0)))))</f>
        <v>73.75</v>
      </c>
      <c r="L988" s="106">
        <v>77.400000000000006</v>
      </c>
      <c r="M988" s="106">
        <f t="shared" si="63"/>
        <v>3.6500000000000057</v>
      </c>
      <c r="N988" s="106">
        <v>77.400000000000006</v>
      </c>
      <c r="O988" s="106">
        <v>842.88</v>
      </c>
      <c r="P988" s="107">
        <v>26040</v>
      </c>
      <c r="Q988" s="107">
        <v>21948595</v>
      </c>
      <c r="R988" s="102" t="s">
        <v>30</v>
      </c>
      <c r="S988" s="108"/>
      <c r="T988" s="109"/>
      <c r="U988" s="109"/>
      <c r="V988" s="102"/>
      <c r="W988" s="109"/>
      <c r="X988" s="109"/>
      <c r="Y988" s="110" t="s">
        <v>932</v>
      </c>
      <c r="Z988" s="111" t="str">
        <f>MID(E988,4,2)</f>
        <v>CA</v>
      </c>
    </row>
    <row r="989" spans="1:26" s="111" customFormat="1" x14ac:dyDescent="0.2">
      <c r="A989" s="101">
        <v>46247</v>
      </c>
      <c r="B989" s="91" t="s">
        <v>1191</v>
      </c>
      <c r="C989" s="102" t="s">
        <v>1192</v>
      </c>
      <c r="D989" s="103" t="s">
        <v>26</v>
      </c>
      <c r="E989" s="91" t="s">
        <v>1193</v>
      </c>
      <c r="F989" s="91" t="s">
        <v>1196</v>
      </c>
      <c r="G989" s="91" t="s">
        <v>1197</v>
      </c>
      <c r="H989" s="104" t="str">
        <f t="shared" si="64"/>
        <v>C5100J30</v>
      </c>
      <c r="I989" s="104"/>
      <c r="J989" s="105">
        <v>163.35</v>
      </c>
      <c r="K989" s="106">
        <f>IF(D989="CAESARSTONE LTD",VLOOKUP(H989,'[2]GIA CA'!G:H,2,0),IF(OR(D989="STONE FACINGS LIMITED",D989="NORDIA SA",D989="INVICTUS STONE COUNTERTOPS INC",D989="QUARTZTOP LLC"),VLOOKUP(H989,'[2] Giá ngoài Mỹ - SI-GR'!$B$5:$AZ$84,51,0),IF(OR(D989="HYUNDAI L&amp;C CANADA INC",D989="Hyundai L&amp; C USA LLC"),VLOOKUP(H989,'[2]GIA HS'!A:D,4,0),IF(Y989="Mỹ",VLOOKUP(H989,'[2]giá mỹ từ 6.8.2025'!B:I,2,0),VLOOKUP(H989,'[2]giá ngoài mỹ 6.8.2025 (final)'!B:BP,51,0)))))</f>
        <v>73.75</v>
      </c>
      <c r="L989" s="106">
        <v>77.400000000000006</v>
      </c>
      <c r="M989" s="106">
        <f t="shared" si="63"/>
        <v>3.6500000000000057</v>
      </c>
      <c r="N989" s="106">
        <v>77.400000000000006</v>
      </c>
      <c r="O989" s="107">
        <v>12643.2</v>
      </c>
      <c r="P989" s="107">
        <v>26040</v>
      </c>
      <c r="Q989" s="107">
        <v>329228928</v>
      </c>
      <c r="R989" s="102" t="s">
        <v>30</v>
      </c>
      <c r="S989" s="108"/>
      <c r="T989" s="109"/>
      <c r="U989" s="109"/>
      <c r="V989" s="102"/>
      <c r="W989" s="109"/>
      <c r="X989" s="109"/>
      <c r="Y989" s="110" t="s">
        <v>932</v>
      </c>
      <c r="Z989" s="111" t="str">
        <f>MID(E989,4,2)</f>
        <v>CA</v>
      </c>
    </row>
    <row r="990" spans="1:26" s="111" customFormat="1" x14ac:dyDescent="0.2">
      <c r="A990" s="101">
        <v>46247</v>
      </c>
      <c r="B990" s="91" t="s">
        <v>1191</v>
      </c>
      <c r="C990" s="102" t="s">
        <v>1192</v>
      </c>
      <c r="D990" s="103" t="s">
        <v>26</v>
      </c>
      <c r="E990" s="91" t="s">
        <v>1193</v>
      </c>
      <c r="F990" s="91" t="s">
        <v>887</v>
      </c>
      <c r="G990" s="91" t="s">
        <v>888</v>
      </c>
      <c r="H990" s="104" t="str">
        <f t="shared" si="64"/>
        <v>F5444J20</v>
      </c>
      <c r="I990" s="104"/>
      <c r="J990" s="105">
        <v>163.35</v>
      </c>
      <c r="K990" s="106">
        <f>IF(D990="CAESARSTONE LTD",VLOOKUP(H990,'[2]GIA CA'!G:H,2,0),IF(OR(D990="STONE FACINGS LIMITED",D990="NORDIA SA",D990="INVICTUS STONE COUNTERTOPS INC",D990="QUARTZTOP LLC"),VLOOKUP(H990,'[2] Giá ngoài Mỹ - SI-GR'!$B$5:$AZ$84,51,0),IF(OR(D990="HYUNDAI L&amp;C CANADA INC",D990="Hyundai L&amp; C USA LLC"),VLOOKUP(H990,'[2]GIA HS'!A:D,4,0),IF(Y990="Mỹ",VLOOKUP(H990,'[2]giá mỹ từ 6.8.2025'!B:I,2,0),VLOOKUP(H990,'[2]giá ngoài mỹ 6.8.2025 (final)'!B:BP,51,0)))))</f>
        <v>74</v>
      </c>
      <c r="L990" s="106">
        <v>77.7</v>
      </c>
      <c r="M990" s="106">
        <f t="shared" si="63"/>
        <v>3.7000000000000028</v>
      </c>
      <c r="N990" s="106">
        <v>77.7</v>
      </c>
      <c r="O990" s="107">
        <v>12692.4</v>
      </c>
      <c r="P990" s="107">
        <v>26040</v>
      </c>
      <c r="Q990" s="107">
        <v>330510096</v>
      </c>
      <c r="R990" s="102" t="s">
        <v>30</v>
      </c>
      <c r="S990" s="108"/>
      <c r="T990" s="109"/>
      <c r="U990" s="109"/>
      <c r="V990" s="102"/>
      <c r="W990" s="109"/>
      <c r="X990" s="109"/>
      <c r="Y990" s="110" t="s">
        <v>932</v>
      </c>
      <c r="Z990" s="111" t="str">
        <f>MID(E990,4,2)</f>
        <v>CA</v>
      </c>
    </row>
    <row r="991" spans="1:26" s="111" customFormat="1" x14ac:dyDescent="0.2">
      <c r="A991" s="101">
        <v>46247</v>
      </c>
      <c r="B991" s="91" t="s">
        <v>1198</v>
      </c>
      <c r="C991" s="102" t="s">
        <v>1199</v>
      </c>
      <c r="D991" s="103" t="s">
        <v>26</v>
      </c>
      <c r="E991" s="91" t="s">
        <v>1200</v>
      </c>
      <c r="F991" s="91" t="s">
        <v>1194</v>
      </c>
      <c r="G991" s="91" t="s">
        <v>1195</v>
      </c>
      <c r="H991" s="104" t="str">
        <f t="shared" si="64"/>
        <v>F8250J20</v>
      </c>
      <c r="I991" s="104"/>
      <c r="J991" s="105">
        <v>17.190000000000001</v>
      </c>
      <c r="K991" s="106">
        <f>IF(D991="CAESARSTONE LTD",VLOOKUP(H991,'[2]GIA CA'!G:H,2,0),IF(OR(D991="STONE FACINGS LIMITED",D991="NORDIA SA",D991="INVICTUS STONE COUNTERTOPS INC",D991="QUARTZTOP LLC"),VLOOKUP(H991,'[2] Giá ngoài Mỹ - SI-GR'!$B$5:$AZ$84,51,0),IF(OR(D991="HYUNDAI L&amp;C CANADA INC",D991="Hyundai L&amp; C USA LLC"),VLOOKUP(H991,'[2]GIA HS'!A:D,4,0),IF(Y991="Mỹ",VLOOKUP(H991,'[2]giá mỹ từ 6.8.2025'!B:I,2,0),VLOOKUP(H991,'[2]giá ngoài mỹ 6.8.2025 (final)'!B:BP,51,0)))))</f>
        <v>74</v>
      </c>
      <c r="L991" s="106">
        <v>140.46</v>
      </c>
      <c r="M991" s="106">
        <f t="shared" si="63"/>
        <v>66.460000000000008</v>
      </c>
      <c r="N991" s="106">
        <v>140.46</v>
      </c>
      <c r="O991" s="107">
        <v>2414.5</v>
      </c>
      <c r="P991" s="107">
        <v>26040</v>
      </c>
      <c r="Q991" s="107">
        <v>62873580</v>
      </c>
      <c r="R991" s="102"/>
      <c r="S991" s="108"/>
      <c r="T991" s="109" t="s">
        <v>30</v>
      </c>
      <c r="U991" s="109"/>
      <c r="V991" s="102"/>
      <c r="W991" s="109"/>
      <c r="X991" s="109"/>
      <c r="Y991" s="110" t="s">
        <v>932</v>
      </c>
      <c r="Z991" s="111" t="str">
        <f>MID(E991,4,2)</f>
        <v>CA</v>
      </c>
    </row>
    <row r="992" spans="1:26" s="111" customFormat="1" x14ac:dyDescent="0.2">
      <c r="A992" s="101">
        <v>46247</v>
      </c>
      <c r="B992" s="91" t="s">
        <v>1198</v>
      </c>
      <c r="C992" s="102" t="s">
        <v>1199</v>
      </c>
      <c r="D992" s="103" t="s">
        <v>26</v>
      </c>
      <c r="E992" s="91" t="s">
        <v>1200</v>
      </c>
      <c r="F992" s="91" t="s">
        <v>991</v>
      </c>
      <c r="G992" s="91" t="s">
        <v>992</v>
      </c>
      <c r="H992" s="104" t="str">
        <f t="shared" si="64"/>
        <v>C4023J30</v>
      </c>
      <c r="I992" s="104"/>
      <c r="J992" s="105">
        <v>54.45</v>
      </c>
      <c r="K992" s="106">
        <f>+L992</f>
        <v>74.790000000000006</v>
      </c>
      <c r="L992" s="106">
        <v>74.790000000000006</v>
      </c>
      <c r="M992" s="106">
        <f t="shared" si="63"/>
        <v>0</v>
      </c>
      <c r="N992" s="106">
        <v>74.790000000000006</v>
      </c>
      <c r="O992" s="107">
        <v>4072.51</v>
      </c>
      <c r="P992" s="107">
        <v>26040</v>
      </c>
      <c r="Q992" s="107">
        <v>106048160</v>
      </c>
      <c r="R992" s="102" t="s">
        <v>30</v>
      </c>
      <c r="S992" s="108"/>
      <c r="T992" s="109"/>
      <c r="U992" s="109"/>
      <c r="V992" s="102"/>
      <c r="W992" s="109"/>
      <c r="X992" s="109"/>
      <c r="Y992" s="110" t="s">
        <v>932</v>
      </c>
      <c r="Z992" s="111" t="str">
        <f>MID(E992,4,2)</f>
        <v>CA</v>
      </c>
    </row>
    <row r="993" spans="1:26" s="111" customFormat="1" x14ac:dyDescent="0.2">
      <c r="A993" s="101">
        <v>46247</v>
      </c>
      <c r="B993" s="91" t="s">
        <v>1198</v>
      </c>
      <c r="C993" s="102" t="s">
        <v>1199</v>
      </c>
      <c r="D993" s="103" t="s">
        <v>26</v>
      </c>
      <c r="E993" s="91" t="s">
        <v>1200</v>
      </c>
      <c r="F993" s="91" t="s">
        <v>975</v>
      </c>
      <c r="G993" s="91" t="s">
        <v>976</v>
      </c>
      <c r="H993" s="104" t="str">
        <f t="shared" si="64"/>
        <v>C5000J20</v>
      </c>
      <c r="I993" s="104"/>
      <c r="J993" s="105">
        <v>92.57</v>
      </c>
      <c r="K993" s="106">
        <f>IF(D993="CAESARSTONE LTD",VLOOKUP(H993,'[2]GIA CA'!G:H,2,0),IF(OR(D993="STONE FACINGS LIMITED",D993="NORDIA SA",D993="INVICTUS STONE COUNTERTOPS INC",D993="QUARTZTOP LLC"),VLOOKUP(H993,'[2] Giá ngoài Mỹ - SI-GR'!$B$5:$AZ$84,51,0),IF(OR(D993="HYUNDAI L&amp;C CANADA INC",D993="Hyundai L&amp; C USA LLC"),VLOOKUP(H993,'[2]GIA HS'!A:D,4,0),IF(Y993="Mỹ",VLOOKUP(H993,'[2]giá mỹ từ 6.8.2025'!B:I,2,0),VLOOKUP(H993,'[2]giá ngoài mỹ 6.8.2025 (final)'!B:BP,51,0)))))</f>
        <v>55</v>
      </c>
      <c r="L993" s="106">
        <v>59.9</v>
      </c>
      <c r="M993" s="106">
        <f t="shared" si="63"/>
        <v>4.8999999999999986</v>
      </c>
      <c r="N993" s="106">
        <v>59.9</v>
      </c>
      <c r="O993" s="106">
        <v>5544.72</v>
      </c>
      <c r="P993" s="107">
        <v>26040</v>
      </c>
      <c r="Q993" s="107">
        <v>144384509</v>
      </c>
      <c r="R993" s="102" t="s">
        <v>30</v>
      </c>
      <c r="S993" s="108"/>
      <c r="T993" s="109"/>
      <c r="U993" s="109"/>
      <c r="V993" s="102"/>
      <c r="W993" s="109"/>
      <c r="X993" s="109"/>
      <c r="Y993" s="110" t="s">
        <v>932</v>
      </c>
      <c r="Z993" s="111" t="str">
        <f>MID(E993,4,2)</f>
        <v>CA</v>
      </c>
    </row>
    <row r="994" spans="1:26" s="111" customFormat="1" x14ac:dyDescent="0.2">
      <c r="A994" s="101">
        <v>46247</v>
      </c>
      <c r="B994" s="91" t="s">
        <v>1198</v>
      </c>
      <c r="C994" s="102" t="s">
        <v>1199</v>
      </c>
      <c r="D994" s="103" t="s">
        <v>26</v>
      </c>
      <c r="E994" s="91" t="s">
        <v>1200</v>
      </c>
      <c r="F994" s="91" t="s">
        <v>77</v>
      </c>
      <c r="G994" s="91" t="s">
        <v>78</v>
      </c>
      <c r="H994" s="104" t="str">
        <f t="shared" si="64"/>
        <v>C5212J30</v>
      </c>
      <c r="I994" s="104"/>
      <c r="J994" s="105">
        <v>168.8</v>
      </c>
      <c r="K994" s="106">
        <f>IF(D994="CAESARSTONE LTD",VLOOKUP(H994,'[2]GIA CA'!G:H,2,0),IF(OR(D994="STONE FACINGS LIMITED",D994="NORDIA SA",D994="INVICTUS STONE COUNTERTOPS INC",D994="QUARTZTOP LLC"),VLOOKUP(H994,'[2] Giá ngoài Mỹ - SI-GR'!$B$5:$AZ$84,51,0),IF(OR(D994="HYUNDAI L&amp;C CANADA INC",D994="Hyundai L&amp; C USA LLC"),VLOOKUP(H994,'[2]GIA HS'!A:D,4,0),IF(Y994="Mỹ",VLOOKUP(H994,'[2]giá mỹ từ 6.8.2025'!B:I,2,0),VLOOKUP(H994,'[2]giá ngoài mỹ 6.8.2025 (final)'!B:BP,51,0)))))</f>
        <v>73.75</v>
      </c>
      <c r="L994" s="106">
        <v>77.400000000000006</v>
      </c>
      <c r="M994" s="106">
        <f t="shared" si="63"/>
        <v>3.6500000000000057</v>
      </c>
      <c r="N994" s="106">
        <v>77.400000000000006</v>
      </c>
      <c r="O994" s="106">
        <v>13065.03</v>
      </c>
      <c r="P994" s="107">
        <v>26040</v>
      </c>
      <c r="Q994" s="107">
        <v>340213381</v>
      </c>
      <c r="R994" s="102" t="s">
        <v>30</v>
      </c>
      <c r="S994" s="108"/>
      <c r="T994" s="109"/>
      <c r="U994" s="109"/>
      <c r="V994" s="102"/>
      <c r="W994" s="109"/>
      <c r="X994" s="109"/>
      <c r="Y994" s="110" t="s">
        <v>932</v>
      </c>
      <c r="Z994" s="111" t="str">
        <f>MID(E994,4,2)</f>
        <v>CA</v>
      </c>
    </row>
    <row r="995" spans="1:26" s="111" customFormat="1" x14ac:dyDescent="0.2">
      <c r="A995" s="101">
        <v>46247</v>
      </c>
      <c r="B995" s="91" t="s">
        <v>1198</v>
      </c>
      <c r="C995" s="102" t="s">
        <v>1199</v>
      </c>
      <c r="D995" s="103" t="s">
        <v>26</v>
      </c>
      <c r="E995" s="91" t="s">
        <v>1200</v>
      </c>
      <c r="F995" s="91" t="s">
        <v>90</v>
      </c>
      <c r="G995" s="91" t="s">
        <v>91</v>
      </c>
      <c r="H995" s="104" t="str">
        <f t="shared" si="64"/>
        <v>F6131J30</v>
      </c>
      <c r="I995" s="104"/>
      <c r="J995" s="105">
        <v>288.58999999999997</v>
      </c>
      <c r="K995" s="106">
        <f>IF(D995="CAESARSTONE LTD",VLOOKUP(H995,'[2]GIA CA'!G:H,2,0),IF(OR(D995="STONE FACINGS LIMITED",D995="NORDIA SA",D995="INVICTUS STONE COUNTERTOPS INC",D995="QUARTZTOP LLC"),VLOOKUP(H995,'[2] Giá ngoài Mỹ - SI-GR'!$B$5:$AZ$84,51,0),IF(OR(D995="HYUNDAI L&amp;C CANADA INC",D995="Hyundai L&amp; C USA LLC"),VLOOKUP(H995,'[2]GIA HS'!A:D,4,0),IF(Y995="Mỹ",VLOOKUP(H995,'[2]giá mỹ từ 6.8.2025'!B:I,2,0),VLOOKUP(H995,'[2]giá ngoài mỹ 6.8.2025 (final)'!B:BP,51,0)))))</f>
        <v>77.5</v>
      </c>
      <c r="L995" s="106">
        <v>81.400000000000006</v>
      </c>
      <c r="M995" s="106">
        <f t="shared" si="63"/>
        <v>3.9000000000000057</v>
      </c>
      <c r="N995" s="106">
        <v>81.400000000000006</v>
      </c>
      <c r="O995" s="107">
        <v>23490.66</v>
      </c>
      <c r="P995" s="107">
        <v>26040</v>
      </c>
      <c r="Q995" s="107">
        <v>611696786</v>
      </c>
      <c r="R995" s="102" t="s">
        <v>30</v>
      </c>
      <c r="S995" s="108"/>
      <c r="T995" s="109"/>
      <c r="U995" s="109"/>
      <c r="V995" s="102"/>
      <c r="W995" s="109"/>
      <c r="X995" s="109"/>
      <c r="Y995" s="110" t="s">
        <v>932</v>
      </c>
      <c r="Z995" s="111" t="str">
        <f>MID(E995,4,2)</f>
        <v>CA</v>
      </c>
    </row>
    <row r="996" spans="1:26" s="111" customFormat="1" x14ac:dyDescent="0.2">
      <c r="A996" s="101">
        <v>46247</v>
      </c>
      <c r="B996" s="91" t="s">
        <v>1201</v>
      </c>
      <c r="C996" s="102" t="s">
        <v>1202</v>
      </c>
      <c r="D996" s="103" t="s">
        <v>26</v>
      </c>
      <c r="E996" s="91" t="s">
        <v>1203</v>
      </c>
      <c r="F996" s="91" t="s">
        <v>1204</v>
      </c>
      <c r="G996" s="91" t="s">
        <v>283</v>
      </c>
      <c r="H996" s="104" t="str">
        <f t="shared" si="64"/>
        <v>F5100J20</v>
      </c>
      <c r="I996" s="104"/>
      <c r="J996" s="105">
        <v>98.01</v>
      </c>
      <c r="K996" s="106">
        <f>IF(D996="CAESARSTONE LTD",VLOOKUP(H996,'[2]GIA CA'!G:H,2,0),IF(OR(D996="STONE FACINGS LIMITED",D996="NORDIA SA",D996="INVICTUS STONE COUNTERTOPS INC",D996="QUARTZTOP LLC"),VLOOKUP(H996,'[2] Giá ngoài Mỹ - SI-GR'!$B$5:$AZ$84,51,0),IF(OR(D996="HYUNDAI L&amp;C CANADA INC",D996="Hyundai L&amp; C USA LLC"),VLOOKUP(H996,'[2]GIA HS'!A:D,4,0),IF(Y996="Mỹ",VLOOKUP(H996,'[2]giá mỹ từ 6.8.2025'!B:I,2,0),VLOOKUP(H996,'[2]giá ngoài mỹ 6.8.2025 (final)'!B:BP,51,0)))))</f>
        <v>62</v>
      </c>
      <c r="L996" s="106">
        <v>65.099999999999994</v>
      </c>
      <c r="M996" s="106">
        <f t="shared" si="63"/>
        <v>3.0999999999999943</v>
      </c>
      <c r="N996" s="106">
        <v>65.099999999999994</v>
      </c>
      <c r="O996" s="106">
        <v>6380.46</v>
      </c>
      <c r="P996" s="107">
        <v>26040</v>
      </c>
      <c r="Q996" s="107">
        <v>166147178</v>
      </c>
      <c r="R996" s="102" t="s">
        <v>30</v>
      </c>
      <c r="S996" s="108"/>
      <c r="T996" s="109"/>
      <c r="U996" s="109"/>
      <c r="V996" s="102"/>
      <c r="W996" s="109"/>
      <c r="X996" s="109"/>
      <c r="Y996" s="110" t="s">
        <v>290</v>
      </c>
      <c r="Z996" s="111" t="str">
        <f>MID(E996,4,2)</f>
        <v>CA</v>
      </c>
    </row>
    <row r="997" spans="1:26" s="111" customFormat="1" x14ac:dyDescent="0.2">
      <c r="A997" s="101">
        <v>46247</v>
      </c>
      <c r="B997" s="91" t="s">
        <v>1201</v>
      </c>
      <c r="C997" s="102" t="s">
        <v>1202</v>
      </c>
      <c r="D997" s="103" t="s">
        <v>26</v>
      </c>
      <c r="E997" s="91" t="s">
        <v>1203</v>
      </c>
      <c r="F997" s="91" t="s">
        <v>296</v>
      </c>
      <c r="G997" s="91" t="s">
        <v>297</v>
      </c>
      <c r="H997" s="104" t="str">
        <f t="shared" si="64"/>
        <v>F5130J20</v>
      </c>
      <c r="I997" s="104"/>
      <c r="J997" s="105">
        <v>54.45</v>
      </c>
      <c r="K997" s="106">
        <f>IF(D997="CAESARSTONE LTD",VLOOKUP(H997,'[2]GIA CA'!G:H,2,0),IF(OR(D997="STONE FACINGS LIMITED",D997="NORDIA SA",D997="INVICTUS STONE COUNTERTOPS INC",D997="QUARTZTOP LLC"),VLOOKUP(H997,'[2] Giá ngoài Mỹ - SI-GR'!$B$5:$AZ$84,51,0),IF(OR(D997="HYUNDAI L&amp;C CANADA INC",D997="Hyundai L&amp; C USA LLC"),VLOOKUP(H997,'[2]GIA HS'!A:D,4,0),IF(Y997="Mỹ",VLOOKUP(H997,'[2]giá mỹ từ 6.8.2025'!B:I,2,0),VLOOKUP(H997,'[2]giá ngoài mỹ 6.8.2025 (final)'!B:BP,51,0)))))</f>
        <v>62</v>
      </c>
      <c r="L997" s="106">
        <v>65.099999999999994</v>
      </c>
      <c r="M997" s="106">
        <f t="shared" si="63"/>
        <v>3.0999999999999943</v>
      </c>
      <c r="N997" s="106">
        <v>65.099999999999994</v>
      </c>
      <c r="O997" s="106">
        <v>3544.7</v>
      </c>
      <c r="P997" s="107">
        <v>26040</v>
      </c>
      <c r="Q997" s="107">
        <v>92303988</v>
      </c>
      <c r="R997" s="102" t="s">
        <v>30</v>
      </c>
      <c r="S997" s="108"/>
      <c r="T997" s="109"/>
      <c r="U997" s="109"/>
      <c r="V997" s="102"/>
      <c r="W997" s="109"/>
      <c r="X997" s="109"/>
      <c r="Y997" s="110" t="s">
        <v>290</v>
      </c>
      <c r="Z997" s="111" t="str">
        <f>MID(E997,4,2)</f>
        <v>CA</v>
      </c>
    </row>
    <row r="998" spans="1:26" s="111" customFormat="1" x14ac:dyDescent="0.2">
      <c r="A998" s="101">
        <v>46247</v>
      </c>
      <c r="B998" s="91" t="s">
        <v>1201</v>
      </c>
      <c r="C998" s="102" t="s">
        <v>1202</v>
      </c>
      <c r="D998" s="103" t="s">
        <v>26</v>
      </c>
      <c r="E998" s="91" t="s">
        <v>1203</v>
      </c>
      <c r="F998" s="91" t="s">
        <v>203</v>
      </c>
      <c r="G998" s="91" t="s">
        <v>204</v>
      </c>
      <c r="H998" s="104" t="str">
        <f t="shared" si="64"/>
        <v>F5132J20</v>
      </c>
      <c r="I998" s="104"/>
      <c r="J998" s="105">
        <v>54.45</v>
      </c>
      <c r="K998" s="106">
        <f>IF(D998="CAESARSTONE LTD",VLOOKUP(H998,'[2]GIA CA'!G:H,2,0),IF(OR(D998="STONE FACINGS LIMITED",D998="NORDIA SA",D998="INVICTUS STONE COUNTERTOPS INC",D998="QUARTZTOP LLC"),VLOOKUP(H998,'[2] Giá ngoài Mỹ - SI-GR'!$B$5:$AZ$84,51,0),IF(OR(D998="HYUNDAI L&amp;C CANADA INC",D998="Hyundai L&amp; C USA LLC"),VLOOKUP(H998,'[2]GIA HS'!A:D,4,0),IF(Y998="Mỹ",VLOOKUP(H998,'[2]giá mỹ từ 6.8.2025'!B:I,2,0),VLOOKUP(H998,'[2]giá ngoài mỹ 6.8.2025 (final)'!B:BP,51,0)))))</f>
        <v>62</v>
      </c>
      <c r="L998" s="106">
        <v>65.099999999999994</v>
      </c>
      <c r="M998" s="106">
        <f t="shared" si="63"/>
        <v>3.0999999999999943</v>
      </c>
      <c r="N998" s="106">
        <v>65.099999999999994</v>
      </c>
      <c r="O998" s="107">
        <v>3544.7</v>
      </c>
      <c r="P998" s="107">
        <v>26040</v>
      </c>
      <c r="Q998" s="107">
        <v>92303988</v>
      </c>
      <c r="R998" s="102" t="s">
        <v>30</v>
      </c>
      <c r="S998" s="108"/>
      <c r="T998" s="109"/>
      <c r="U998" s="109"/>
      <c r="V998" s="102"/>
      <c r="W998" s="109"/>
      <c r="X998" s="109"/>
      <c r="Y998" s="110" t="s">
        <v>290</v>
      </c>
      <c r="Z998" s="111" t="str">
        <f>MID(E998,4,2)</f>
        <v>CA</v>
      </c>
    </row>
    <row r="999" spans="1:26" s="111" customFormat="1" x14ac:dyDescent="0.2">
      <c r="A999" s="101">
        <v>46247</v>
      </c>
      <c r="B999" s="91" t="s">
        <v>1201</v>
      </c>
      <c r="C999" s="102" t="s">
        <v>1202</v>
      </c>
      <c r="D999" s="103" t="s">
        <v>26</v>
      </c>
      <c r="E999" s="91" t="s">
        <v>1203</v>
      </c>
      <c r="F999" s="91" t="s">
        <v>291</v>
      </c>
      <c r="G999" s="91" t="s">
        <v>292</v>
      </c>
      <c r="H999" s="104" t="str">
        <f t="shared" si="64"/>
        <v>F5133J20</v>
      </c>
      <c r="I999" s="104"/>
      <c r="J999" s="105">
        <v>54.45</v>
      </c>
      <c r="K999" s="106">
        <f>IF(D999="CAESARSTONE LTD",VLOOKUP(H999,'[2]GIA CA'!G:H,2,0),IF(OR(D999="STONE FACINGS LIMITED",D999="NORDIA SA",D999="INVICTUS STONE COUNTERTOPS INC",D999="QUARTZTOP LLC"),VLOOKUP(H999,'[2] Giá ngoài Mỹ - SI-GR'!$B$5:$AZ$84,51,0),IF(OR(D999="HYUNDAI L&amp;C CANADA INC",D999="Hyundai L&amp; C USA LLC"),VLOOKUP(H999,'[2]GIA HS'!A:D,4,0),IF(Y999="Mỹ",VLOOKUP(H999,'[2]giá mỹ từ 6.8.2025'!B:I,2,0),VLOOKUP(H999,'[2]giá ngoài mỹ 6.8.2025 (final)'!B:BP,51,0)))))</f>
        <v>62</v>
      </c>
      <c r="L999" s="106">
        <v>65.099999999999994</v>
      </c>
      <c r="M999" s="106">
        <f t="shared" si="63"/>
        <v>3.0999999999999943</v>
      </c>
      <c r="N999" s="106">
        <v>65.099999999999994</v>
      </c>
      <c r="O999" s="106">
        <v>3544.7</v>
      </c>
      <c r="P999" s="107">
        <v>26040</v>
      </c>
      <c r="Q999" s="107">
        <v>92303988</v>
      </c>
      <c r="R999" s="102" t="s">
        <v>30</v>
      </c>
      <c r="S999" s="108"/>
      <c r="T999" s="109"/>
      <c r="U999" s="109"/>
      <c r="V999" s="102"/>
      <c r="W999" s="109"/>
      <c r="X999" s="109"/>
      <c r="Y999" s="110" t="s">
        <v>290</v>
      </c>
      <c r="Z999" s="111" t="str">
        <f>MID(E999,4,2)</f>
        <v>CA</v>
      </c>
    </row>
    <row r="1000" spans="1:26" s="111" customFormat="1" x14ac:dyDescent="0.2">
      <c r="A1000" s="101">
        <v>46247</v>
      </c>
      <c r="B1000" s="91" t="s">
        <v>1201</v>
      </c>
      <c r="C1000" s="102" t="s">
        <v>1202</v>
      </c>
      <c r="D1000" s="103" t="s">
        <v>26</v>
      </c>
      <c r="E1000" s="91" t="s">
        <v>1203</v>
      </c>
      <c r="F1000" s="91" t="s">
        <v>999</v>
      </c>
      <c r="G1000" s="91" t="s">
        <v>1000</v>
      </c>
      <c r="H1000" s="104" t="str">
        <f t="shared" si="64"/>
        <v>F5144J20</v>
      </c>
      <c r="I1000" s="104"/>
      <c r="J1000" s="105">
        <v>54.45</v>
      </c>
      <c r="K1000" s="106">
        <f>IF(D1000="CAESARSTONE LTD",VLOOKUP(H1000,'[2]GIA CA'!G:H,2,0),IF(OR(D1000="STONE FACINGS LIMITED",D1000="NORDIA SA",D1000="INVICTUS STONE COUNTERTOPS INC",D1000="QUARTZTOP LLC"),VLOOKUP(H1000,'[2] Giá ngoài Mỹ - SI-GR'!$B$5:$AZ$84,51,0),IF(OR(D1000="HYUNDAI L&amp;C CANADA INC",D1000="Hyundai L&amp; C USA LLC"),VLOOKUP(H1000,'[2]GIA HS'!A:D,4,0),IF(Y1000="Mỹ",VLOOKUP(H1000,'[2]giá mỹ từ 6.8.2025'!B:I,2,0),VLOOKUP(H1000,'[2]giá ngoài mỹ 6.8.2025 (final)'!B:BP,51,0)))))</f>
        <v>62</v>
      </c>
      <c r="L1000" s="106">
        <v>65.099999999999994</v>
      </c>
      <c r="M1000" s="106">
        <f t="shared" si="63"/>
        <v>3.0999999999999943</v>
      </c>
      <c r="N1000" s="106">
        <v>65.099999999999994</v>
      </c>
      <c r="O1000" s="107">
        <v>3544.7</v>
      </c>
      <c r="P1000" s="107">
        <v>26040</v>
      </c>
      <c r="Q1000" s="107">
        <v>92303988</v>
      </c>
      <c r="R1000" s="102" t="s">
        <v>30</v>
      </c>
      <c r="S1000" s="108"/>
      <c r="T1000" s="109"/>
      <c r="U1000" s="109"/>
      <c r="V1000" s="102"/>
      <c r="W1000" s="109"/>
      <c r="X1000" s="109"/>
      <c r="Y1000" s="110" t="s">
        <v>290</v>
      </c>
      <c r="Z1000" s="111" t="str">
        <f>MID(E1000,4,2)</f>
        <v>CA</v>
      </c>
    </row>
    <row r="1001" spans="1:26" s="111" customFormat="1" x14ac:dyDescent="0.2">
      <c r="A1001" s="101">
        <v>46247</v>
      </c>
      <c r="B1001" s="91" t="s">
        <v>1201</v>
      </c>
      <c r="C1001" s="102" t="s">
        <v>1202</v>
      </c>
      <c r="D1001" s="103" t="s">
        <v>26</v>
      </c>
      <c r="E1001" s="91" t="s">
        <v>1203</v>
      </c>
      <c r="F1001" s="91" t="s">
        <v>887</v>
      </c>
      <c r="G1001" s="91" t="s">
        <v>888</v>
      </c>
      <c r="H1001" s="104" t="str">
        <f t="shared" si="64"/>
        <v>F5444J20</v>
      </c>
      <c r="I1001" s="104"/>
      <c r="J1001" s="105">
        <v>81.680000000000007</v>
      </c>
      <c r="K1001" s="106">
        <f>IF(D1001="CAESARSTONE LTD",VLOOKUP(H1001,'[2]GIA CA'!G:H,2,0),IF(OR(D1001="STONE FACINGS LIMITED",D1001="NORDIA SA",D1001="INVICTUS STONE COUNTERTOPS INC",D1001="QUARTZTOP LLC"),VLOOKUP(H1001,'[2] Giá ngoài Mỹ - SI-GR'!$B$5:$AZ$84,51,0),IF(OR(D1001="HYUNDAI L&amp;C CANADA INC",D1001="Hyundai L&amp; C USA LLC"),VLOOKUP(H1001,'[2]GIA HS'!A:D,4,0),IF(Y1001="Mỹ",VLOOKUP(H1001,'[2]giá mỹ từ 6.8.2025'!B:I,2,0),VLOOKUP(H1001,'[2]giá ngoài mỹ 6.8.2025 (final)'!B:BP,51,0)))))</f>
        <v>74</v>
      </c>
      <c r="L1001" s="106">
        <v>76.459999999999994</v>
      </c>
      <c r="M1001" s="106">
        <f t="shared" si="63"/>
        <v>2.4599999999999937</v>
      </c>
      <c r="N1001" s="106">
        <v>76.459999999999994</v>
      </c>
      <c r="O1001" s="107">
        <v>6245.45</v>
      </c>
      <c r="P1001" s="107">
        <v>26040</v>
      </c>
      <c r="Q1001" s="107">
        <v>162631518</v>
      </c>
      <c r="R1001" s="102" t="s">
        <v>30</v>
      </c>
      <c r="S1001" s="108"/>
      <c r="T1001" s="109"/>
      <c r="U1001" s="109"/>
      <c r="V1001" s="102"/>
      <c r="W1001" s="109"/>
      <c r="X1001" s="109"/>
      <c r="Y1001" s="110" t="s">
        <v>290</v>
      </c>
      <c r="Z1001" s="111" t="str">
        <f>MID(E1001,4,2)</f>
        <v>CA</v>
      </c>
    </row>
    <row r="1002" spans="1:26" s="111" customFormat="1" x14ac:dyDescent="0.2">
      <c r="A1002" s="101">
        <v>46247</v>
      </c>
      <c r="B1002" s="91" t="s">
        <v>1201</v>
      </c>
      <c r="C1002" s="102" t="s">
        <v>1202</v>
      </c>
      <c r="D1002" s="103" t="s">
        <v>26</v>
      </c>
      <c r="E1002" s="91" t="s">
        <v>1203</v>
      </c>
      <c r="F1002" s="91" t="s">
        <v>458</v>
      </c>
      <c r="G1002" s="91" t="s">
        <v>459</v>
      </c>
      <c r="H1002" s="104" t="str">
        <f t="shared" si="64"/>
        <v>F6131J20</v>
      </c>
      <c r="I1002" s="104"/>
      <c r="J1002" s="105">
        <v>54.45</v>
      </c>
      <c r="K1002" s="106">
        <f>IF(D1002="CAESARSTONE LTD",VLOOKUP(H1002,'[2]GIA CA'!G:H,2,0),IF(OR(D1002="STONE FACINGS LIMITED",D1002="NORDIA SA",D1002="INVICTUS STONE COUNTERTOPS INC",D1002="QUARTZTOP LLC"),VLOOKUP(H1002,'[2] Giá ngoài Mỹ - SI-GR'!$B$5:$AZ$84,51,0),IF(OR(D1002="HYUNDAI L&amp;C CANADA INC",D1002="Hyundai L&amp; C USA LLC"),VLOOKUP(H1002,'[2]GIA HS'!A:D,4,0),IF(Y1002="Mỹ",VLOOKUP(H1002,'[2]giá mỹ từ 6.8.2025'!B:I,2,0),VLOOKUP(H1002,'[2]giá ngoài mỹ 6.8.2025 (final)'!B:BP,51,0)))))</f>
        <v>62</v>
      </c>
      <c r="L1002" s="106">
        <v>65.099999999999994</v>
      </c>
      <c r="M1002" s="106">
        <f t="shared" si="63"/>
        <v>3.0999999999999943</v>
      </c>
      <c r="N1002" s="106">
        <v>65.099999999999994</v>
      </c>
      <c r="O1002" s="106">
        <v>3544.7</v>
      </c>
      <c r="P1002" s="107">
        <v>26040</v>
      </c>
      <c r="Q1002" s="107">
        <v>92303988</v>
      </c>
      <c r="R1002" s="102" t="s">
        <v>30</v>
      </c>
      <c r="S1002" s="108"/>
      <c r="T1002" s="109"/>
      <c r="U1002" s="109"/>
      <c r="V1002" s="102"/>
      <c r="W1002" s="109"/>
      <c r="X1002" s="109"/>
      <c r="Y1002" s="110" t="s">
        <v>290</v>
      </c>
      <c r="Z1002" s="111" t="str">
        <f>MID(E1002,4,2)</f>
        <v>CA</v>
      </c>
    </row>
    <row r="1003" spans="1:26" s="111" customFormat="1" x14ac:dyDescent="0.2">
      <c r="A1003" s="101">
        <v>46247</v>
      </c>
      <c r="B1003" s="91" t="s">
        <v>1201</v>
      </c>
      <c r="C1003" s="102" t="s">
        <v>1202</v>
      </c>
      <c r="D1003" s="103" t="s">
        <v>26</v>
      </c>
      <c r="E1003" s="91" t="s">
        <v>1203</v>
      </c>
      <c r="F1003" s="91" t="s">
        <v>274</v>
      </c>
      <c r="G1003" s="91" t="s">
        <v>273</v>
      </c>
      <c r="H1003" s="104" t="str">
        <f t="shared" si="64"/>
        <v>F6313J20</v>
      </c>
      <c r="I1003" s="104"/>
      <c r="J1003" s="105">
        <v>21.78</v>
      </c>
      <c r="K1003" s="106">
        <f>IF(D1003="CAESARSTONE LTD",VLOOKUP(H1003,'[2]GIA CA'!G:H,2,0),IF(OR(D1003="STONE FACINGS LIMITED",D1003="NORDIA SA",D1003="INVICTUS STONE COUNTERTOPS INC",D1003="QUARTZTOP LLC"),VLOOKUP(H1003,'[2] Giá ngoài Mỹ - SI-GR'!$B$5:$AZ$84,51,0),IF(OR(D1003="HYUNDAI L&amp;C CANADA INC",D1003="Hyundai L&amp; C USA LLC"),VLOOKUP(H1003,'[2]GIA HS'!A:D,4,0),IF(Y1003="Mỹ",VLOOKUP(H1003,'[2]giá mỹ từ 6.8.2025'!B:I,2,0),VLOOKUP(H1003,'[2]giá ngoài mỹ 6.8.2025 (final)'!B:BP,51,0)))))</f>
        <v>62</v>
      </c>
      <c r="L1003" s="106">
        <v>65.099999999999994</v>
      </c>
      <c r="M1003" s="106">
        <f t="shared" si="63"/>
        <v>3.0999999999999943</v>
      </c>
      <c r="N1003" s="106">
        <v>65.099999999999994</v>
      </c>
      <c r="O1003" s="107">
        <v>1417.88</v>
      </c>
      <c r="P1003" s="107">
        <v>26040</v>
      </c>
      <c r="Q1003" s="107">
        <v>36921595</v>
      </c>
      <c r="R1003" s="102" t="s">
        <v>30</v>
      </c>
      <c r="S1003" s="108"/>
      <c r="T1003" s="109"/>
      <c r="U1003" s="109"/>
      <c r="V1003" s="102"/>
      <c r="W1003" s="109"/>
      <c r="X1003" s="109"/>
      <c r="Y1003" s="110" t="s">
        <v>290</v>
      </c>
      <c r="Z1003" s="111" t="str">
        <f>MID(E1003,4,2)</f>
        <v>CA</v>
      </c>
    </row>
    <row r="1004" spans="1:26" s="111" customFormat="1" x14ac:dyDescent="0.2">
      <c r="A1004" s="101">
        <v>46247</v>
      </c>
      <c r="B1004" s="91" t="s">
        <v>1205</v>
      </c>
      <c r="C1004" s="102" t="s">
        <v>1206</v>
      </c>
      <c r="D1004" s="103" t="s">
        <v>26</v>
      </c>
      <c r="E1004" s="91" t="s">
        <v>1207</v>
      </c>
      <c r="F1004" s="91" t="s">
        <v>975</v>
      </c>
      <c r="G1004" s="91" t="s">
        <v>976</v>
      </c>
      <c r="H1004" s="104" t="str">
        <f t="shared" si="64"/>
        <v>C5000J20</v>
      </c>
      <c r="I1004" s="104"/>
      <c r="J1004" s="105">
        <v>108.9</v>
      </c>
      <c r="K1004" s="106">
        <f>IF(D1004="CAESARSTONE LTD",VLOOKUP(H1004,'[2]GIA CA'!G:H,2,0),IF(OR(D1004="STONE FACINGS LIMITED",D1004="NORDIA SA",D1004="INVICTUS STONE COUNTERTOPS INC",D1004="QUARTZTOP LLC"),VLOOKUP(H1004,'[2] Giá ngoài Mỹ - SI-GR'!$B$5:$AZ$84,51,0),IF(OR(D1004="HYUNDAI L&amp;C CANADA INC",D1004="Hyundai L&amp; C USA LLC"),VLOOKUP(H1004,'[2]GIA HS'!A:D,4,0),IF(Y1004="Mỹ",VLOOKUP(H1004,'[2]giá mỹ từ 6.8.2025'!B:I,2,0),VLOOKUP(H1004,'[2]giá ngoài mỹ 6.8.2025 (final)'!B:BP,51,0)))))</f>
        <v>55</v>
      </c>
      <c r="L1004" s="106">
        <v>59.9</v>
      </c>
      <c r="M1004" s="106">
        <f t="shared" si="63"/>
        <v>4.8999999999999986</v>
      </c>
      <c r="N1004" s="106">
        <v>59.9</v>
      </c>
      <c r="O1004" s="107">
        <v>6523.2</v>
      </c>
      <c r="P1004" s="107">
        <v>26040</v>
      </c>
      <c r="Q1004" s="107">
        <v>169864128</v>
      </c>
      <c r="R1004" s="102" t="s">
        <v>30</v>
      </c>
      <c r="S1004" s="108"/>
      <c r="T1004" s="109"/>
      <c r="U1004" s="109"/>
      <c r="V1004" s="102"/>
      <c r="W1004" s="109"/>
      <c r="X1004" s="109"/>
      <c r="Y1004" s="110" t="s">
        <v>1068</v>
      </c>
      <c r="Z1004" s="111" t="str">
        <f>MID(E1004,4,2)</f>
        <v>CA</v>
      </c>
    </row>
    <row r="1005" spans="1:26" s="111" customFormat="1" x14ac:dyDescent="0.2">
      <c r="A1005" s="101">
        <v>46247</v>
      </c>
      <c r="B1005" s="91" t="s">
        <v>1205</v>
      </c>
      <c r="C1005" s="102" t="s">
        <v>1206</v>
      </c>
      <c r="D1005" s="103" t="s">
        <v>26</v>
      </c>
      <c r="E1005" s="91" t="s">
        <v>1207</v>
      </c>
      <c r="F1005" s="91" t="s">
        <v>1208</v>
      </c>
      <c r="G1005" s="91" t="s">
        <v>1209</v>
      </c>
      <c r="H1005" s="104" t="str">
        <f t="shared" si="64"/>
        <v>C5110J20</v>
      </c>
      <c r="I1005" s="104"/>
      <c r="J1005" s="105">
        <v>108.9</v>
      </c>
      <c r="K1005" s="106">
        <f>IF(D1005="CAESARSTONE LTD",VLOOKUP(H1005,'[2]GIA CA'!G:H,2,0),IF(OR(D1005="STONE FACINGS LIMITED",D1005="NORDIA SA",D1005="INVICTUS STONE COUNTERTOPS INC",D1005="QUARTZTOP LLC"),VLOOKUP(H1005,'[2] Giá ngoài Mỹ - SI-GR'!$B$5:$AZ$84,51,0),IF(OR(D1005="HYUNDAI L&amp;C CANADA INC",D1005="Hyundai L&amp; C USA LLC"),VLOOKUP(H1005,'[2]GIA HS'!A:D,4,0),IF(Y1005="Mỹ",VLOOKUP(H1005,'[2]giá mỹ từ 6.8.2025'!B:I,2,0),VLOOKUP(H1005,'[2]giá ngoài mỹ 6.8.2025 (final)'!B:BP,51,0)))))</f>
        <v>57</v>
      </c>
      <c r="L1005" s="106">
        <v>62</v>
      </c>
      <c r="M1005" s="106">
        <f t="shared" si="63"/>
        <v>5</v>
      </c>
      <c r="N1005" s="106">
        <v>62</v>
      </c>
      <c r="O1005" s="107">
        <v>6751.8</v>
      </c>
      <c r="P1005" s="107">
        <v>26040</v>
      </c>
      <c r="Q1005" s="107">
        <v>175816872</v>
      </c>
      <c r="R1005" s="102" t="s">
        <v>30</v>
      </c>
      <c r="S1005" s="108"/>
      <c r="T1005" s="109"/>
      <c r="U1005" s="109"/>
      <c r="V1005" s="102"/>
      <c r="W1005" s="109"/>
      <c r="X1005" s="109"/>
      <c r="Y1005" s="110" t="s">
        <v>1068</v>
      </c>
      <c r="Z1005" s="111" t="str">
        <f>MID(E1005,4,2)</f>
        <v>CA</v>
      </c>
    </row>
    <row r="1006" spans="1:26" s="111" customFormat="1" x14ac:dyDescent="0.2">
      <c r="A1006" s="101">
        <v>46247</v>
      </c>
      <c r="B1006" s="91" t="s">
        <v>1205</v>
      </c>
      <c r="C1006" s="102" t="s">
        <v>1206</v>
      </c>
      <c r="D1006" s="103" t="s">
        <v>26</v>
      </c>
      <c r="E1006" s="91" t="s">
        <v>1207</v>
      </c>
      <c r="F1006" s="91" t="s">
        <v>778</v>
      </c>
      <c r="G1006" s="91" t="s">
        <v>779</v>
      </c>
      <c r="H1006" s="104" t="str">
        <f t="shared" si="64"/>
        <v>C6131J20</v>
      </c>
      <c r="I1006" s="104"/>
      <c r="J1006" s="105">
        <v>163.35</v>
      </c>
      <c r="K1006" s="106">
        <f>IF(D1006="CAESARSTONE LTD",VLOOKUP(H1006,'[2]GIA CA'!G:H,2,0),IF(OR(D1006="STONE FACINGS LIMITED",D1006="NORDIA SA",D1006="INVICTUS STONE COUNTERTOPS INC",D1006="QUARTZTOP LLC"),VLOOKUP(H1006,'[2] Giá ngoài Mỹ - SI-GR'!$B$5:$AZ$84,51,0),IF(OR(D1006="HYUNDAI L&amp;C CANADA INC",D1006="Hyundai L&amp; C USA LLC"),VLOOKUP(H1006,'[2]GIA HS'!A:D,4,0),IF(Y1006="Mỹ",VLOOKUP(H1006,'[2]giá mỹ từ 6.8.2025'!B:I,2,0),VLOOKUP(H1006,'[2]giá ngoài mỹ 6.8.2025 (final)'!B:BP,51,0)))))</f>
        <v>59</v>
      </c>
      <c r="L1006" s="106">
        <v>62</v>
      </c>
      <c r="M1006" s="106">
        <f t="shared" si="63"/>
        <v>3</v>
      </c>
      <c r="N1006" s="106">
        <v>62</v>
      </c>
      <c r="O1006" s="107">
        <v>10127.700000000001</v>
      </c>
      <c r="P1006" s="107">
        <v>26040</v>
      </c>
      <c r="Q1006" s="107">
        <v>263725308</v>
      </c>
      <c r="R1006" s="102" t="s">
        <v>30</v>
      </c>
      <c r="S1006" s="108"/>
      <c r="T1006" s="109"/>
      <c r="U1006" s="109"/>
      <c r="V1006" s="102"/>
      <c r="W1006" s="109"/>
      <c r="X1006" s="109"/>
      <c r="Y1006" s="110" t="s">
        <v>1068</v>
      </c>
      <c r="Z1006" s="111" t="str">
        <f>MID(E1006,4,2)</f>
        <v>CA</v>
      </c>
    </row>
    <row r="1007" spans="1:26" s="111" customFormat="1" x14ac:dyDescent="0.2">
      <c r="A1007" s="101">
        <v>46247</v>
      </c>
      <c r="B1007" s="91" t="s">
        <v>1205</v>
      </c>
      <c r="C1007" s="102" t="s">
        <v>1206</v>
      </c>
      <c r="D1007" s="103" t="s">
        <v>26</v>
      </c>
      <c r="E1007" s="91" t="s">
        <v>1207</v>
      </c>
      <c r="F1007" s="91" t="s">
        <v>1189</v>
      </c>
      <c r="G1007" s="91" t="s">
        <v>1190</v>
      </c>
      <c r="H1007" s="104" t="str">
        <f t="shared" si="64"/>
        <v>C6338J20</v>
      </c>
      <c r="I1007" s="104"/>
      <c r="J1007" s="105">
        <v>108.9</v>
      </c>
      <c r="K1007" s="106">
        <f>+L1007</f>
        <v>59.9</v>
      </c>
      <c r="L1007" s="106">
        <v>59.9</v>
      </c>
      <c r="M1007" s="106">
        <f t="shared" si="63"/>
        <v>0</v>
      </c>
      <c r="N1007" s="106">
        <v>59.9</v>
      </c>
      <c r="O1007" s="107">
        <v>6523.2</v>
      </c>
      <c r="P1007" s="107">
        <v>26040</v>
      </c>
      <c r="Q1007" s="107">
        <v>169864128</v>
      </c>
      <c r="R1007" s="102" t="s">
        <v>30</v>
      </c>
      <c r="S1007" s="108"/>
      <c r="T1007" s="109"/>
      <c r="U1007" s="109"/>
      <c r="V1007" s="102"/>
      <c r="W1007" s="109"/>
      <c r="X1007" s="109"/>
      <c r="Y1007" s="110" t="s">
        <v>1068</v>
      </c>
      <c r="Z1007" s="111" t="str">
        <f>MID(E1007,4,2)</f>
        <v>CA</v>
      </c>
    </row>
    <row r="1008" spans="1:26" s="111" customFormat="1" x14ac:dyDescent="0.2">
      <c r="A1008" s="101">
        <v>46247</v>
      </c>
      <c r="B1008" s="91" t="s">
        <v>1210</v>
      </c>
      <c r="C1008" s="102" t="s">
        <v>1211</v>
      </c>
      <c r="D1008" s="103" t="s">
        <v>26</v>
      </c>
      <c r="E1008" s="91" t="s">
        <v>1212</v>
      </c>
      <c r="F1008" s="91" t="s">
        <v>1208</v>
      </c>
      <c r="G1008" s="91" t="s">
        <v>1209</v>
      </c>
      <c r="H1008" s="104" t="str">
        <f t="shared" si="64"/>
        <v>C5110J20</v>
      </c>
      <c r="I1008" s="104"/>
      <c r="J1008" s="105">
        <v>217.8</v>
      </c>
      <c r="K1008" s="106">
        <f>IF(D1008="CAESARSTONE LTD",VLOOKUP(H1008,'[2]GIA CA'!G:H,2,0),IF(OR(D1008="STONE FACINGS LIMITED",D1008="NORDIA SA",D1008="INVICTUS STONE COUNTERTOPS INC",D1008="QUARTZTOP LLC"),VLOOKUP(H1008,'[2] Giá ngoài Mỹ - SI-GR'!$B$5:$AZ$84,51,0),IF(OR(D1008="HYUNDAI L&amp;C CANADA INC",D1008="Hyundai L&amp; C USA LLC"),VLOOKUP(H1008,'[2]GIA HS'!A:D,4,0),IF(Y1008="Mỹ",VLOOKUP(H1008,'[2]giá mỹ từ 6.8.2025'!B:I,2,0),VLOOKUP(H1008,'[2]giá ngoài mỹ 6.8.2025 (final)'!B:BP,51,0)))))</f>
        <v>57</v>
      </c>
      <c r="L1008" s="106">
        <v>62</v>
      </c>
      <c r="M1008" s="106">
        <f t="shared" si="63"/>
        <v>5</v>
      </c>
      <c r="N1008" s="106">
        <v>62</v>
      </c>
      <c r="O1008" s="107">
        <v>13503.6</v>
      </c>
      <c r="P1008" s="107">
        <v>26040</v>
      </c>
      <c r="Q1008" s="107">
        <v>351633744</v>
      </c>
      <c r="R1008" s="102" t="s">
        <v>30</v>
      </c>
      <c r="S1008" s="108"/>
      <c r="T1008" s="109"/>
      <c r="U1008" s="109"/>
      <c r="V1008" s="102"/>
      <c r="W1008" s="109"/>
      <c r="X1008" s="109"/>
      <c r="Y1008" s="110" t="s">
        <v>1068</v>
      </c>
      <c r="Z1008" s="111" t="str">
        <f>MID(E1008,4,2)</f>
        <v>CA</v>
      </c>
    </row>
    <row r="1009" spans="1:26" s="111" customFormat="1" x14ac:dyDescent="0.2">
      <c r="A1009" s="101">
        <v>46247</v>
      </c>
      <c r="B1009" s="91" t="s">
        <v>1210</v>
      </c>
      <c r="C1009" s="102" t="s">
        <v>1211</v>
      </c>
      <c r="D1009" s="103" t="s">
        <v>26</v>
      </c>
      <c r="E1009" s="91" t="s">
        <v>1212</v>
      </c>
      <c r="F1009" s="91" t="s">
        <v>1189</v>
      </c>
      <c r="G1009" s="91" t="s">
        <v>1190</v>
      </c>
      <c r="H1009" s="104" t="str">
        <f t="shared" si="64"/>
        <v>C6338J20</v>
      </c>
      <c r="I1009" s="104"/>
      <c r="J1009" s="105">
        <v>272.25</v>
      </c>
      <c r="K1009" s="106">
        <f>+L1009</f>
        <v>59.9</v>
      </c>
      <c r="L1009" s="106">
        <v>59.9</v>
      </c>
      <c r="M1009" s="106">
        <f t="shared" si="63"/>
        <v>0</v>
      </c>
      <c r="N1009" s="106">
        <v>59.9</v>
      </c>
      <c r="O1009" s="107">
        <v>16308</v>
      </c>
      <c r="P1009" s="107">
        <v>26040</v>
      </c>
      <c r="Q1009" s="107">
        <v>424660320</v>
      </c>
      <c r="R1009" s="102" t="s">
        <v>30</v>
      </c>
      <c r="S1009" s="108"/>
      <c r="T1009" s="109"/>
      <c r="U1009" s="109"/>
      <c r="V1009" s="102"/>
      <c r="W1009" s="109"/>
      <c r="X1009" s="109"/>
      <c r="Y1009" s="110" t="s">
        <v>1068</v>
      </c>
      <c r="Z1009" s="111" t="str">
        <f>MID(E1009,4,2)</f>
        <v>CA</v>
      </c>
    </row>
    <row r="1010" spans="1:26" s="111" customFormat="1" x14ac:dyDescent="0.2">
      <c r="A1010" s="101">
        <v>46247</v>
      </c>
      <c r="B1010" s="91" t="s">
        <v>1213</v>
      </c>
      <c r="C1010" s="102" t="s">
        <v>1214</v>
      </c>
      <c r="D1010" s="103" t="s">
        <v>26</v>
      </c>
      <c r="E1010" s="91" t="s">
        <v>1215</v>
      </c>
      <c r="F1010" s="91" t="s">
        <v>124</v>
      </c>
      <c r="G1010" s="91" t="s">
        <v>113</v>
      </c>
      <c r="H1010" s="104" t="str">
        <f t="shared" si="64"/>
        <v>C5212J20</v>
      </c>
      <c r="I1010" s="104"/>
      <c r="J1010" s="105">
        <v>163.35</v>
      </c>
      <c r="K1010" s="106">
        <f>IF(D1010="CAESARSTONE LTD",VLOOKUP(H1010,'[2]GIA CA'!G:H,2,0),IF(OR(D1010="STONE FACINGS LIMITED",D1010="NORDIA SA",D1010="INVICTUS STONE COUNTERTOPS INC",D1010="QUARTZTOP LLC"),VLOOKUP(H1010,'[2] Giá ngoài Mỹ - SI-GR'!$B$5:$AZ$84,51,0),IF(OR(D1010="HYUNDAI L&amp;C CANADA INC",D1010="Hyundai L&amp; C USA LLC"),VLOOKUP(H1010,'[2]GIA HS'!A:D,4,0),IF(Y1010="Mỹ",VLOOKUP(H1010,'[2]giá mỹ từ 6.8.2025'!B:I,2,0),VLOOKUP(H1010,'[2]giá ngoài mỹ 6.8.2025 (final)'!B:BP,51,0)))))</f>
        <v>59</v>
      </c>
      <c r="L1010" s="106">
        <v>62</v>
      </c>
      <c r="M1010" s="106">
        <f t="shared" si="63"/>
        <v>3</v>
      </c>
      <c r="N1010" s="106">
        <v>62</v>
      </c>
      <c r="O1010" s="107">
        <v>10127.700000000001</v>
      </c>
      <c r="P1010" s="107">
        <v>26040</v>
      </c>
      <c r="Q1010" s="107">
        <v>263725308</v>
      </c>
      <c r="R1010" s="102" t="s">
        <v>30</v>
      </c>
      <c r="S1010" s="108"/>
      <c r="T1010" s="109"/>
      <c r="U1010" s="109"/>
      <c r="V1010" s="102"/>
      <c r="W1010" s="109"/>
      <c r="X1010" s="109"/>
      <c r="Y1010" s="110" t="s">
        <v>31</v>
      </c>
      <c r="Z1010" s="111" t="str">
        <f>MID(E1010,4,2)</f>
        <v>CA</v>
      </c>
    </row>
    <row r="1011" spans="1:26" s="111" customFormat="1" x14ac:dyDescent="0.2">
      <c r="A1011" s="101">
        <v>46247</v>
      </c>
      <c r="B1011" s="91" t="s">
        <v>1213</v>
      </c>
      <c r="C1011" s="102" t="s">
        <v>1214</v>
      </c>
      <c r="D1011" s="103" t="s">
        <v>26</v>
      </c>
      <c r="E1011" s="91" t="s">
        <v>1215</v>
      </c>
      <c r="F1011" s="91" t="s">
        <v>28</v>
      </c>
      <c r="G1011" s="91" t="s">
        <v>29</v>
      </c>
      <c r="H1011" s="104" t="str">
        <f t="shared" si="64"/>
        <v>F4001J20</v>
      </c>
      <c r="I1011" s="104"/>
      <c r="J1011" s="105">
        <v>54.45</v>
      </c>
      <c r="K1011" s="106">
        <f>IF(D1011="CAESARSTONE LTD",VLOOKUP(H1011,'[2]GIA CA'!G:H,2,0),IF(OR(D1011="STONE FACINGS LIMITED",D1011="NORDIA SA",D1011="INVICTUS STONE COUNTERTOPS INC",D1011="QUARTZTOP LLC"),VLOOKUP(H1011,'[2] Giá ngoài Mỹ - SI-GR'!$B$5:$AZ$84,51,0),IF(OR(D1011="HYUNDAI L&amp;C CANADA INC",D1011="Hyundai L&amp; C USA LLC"),VLOOKUP(H1011,'[2]GIA HS'!A:D,4,0),IF(Y1011="Mỹ",VLOOKUP(H1011,'[2]giá mỹ từ 6.8.2025'!B:I,2,0),VLOOKUP(H1011,'[2]giá ngoài mỹ 6.8.2025 (final)'!B:BP,51,0)))))</f>
        <v>58</v>
      </c>
      <c r="L1011" s="106">
        <v>60.9</v>
      </c>
      <c r="M1011" s="106">
        <f t="shared" si="63"/>
        <v>2.8999999999999986</v>
      </c>
      <c r="N1011" s="106">
        <v>60.9</v>
      </c>
      <c r="O1011" s="107">
        <v>3316</v>
      </c>
      <c r="P1011" s="107">
        <v>26040</v>
      </c>
      <c r="Q1011" s="107">
        <v>86348640</v>
      </c>
      <c r="R1011" s="102" t="s">
        <v>30</v>
      </c>
      <c r="S1011" s="108"/>
      <c r="T1011" s="109"/>
      <c r="U1011" s="109"/>
      <c r="V1011" s="102"/>
      <c r="W1011" s="109"/>
      <c r="X1011" s="109"/>
      <c r="Y1011" s="110" t="s">
        <v>31</v>
      </c>
      <c r="Z1011" s="111" t="str">
        <f>MID(E1011,4,2)</f>
        <v>CA</v>
      </c>
    </row>
    <row r="1012" spans="1:26" s="111" customFormat="1" x14ac:dyDescent="0.2">
      <c r="A1012" s="101">
        <v>46247</v>
      </c>
      <c r="B1012" s="91" t="s">
        <v>1213</v>
      </c>
      <c r="C1012" s="102" t="s">
        <v>1214</v>
      </c>
      <c r="D1012" s="103" t="s">
        <v>26</v>
      </c>
      <c r="E1012" s="91" t="s">
        <v>1215</v>
      </c>
      <c r="F1012" s="91" t="s">
        <v>32</v>
      </c>
      <c r="G1012" s="91" t="s">
        <v>33</v>
      </c>
      <c r="H1012" s="104" t="str">
        <f t="shared" si="64"/>
        <v>F4001J30</v>
      </c>
      <c r="I1012" s="104"/>
      <c r="J1012" s="105">
        <v>76.23</v>
      </c>
      <c r="K1012" s="106">
        <f>IF(D1012="CAESARSTONE LTD",VLOOKUP(H1012,'[2]GIA CA'!G:H,2,0),IF(OR(D1012="STONE FACINGS LIMITED",D1012="NORDIA SA",D1012="INVICTUS STONE COUNTERTOPS INC",D1012="QUARTZTOP LLC"),VLOOKUP(H1012,'[2] Giá ngoài Mỹ - SI-GR'!$B$5:$AZ$84,51,0),IF(OR(D1012="HYUNDAI L&amp;C CANADA INC",D1012="Hyundai L&amp; C USA LLC"),VLOOKUP(H1012,'[2]GIA HS'!A:D,4,0),IF(Y1012="Mỹ",VLOOKUP(H1012,'[2]giá mỹ từ 6.8.2025'!B:I,2,0),VLOOKUP(H1012,'[2]giá ngoài mỹ 6.8.2025 (final)'!B:BP,51,0)))))</f>
        <v>72.5</v>
      </c>
      <c r="L1012" s="106">
        <v>76.099999999999994</v>
      </c>
      <c r="M1012" s="106">
        <f t="shared" si="63"/>
        <v>3.5999999999999943</v>
      </c>
      <c r="N1012" s="106">
        <v>76.099999999999994</v>
      </c>
      <c r="O1012" s="107">
        <v>5801.04</v>
      </c>
      <c r="P1012" s="107">
        <v>26040</v>
      </c>
      <c r="Q1012" s="107">
        <v>151059082</v>
      </c>
      <c r="R1012" s="102" t="s">
        <v>30</v>
      </c>
      <c r="S1012" s="108"/>
      <c r="T1012" s="109"/>
      <c r="U1012" s="109"/>
      <c r="V1012" s="102"/>
      <c r="W1012" s="109"/>
      <c r="X1012" s="109"/>
      <c r="Y1012" s="110" t="s">
        <v>31</v>
      </c>
      <c r="Z1012" s="111" t="str">
        <f>MID(E1012,4,2)</f>
        <v>CA</v>
      </c>
    </row>
    <row r="1013" spans="1:26" s="111" customFormat="1" x14ac:dyDescent="0.2">
      <c r="A1013" s="101">
        <v>46247</v>
      </c>
      <c r="B1013" s="91" t="s">
        <v>1213</v>
      </c>
      <c r="C1013" s="102" t="s">
        <v>1214</v>
      </c>
      <c r="D1013" s="103" t="s">
        <v>26</v>
      </c>
      <c r="E1013" s="91" t="s">
        <v>1215</v>
      </c>
      <c r="F1013" s="91" t="s">
        <v>1204</v>
      </c>
      <c r="G1013" s="91" t="s">
        <v>283</v>
      </c>
      <c r="H1013" s="104" t="str">
        <f t="shared" si="64"/>
        <v>F5100J20</v>
      </c>
      <c r="I1013" s="104"/>
      <c r="J1013" s="105">
        <v>54.45</v>
      </c>
      <c r="K1013" s="106">
        <f>IF(D1013="CAESARSTONE LTD",VLOOKUP(H1013,'[2]GIA CA'!G:H,2,0),IF(OR(D1013="STONE FACINGS LIMITED",D1013="NORDIA SA",D1013="INVICTUS STONE COUNTERTOPS INC",D1013="QUARTZTOP LLC"),VLOOKUP(H1013,'[2] Giá ngoài Mỹ - SI-GR'!$B$5:$AZ$84,51,0),IF(OR(D1013="HYUNDAI L&amp;C CANADA INC",D1013="Hyundai L&amp; C USA LLC"),VLOOKUP(H1013,'[2]GIA HS'!A:D,4,0),IF(Y1013="Mỹ",VLOOKUP(H1013,'[2]giá mỹ từ 6.8.2025'!B:I,2,0),VLOOKUP(H1013,'[2]giá ngoài mỹ 6.8.2025 (final)'!B:BP,51,0)))))</f>
        <v>62</v>
      </c>
      <c r="L1013" s="106">
        <v>65.099999999999994</v>
      </c>
      <c r="M1013" s="106">
        <f t="shared" si="63"/>
        <v>3.0999999999999943</v>
      </c>
      <c r="N1013" s="106">
        <v>65.099999999999994</v>
      </c>
      <c r="O1013" s="107">
        <v>3544.7</v>
      </c>
      <c r="P1013" s="107">
        <v>26040</v>
      </c>
      <c r="Q1013" s="107">
        <v>92303988</v>
      </c>
      <c r="R1013" s="102" t="s">
        <v>30</v>
      </c>
      <c r="S1013" s="108"/>
      <c r="T1013" s="109"/>
      <c r="U1013" s="109"/>
      <c r="V1013" s="102"/>
      <c r="W1013" s="109"/>
      <c r="X1013" s="109"/>
      <c r="Y1013" s="110" t="s">
        <v>31</v>
      </c>
      <c r="Z1013" s="111" t="str">
        <f>MID(E1013,4,2)</f>
        <v>CA</v>
      </c>
    </row>
    <row r="1014" spans="1:26" s="111" customFormat="1" x14ac:dyDescent="0.2">
      <c r="A1014" s="101">
        <v>46247</v>
      </c>
      <c r="B1014" s="91" t="s">
        <v>1213</v>
      </c>
      <c r="C1014" s="102" t="s">
        <v>1214</v>
      </c>
      <c r="D1014" s="103" t="s">
        <v>26</v>
      </c>
      <c r="E1014" s="91" t="s">
        <v>1215</v>
      </c>
      <c r="F1014" s="91" t="s">
        <v>284</v>
      </c>
      <c r="G1014" s="91" t="s">
        <v>283</v>
      </c>
      <c r="H1014" s="104" t="str">
        <f t="shared" si="64"/>
        <v>F5100J20</v>
      </c>
      <c r="I1014" s="104"/>
      <c r="J1014" s="105">
        <v>54.45</v>
      </c>
      <c r="K1014" s="106">
        <f>IF(D1014="CAESARSTONE LTD",VLOOKUP(H1014,'[2]GIA CA'!G:H,2,0),IF(OR(D1014="STONE FACINGS LIMITED",D1014="NORDIA SA",D1014="INVICTUS STONE COUNTERTOPS INC",D1014="QUARTZTOP LLC"),VLOOKUP(H1014,'[2] Giá ngoài Mỹ - SI-GR'!$B$5:$AZ$84,51,0),IF(OR(D1014="HYUNDAI L&amp;C CANADA INC",D1014="Hyundai L&amp; C USA LLC"),VLOOKUP(H1014,'[2]GIA HS'!A:D,4,0),IF(Y1014="Mỹ",VLOOKUP(H1014,'[2]giá mỹ từ 6.8.2025'!B:I,2,0),VLOOKUP(H1014,'[2]giá ngoài mỹ 6.8.2025 (final)'!B:BP,51,0)))))</f>
        <v>62</v>
      </c>
      <c r="L1014" s="106">
        <v>65.099999999999994</v>
      </c>
      <c r="M1014" s="106">
        <f t="shared" si="63"/>
        <v>3.0999999999999943</v>
      </c>
      <c r="N1014" s="106">
        <v>65.099999999999994</v>
      </c>
      <c r="O1014" s="107">
        <v>3544.7</v>
      </c>
      <c r="P1014" s="107">
        <v>26040</v>
      </c>
      <c r="Q1014" s="107">
        <v>92303988</v>
      </c>
      <c r="R1014" s="102" t="s">
        <v>30</v>
      </c>
      <c r="S1014" s="108"/>
      <c r="T1014" s="109"/>
      <c r="U1014" s="109"/>
      <c r="V1014" s="102"/>
      <c r="W1014" s="109"/>
      <c r="X1014" s="109"/>
      <c r="Y1014" s="110" t="s">
        <v>31</v>
      </c>
      <c r="Z1014" s="111" t="str">
        <f>MID(E1014,4,2)</f>
        <v>CA</v>
      </c>
    </row>
    <row r="1015" spans="1:26" s="111" customFormat="1" x14ac:dyDescent="0.2">
      <c r="A1015" s="101">
        <v>46247</v>
      </c>
      <c r="B1015" s="91" t="s">
        <v>1213</v>
      </c>
      <c r="C1015" s="102" t="s">
        <v>1214</v>
      </c>
      <c r="D1015" s="103" t="s">
        <v>26</v>
      </c>
      <c r="E1015" s="91" t="s">
        <v>1215</v>
      </c>
      <c r="F1015" s="91" t="s">
        <v>274</v>
      </c>
      <c r="G1015" s="91" t="s">
        <v>273</v>
      </c>
      <c r="H1015" s="104" t="str">
        <f t="shared" si="64"/>
        <v>F6313J20</v>
      </c>
      <c r="I1015" s="104"/>
      <c r="J1015" s="105">
        <v>54.45</v>
      </c>
      <c r="K1015" s="106">
        <f>IF(D1015="CAESARSTONE LTD",VLOOKUP(H1015,'[2]GIA CA'!G:H,2,0),IF(OR(D1015="STONE FACINGS LIMITED",D1015="NORDIA SA",D1015="INVICTUS STONE COUNTERTOPS INC",D1015="QUARTZTOP LLC"),VLOOKUP(H1015,'[2] Giá ngoài Mỹ - SI-GR'!$B$5:$AZ$84,51,0),IF(OR(D1015="HYUNDAI L&amp;C CANADA INC",D1015="Hyundai L&amp; C USA LLC"),VLOOKUP(H1015,'[2]GIA HS'!A:D,4,0),IF(Y1015="Mỹ",VLOOKUP(H1015,'[2]giá mỹ từ 6.8.2025'!B:I,2,0),VLOOKUP(H1015,'[2]giá ngoài mỹ 6.8.2025 (final)'!B:BP,51,0)))))</f>
        <v>62</v>
      </c>
      <c r="L1015" s="106">
        <v>65.099999999999994</v>
      </c>
      <c r="M1015" s="106">
        <f t="shared" si="63"/>
        <v>3.0999999999999943</v>
      </c>
      <c r="N1015" s="106">
        <v>65.099999999999994</v>
      </c>
      <c r="O1015" s="107">
        <v>3544.7</v>
      </c>
      <c r="P1015" s="107">
        <v>26040</v>
      </c>
      <c r="Q1015" s="107">
        <v>92303988</v>
      </c>
      <c r="R1015" s="102" t="s">
        <v>30</v>
      </c>
      <c r="S1015" s="108"/>
      <c r="T1015" s="109"/>
      <c r="U1015" s="109"/>
      <c r="V1015" s="102"/>
      <c r="W1015" s="109"/>
      <c r="X1015" s="109"/>
      <c r="Y1015" s="110" t="s">
        <v>31</v>
      </c>
      <c r="Z1015" s="111" t="str">
        <f>MID(E1015,4,2)</f>
        <v>CA</v>
      </c>
    </row>
    <row r="1016" spans="1:26" s="111" customFormat="1" x14ac:dyDescent="0.2">
      <c r="A1016" s="101">
        <v>46247</v>
      </c>
      <c r="B1016" s="91" t="s">
        <v>1213</v>
      </c>
      <c r="C1016" s="102" t="s">
        <v>1214</v>
      </c>
      <c r="D1016" s="103" t="s">
        <v>26</v>
      </c>
      <c r="E1016" s="91" t="s">
        <v>1215</v>
      </c>
      <c r="F1016" s="91" t="s">
        <v>70</v>
      </c>
      <c r="G1016" s="91" t="s">
        <v>71</v>
      </c>
      <c r="H1016" s="104" t="str">
        <f t="shared" si="64"/>
        <v>C5116J30</v>
      </c>
      <c r="I1016" s="104"/>
      <c r="J1016" s="105">
        <v>152.46</v>
      </c>
      <c r="K1016" s="106">
        <f>IF(D1016="CAESARSTONE LTD",VLOOKUP(H1016,'[2]GIA CA'!G:H,2,0),IF(OR(D1016="STONE FACINGS LIMITED",D1016="NORDIA SA",D1016="INVICTUS STONE COUNTERTOPS INC",D1016="QUARTZTOP LLC"),VLOOKUP(H1016,'[2] Giá ngoài Mỹ - SI-GR'!$B$5:$AZ$84,51,0),IF(OR(D1016="HYUNDAI L&amp;C CANADA INC",D1016="Hyundai L&amp; C USA LLC"),VLOOKUP(H1016,'[2]GIA HS'!A:D,4,0),IF(Y1016="Mỹ",VLOOKUP(H1016,'[2]giá mỹ từ 6.8.2025'!B:I,2,0),VLOOKUP(H1016,'[2]giá ngoài mỹ 6.8.2025 (final)'!B:BP,51,0)))))</f>
        <v>81.25</v>
      </c>
      <c r="L1016" s="106">
        <v>85.3</v>
      </c>
      <c r="M1016" s="106">
        <f t="shared" si="63"/>
        <v>4.0499999999999972</v>
      </c>
      <c r="N1016" s="106">
        <v>85.3</v>
      </c>
      <c r="O1016" s="107">
        <v>13004.88</v>
      </c>
      <c r="P1016" s="107">
        <v>26040</v>
      </c>
      <c r="Q1016" s="107">
        <v>338647075</v>
      </c>
      <c r="R1016" s="102" t="s">
        <v>30</v>
      </c>
      <c r="S1016" s="108"/>
      <c r="T1016" s="109"/>
      <c r="U1016" s="109"/>
      <c r="V1016" s="102"/>
      <c r="W1016" s="109"/>
      <c r="X1016" s="109"/>
      <c r="Y1016" s="110" t="s">
        <v>31</v>
      </c>
      <c r="Z1016" s="111" t="str">
        <f>MID(E1016,4,2)</f>
        <v>CA</v>
      </c>
    </row>
    <row r="1017" spans="1:26" s="111" customFormat="1" x14ac:dyDescent="0.2">
      <c r="A1017" s="101">
        <v>46247</v>
      </c>
      <c r="B1017" s="91" t="s">
        <v>1213</v>
      </c>
      <c r="C1017" s="102" t="s">
        <v>1214</v>
      </c>
      <c r="D1017" s="103" t="s">
        <v>26</v>
      </c>
      <c r="E1017" s="91" t="s">
        <v>1215</v>
      </c>
      <c r="F1017" s="91" t="s">
        <v>237</v>
      </c>
      <c r="G1017" s="91" t="s">
        <v>73</v>
      </c>
      <c r="H1017" s="104" t="str">
        <f t="shared" si="64"/>
        <v>C5143J30</v>
      </c>
      <c r="I1017" s="104"/>
      <c r="J1017" s="105">
        <v>114.35</v>
      </c>
      <c r="K1017" s="106">
        <f>IF(D1017="CAESARSTONE LTD",VLOOKUP(H1017,'[2]GIA CA'!G:H,2,0),IF(OR(D1017="STONE FACINGS LIMITED",D1017="NORDIA SA",D1017="INVICTUS STONE COUNTERTOPS INC",D1017="QUARTZTOP LLC"),VLOOKUP(H1017,'[2] Giá ngoài Mỹ - SI-GR'!$B$5:$AZ$84,51,0),IF(OR(D1017="HYUNDAI L&amp;C CANADA INC",D1017="Hyundai L&amp; C USA LLC"),VLOOKUP(H1017,'[2]GIA HS'!A:D,4,0),IF(Y1017="Mỹ",VLOOKUP(H1017,'[2]giá mỹ từ 6.8.2025'!B:I,2,0),VLOOKUP(H1017,'[2]giá ngoài mỹ 6.8.2025 (final)'!B:BP,51,0)))))</f>
        <v>73.75</v>
      </c>
      <c r="L1017" s="106">
        <v>77.400000000000006</v>
      </c>
      <c r="M1017" s="106">
        <f t="shared" si="63"/>
        <v>3.6500000000000057</v>
      </c>
      <c r="N1017" s="106">
        <v>77.400000000000006</v>
      </c>
      <c r="O1017" s="107">
        <v>8850.24</v>
      </c>
      <c r="P1017" s="107">
        <v>26040</v>
      </c>
      <c r="Q1017" s="107">
        <v>230460250</v>
      </c>
      <c r="R1017" s="102" t="s">
        <v>30</v>
      </c>
      <c r="S1017" s="108"/>
      <c r="T1017" s="109"/>
      <c r="U1017" s="109"/>
      <c r="V1017" s="102"/>
      <c r="W1017" s="109"/>
      <c r="X1017" s="109"/>
      <c r="Y1017" s="110" t="s">
        <v>31</v>
      </c>
      <c r="Z1017" s="111" t="str">
        <f>MID(E1017,4,2)</f>
        <v>CA</v>
      </c>
    </row>
    <row r="1018" spans="1:26" s="111" customFormat="1" x14ac:dyDescent="0.2">
      <c r="A1018" s="101">
        <v>46247</v>
      </c>
      <c r="B1018" s="91" t="s">
        <v>1213</v>
      </c>
      <c r="C1018" s="102" t="s">
        <v>1214</v>
      </c>
      <c r="D1018" s="103" t="s">
        <v>26</v>
      </c>
      <c r="E1018" s="91" t="s">
        <v>1215</v>
      </c>
      <c r="F1018" s="91" t="s">
        <v>208</v>
      </c>
      <c r="G1018" s="91" t="s">
        <v>209</v>
      </c>
      <c r="H1018" s="104" t="str">
        <f t="shared" si="64"/>
        <v>F5151J30</v>
      </c>
      <c r="I1018" s="104"/>
      <c r="J1018" s="105">
        <v>38.119999999999997</v>
      </c>
      <c r="K1018" s="106">
        <f>IF(D1018="CAESARSTONE LTD",VLOOKUP(H1018,'[2]GIA CA'!G:H,2,0),IF(OR(D1018="STONE FACINGS LIMITED",D1018="NORDIA SA",D1018="INVICTUS STONE COUNTERTOPS INC",D1018="QUARTZTOP LLC"),VLOOKUP(H1018,'[2] Giá ngoài Mỹ - SI-GR'!$B$5:$AZ$84,51,0),IF(OR(D1018="HYUNDAI L&amp;C CANADA INC",D1018="Hyundai L&amp; C USA LLC"),VLOOKUP(H1018,'[2]GIA HS'!A:D,4,0),IF(Y1018="Mỹ",VLOOKUP(H1018,'[2]giá mỹ từ 6.8.2025'!B:I,2,0),VLOOKUP(H1018,'[2]giá ngoài mỹ 6.8.2025 (final)'!B:BP,51,0)))))</f>
        <v>85</v>
      </c>
      <c r="L1018" s="106">
        <v>97.09</v>
      </c>
      <c r="M1018" s="106">
        <f t="shared" si="63"/>
        <v>12.090000000000003</v>
      </c>
      <c r="N1018" s="106">
        <v>97.09</v>
      </c>
      <c r="O1018" s="107">
        <v>3700.97</v>
      </c>
      <c r="P1018" s="107">
        <v>26040</v>
      </c>
      <c r="Q1018" s="107">
        <v>96373259</v>
      </c>
      <c r="R1018" s="102" t="s">
        <v>30</v>
      </c>
      <c r="S1018" s="108"/>
      <c r="T1018" s="109"/>
      <c r="U1018" s="109"/>
      <c r="V1018" s="102"/>
      <c r="W1018" s="109"/>
      <c r="X1018" s="109"/>
      <c r="Y1018" s="110" t="s">
        <v>31</v>
      </c>
      <c r="Z1018" s="111" t="str">
        <f>MID(E1018,4,2)</f>
        <v>CA</v>
      </c>
    </row>
    <row r="1019" spans="1:26" s="111" customFormat="1" x14ac:dyDescent="0.2">
      <c r="A1019" s="101">
        <v>46247</v>
      </c>
      <c r="B1019" s="91" t="s">
        <v>1213</v>
      </c>
      <c r="C1019" s="102" t="s">
        <v>1214</v>
      </c>
      <c r="D1019" s="103" t="s">
        <v>26</v>
      </c>
      <c r="E1019" s="91" t="s">
        <v>1215</v>
      </c>
      <c r="F1019" s="91" t="s">
        <v>272</v>
      </c>
      <c r="G1019" s="91" t="s">
        <v>273</v>
      </c>
      <c r="H1019" s="104" t="str">
        <f t="shared" si="64"/>
        <v>F6313J20</v>
      </c>
      <c r="I1019" s="104"/>
      <c r="J1019" s="105">
        <v>16.329999999999998</v>
      </c>
      <c r="K1019" s="106">
        <f>IF(D1019="CAESARSTONE LTD",VLOOKUP(H1019,'[2]GIA CA'!G:H,2,0),IF(OR(D1019="STONE FACINGS LIMITED",D1019="NORDIA SA",D1019="INVICTUS STONE COUNTERTOPS INC",D1019="QUARTZTOP LLC"),VLOOKUP(H1019,'[2] Giá ngoài Mỹ - SI-GR'!$B$5:$AZ$84,51,0),IF(OR(D1019="HYUNDAI L&amp;C CANADA INC",D1019="Hyundai L&amp; C USA LLC"),VLOOKUP(H1019,'[2]GIA HS'!A:D,4,0),IF(Y1019="Mỹ",VLOOKUP(H1019,'[2]giá mỹ từ 6.8.2025'!B:I,2,0),VLOOKUP(H1019,'[2]giá ngoài mỹ 6.8.2025 (final)'!B:BP,51,0)))))</f>
        <v>62</v>
      </c>
      <c r="L1019" s="106">
        <v>65.099999999999994</v>
      </c>
      <c r="M1019" s="106">
        <f t="shared" si="63"/>
        <v>3.0999999999999943</v>
      </c>
      <c r="N1019" s="106">
        <v>65.099999999999994</v>
      </c>
      <c r="O1019" s="107">
        <v>1063.08</v>
      </c>
      <c r="P1019" s="107">
        <v>26040</v>
      </c>
      <c r="Q1019" s="107">
        <v>27682603</v>
      </c>
      <c r="R1019" s="102" t="s">
        <v>30</v>
      </c>
      <c r="S1019" s="108"/>
      <c r="T1019" s="109"/>
      <c r="U1019" s="109"/>
      <c r="V1019" s="102"/>
      <c r="W1019" s="109"/>
      <c r="X1019" s="109"/>
      <c r="Y1019" s="110" t="s">
        <v>31</v>
      </c>
      <c r="Z1019" s="111" t="str">
        <f>MID(E1019,4,2)</f>
        <v>CA</v>
      </c>
    </row>
    <row r="1020" spans="1:26" s="111" customFormat="1" x14ac:dyDescent="0.2">
      <c r="A1020" s="101">
        <v>46247</v>
      </c>
      <c r="B1020" s="91" t="s">
        <v>1213</v>
      </c>
      <c r="C1020" s="102" t="s">
        <v>1214</v>
      </c>
      <c r="D1020" s="103" t="s">
        <v>26</v>
      </c>
      <c r="E1020" s="91" t="s">
        <v>1215</v>
      </c>
      <c r="F1020" s="91" t="s">
        <v>274</v>
      </c>
      <c r="G1020" s="91" t="s">
        <v>273</v>
      </c>
      <c r="H1020" s="104" t="str">
        <f t="shared" si="64"/>
        <v>F6313J20</v>
      </c>
      <c r="I1020" s="104"/>
      <c r="J1020" s="105">
        <v>38.119999999999997</v>
      </c>
      <c r="K1020" s="106">
        <f>IF(D1020="CAESARSTONE LTD",VLOOKUP(H1020,'[2]GIA CA'!G:H,2,0),IF(OR(D1020="STONE FACINGS LIMITED",D1020="NORDIA SA",D1020="INVICTUS STONE COUNTERTOPS INC",D1020="QUARTZTOP LLC"),VLOOKUP(H1020,'[2] Giá ngoài Mỹ - SI-GR'!$B$5:$AZ$84,51,0),IF(OR(D1020="HYUNDAI L&amp;C CANADA INC",D1020="Hyundai L&amp; C USA LLC"),VLOOKUP(H1020,'[2]GIA HS'!A:D,4,0),IF(Y1020="Mỹ",VLOOKUP(H1020,'[2]giá mỹ từ 6.8.2025'!B:I,2,0),VLOOKUP(H1020,'[2]giá ngoài mỹ 6.8.2025 (final)'!B:BP,51,0)))))</f>
        <v>62</v>
      </c>
      <c r="L1020" s="106">
        <v>65.099999999999994</v>
      </c>
      <c r="M1020" s="106">
        <f t="shared" si="63"/>
        <v>3.0999999999999943</v>
      </c>
      <c r="N1020" s="106">
        <v>65.099999999999994</v>
      </c>
      <c r="O1020" s="107">
        <v>2481.62</v>
      </c>
      <c r="P1020" s="107">
        <v>26040</v>
      </c>
      <c r="Q1020" s="107">
        <v>64621385</v>
      </c>
      <c r="R1020" s="102" t="s">
        <v>30</v>
      </c>
      <c r="S1020" s="108"/>
      <c r="T1020" s="109"/>
      <c r="U1020" s="109"/>
      <c r="V1020" s="102"/>
      <c r="W1020" s="109"/>
      <c r="X1020" s="109"/>
      <c r="Y1020" s="110" t="s">
        <v>31</v>
      </c>
      <c r="Z1020" s="111" t="str">
        <f>MID(E1020,4,2)</f>
        <v>CA</v>
      </c>
    </row>
    <row r="1021" spans="1:26" s="111" customFormat="1" x14ac:dyDescent="0.2">
      <c r="A1021" s="101">
        <v>46247</v>
      </c>
      <c r="B1021" s="91" t="s">
        <v>1216</v>
      </c>
      <c r="C1021" s="102" t="s">
        <v>1217</v>
      </c>
      <c r="D1021" s="103" t="s">
        <v>26</v>
      </c>
      <c r="E1021" s="91" t="s">
        <v>1218</v>
      </c>
      <c r="F1021" s="91" t="s">
        <v>895</v>
      </c>
      <c r="G1021" s="91" t="s">
        <v>896</v>
      </c>
      <c r="H1021" s="104" t="str">
        <f t="shared" si="64"/>
        <v>C4143J30</v>
      </c>
      <c r="I1021" s="104"/>
      <c r="J1021" s="105">
        <v>304.93</v>
      </c>
      <c r="K1021" s="106">
        <f>IF(D1021="CAESARSTONE LTD",VLOOKUP(H1021,'[2]GIA CA'!G:H,2,0),IF(OR(D1021="STONE FACINGS LIMITED",D1021="NORDIA SA",D1021="INVICTUS STONE COUNTERTOPS INC",D1021="QUARTZTOP LLC"),VLOOKUP(H1021,'[2] Giá ngoài Mỹ - SI-GR'!$B$5:$AZ$84,51,0),IF(OR(D1021="HYUNDAI L&amp;C CANADA INC",D1021="Hyundai L&amp; C USA LLC"),VLOOKUP(H1021,'[2]GIA HS'!A:D,4,0),IF(Y1021="Mỹ",VLOOKUP(H1021,'[2]giá mỹ từ 6.8.2025'!B:I,2,0),VLOOKUP(H1021,'[2]giá ngoài mỹ 6.8.2025 (final)'!B:BP,51,0)))))</f>
        <v>71.3</v>
      </c>
      <c r="L1021" s="106">
        <v>74.8</v>
      </c>
      <c r="M1021" s="106">
        <f t="shared" si="63"/>
        <v>3.5</v>
      </c>
      <c r="N1021" s="106">
        <v>74.8</v>
      </c>
      <c r="O1021" s="107">
        <v>22808.240000000002</v>
      </c>
      <c r="P1021" s="107">
        <v>26040</v>
      </c>
      <c r="Q1021" s="107">
        <v>593926570</v>
      </c>
      <c r="R1021" s="102" t="s">
        <v>30</v>
      </c>
      <c r="S1021" s="108"/>
      <c r="T1021" s="109"/>
      <c r="U1021" s="109"/>
      <c r="V1021" s="102"/>
      <c r="W1021" s="109"/>
      <c r="X1021" s="109"/>
      <c r="Y1021" s="110" t="s">
        <v>31</v>
      </c>
      <c r="Z1021" s="111" t="str">
        <f>MID(E1021,4,2)</f>
        <v>CA</v>
      </c>
    </row>
    <row r="1022" spans="1:26" s="111" customFormat="1" x14ac:dyDescent="0.2">
      <c r="A1022" s="101">
        <v>46247</v>
      </c>
      <c r="B1022" s="91" t="s">
        <v>1219</v>
      </c>
      <c r="C1022" s="102" t="s">
        <v>1220</v>
      </c>
      <c r="D1022" s="103" t="s">
        <v>26</v>
      </c>
      <c r="E1022" s="91" t="s">
        <v>1221</v>
      </c>
      <c r="F1022" s="91" t="s">
        <v>336</v>
      </c>
      <c r="G1022" s="91" t="s">
        <v>337</v>
      </c>
      <c r="H1022" s="104" t="str">
        <f t="shared" si="64"/>
        <v>C6046J20</v>
      </c>
      <c r="I1022" s="104"/>
      <c r="J1022" s="105">
        <v>6.25</v>
      </c>
      <c r="K1022" s="106">
        <f>IF(D1022="CAESARSTONE LTD",VLOOKUP(H1022,'[2]GIA CA'!G:H,2,0),IF(OR(D1022="STONE FACINGS LIMITED",D1022="NORDIA SA",D1022="INVICTUS STONE COUNTERTOPS INC",D1022="QUARTZTOP LLC"),VLOOKUP(H1022,'[2] Giá ngoài Mỹ - SI-GR'!$B$5:$AZ$84,51,0),IF(OR(D1022="HYUNDAI L&amp;C CANADA INC",D1022="Hyundai L&amp; C USA LLC"),VLOOKUP(H1022,'[2]GIA HS'!A:D,4,0),IF(Y1022="Mỹ",VLOOKUP(H1022,'[2]giá mỹ từ 6.8.2025'!B:I,2,0),VLOOKUP(H1022,'[2]giá ngoài mỹ 6.8.2025 (final)'!B:BP,51,0)))))</f>
        <v>59</v>
      </c>
      <c r="L1022" s="106">
        <v>94.72</v>
      </c>
      <c r="M1022" s="106">
        <f t="shared" si="63"/>
        <v>35.72</v>
      </c>
      <c r="N1022" s="106">
        <v>94.72</v>
      </c>
      <c r="O1022" s="107">
        <v>592</v>
      </c>
      <c r="P1022" s="107">
        <v>26040</v>
      </c>
      <c r="Q1022" s="107">
        <v>15415680</v>
      </c>
      <c r="R1022" s="102"/>
      <c r="S1022" s="108"/>
      <c r="T1022" s="109" t="s">
        <v>30</v>
      </c>
      <c r="U1022" s="109"/>
      <c r="V1022" s="102"/>
      <c r="W1022" s="109"/>
      <c r="X1022" s="109"/>
      <c r="Y1022" s="110" t="s">
        <v>31</v>
      </c>
      <c r="Z1022" s="111" t="str">
        <f>MID(E1022,4,2)</f>
        <v>CA</v>
      </c>
    </row>
    <row r="1023" spans="1:26" s="111" customFormat="1" x14ac:dyDescent="0.2">
      <c r="A1023" s="101">
        <v>46247</v>
      </c>
      <c r="B1023" s="91" t="s">
        <v>1219</v>
      </c>
      <c r="C1023" s="102" t="s">
        <v>1220</v>
      </c>
      <c r="D1023" s="103" t="s">
        <v>26</v>
      </c>
      <c r="E1023" s="91" t="s">
        <v>1221</v>
      </c>
      <c r="F1023" s="91" t="s">
        <v>336</v>
      </c>
      <c r="G1023" s="91" t="s">
        <v>337</v>
      </c>
      <c r="H1023" s="104" t="str">
        <f t="shared" si="64"/>
        <v>C6046J20</v>
      </c>
      <c r="I1023" s="104"/>
      <c r="J1023" s="105">
        <v>6.25</v>
      </c>
      <c r="K1023" s="106">
        <f>IF(D1023="CAESARSTONE LTD",VLOOKUP(H1023,'[2]GIA CA'!G:H,2,0),IF(OR(D1023="STONE FACINGS LIMITED",D1023="NORDIA SA",D1023="INVICTUS STONE COUNTERTOPS INC",D1023="QUARTZTOP LLC"),VLOOKUP(H1023,'[2] Giá ngoài Mỹ - SI-GR'!$B$5:$AZ$84,51,0),IF(OR(D1023="HYUNDAI L&amp;C CANADA INC",D1023="Hyundai L&amp; C USA LLC"),VLOOKUP(H1023,'[2]GIA HS'!A:D,4,0),IF(Y1023="Mỹ",VLOOKUP(H1023,'[2]giá mỹ từ 6.8.2025'!B:I,2,0),VLOOKUP(H1023,'[2]giá ngoài mỹ 6.8.2025 (final)'!B:BP,51,0)))))</f>
        <v>59</v>
      </c>
      <c r="L1023" s="106">
        <v>94.72</v>
      </c>
      <c r="M1023" s="106">
        <f t="shared" si="63"/>
        <v>35.72</v>
      </c>
      <c r="N1023" s="106">
        <v>94.72</v>
      </c>
      <c r="O1023" s="107">
        <v>592</v>
      </c>
      <c r="P1023" s="107">
        <v>26040</v>
      </c>
      <c r="Q1023" s="107">
        <v>15415680</v>
      </c>
      <c r="R1023" s="102"/>
      <c r="S1023" s="108"/>
      <c r="T1023" s="109" t="s">
        <v>30</v>
      </c>
      <c r="U1023" s="109"/>
      <c r="V1023" s="102"/>
      <c r="W1023" s="109"/>
      <c r="X1023" s="109"/>
      <c r="Y1023" s="110" t="s">
        <v>31</v>
      </c>
      <c r="Z1023" s="111" t="str">
        <f>MID(E1023,4,2)</f>
        <v>CA</v>
      </c>
    </row>
    <row r="1024" spans="1:26" s="111" customFormat="1" x14ac:dyDescent="0.2">
      <c r="A1024" s="101">
        <v>46247</v>
      </c>
      <c r="B1024" s="91" t="s">
        <v>1219</v>
      </c>
      <c r="C1024" s="102" t="s">
        <v>1220</v>
      </c>
      <c r="D1024" s="103" t="s">
        <v>26</v>
      </c>
      <c r="E1024" s="91" t="s">
        <v>1221</v>
      </c>
      <c r="F1024" s="91" t="s">
        <v>1222</v>
      </c>
      <c r="G1024" s="91" t="s">
        <v>1223</v>
      </c>
      <c r="H1024" s="104" t="str">
        <f t="shared" si="64"/>
        <v>F5132J20</v>
      </c>
      <c r="I1024" s="104"/>
      <c r="J1024" s="105">
        <v>6.25</v>
      </c>
      <c r="K1024" s="106">
        <f>IF(D1024="CAESARSTONE LTD",VLOOKUP(H1024,'[2]GIA CA'!G:H,2,0),IF(OR(D1024="STONE FACINGS LIMITED",D1024="NORDIA SA",D1024="INVICTUS STONE COUNTERTOPS INC",D1024="QUARTZTOP LLC"),VLOOKUP(H1024,'[2] Giá ngoài Mỹ - SI-GR'!$B$5:$AZ$84,51,0),IF(OR(D1024="HYUNDAI L&amp;C CANADA INC",D1024="Hyundai L&amp; C USA LLC"),VLOOKUP(H1024,'[2]GIA HS'!A:D,4,0),IF(Y1024="Mỹ",VLOOKUP(H1024,'[2]giá mỹ từ 6.8.2025'!B:I,2,0),VLOOKUP(H1024,'[2]giá ngoài mỹ 6.8.2025 (final)'!B:BP,51,0)))))</f>
        <v>62</v>
      </c>
      <c r="L1024" s="106">
        <v>129</v>
      </c>
      <c r="M1024" s="106">
        <f t="shared" si="63"/>
        <v>67</v>
      </c>
      <c r="N1024" s="106">
        <v>129</v>
      </c>
      <c r="O1024" s="107">
        <v>806.25</v>
      </c>
      <c r="P1024" s="107">
        <v>26040</v>
      </c>
      <c r="Q1024" s="107">
        <v>20994750</v>
      </c>
      <c r="R1024" s="102"/>
      <c r="S1024" s="108"/>
      <c r="T1024" s="109" t="s">
        <v>30</v>
      </c>
      <c r="U1024" s="109"/>
      <c r="V1024" s="102"/>
      <c r="W1024" s="109"/>
      <c r="X1024" s="109"/>
      <c r="Y1024" s="110" t="s">
        <v>31</v>
      </c>
      <c r="Z1024" s="111" t="str">
        <f>MID(E1024,4,2)</f>
        <v>CA</v>
      </c>
    </row>
    <row r="1025" spans="1:26" s="111" customFormat="1" x14ac:dyDescent="0.2">
      <c r="A1025" s="101">
        <v>46247</v>
      </c>
      <c r="B1025" s="91" t="s">
        <v>1219</v>
      </c>
      <c r="C1025" s="102" t="s">
        <v>1220</v>
      </c>
      <c r="D1025" s="103" t="s">
        <v>26</v>
      </c>
      <c r="E1025" s="91" t="s">
        <v>1221</v>
      </c>
      <c r="F1025" s="91" t="s">
        <v>1222</v>
      </c>
      <c r="G1025" s="91" t="s">
        <v>1223</v>
      </c>
      <c r="H1025" s="104" t="str">
        <f t="shared" si="64"/>
        <v>F5132J20</v>
      </c>
      <c r="I1025" s="104"/>
      <c r="J1025" s="105">
        <v>10.94</v>
      </c>
      <c r="K1025" s="106">
        <f>IF(D1025="CAESARSTONE LTD",VLOOKUP(H1025,'[2]GIA CA'!G:H,2,0),IF(OR(D1025="STONE FACINGS LIMITED",D1025="NORDIA SA",D1025="INVICTUS STONE COUNTERTOPS INC",D1025="QUARTZTOP LLC"),VLOOKUP(H1025,'[2] Giá ngoài Mỹ - SI-GR'!$B$5:$AZ$84,51,0),IF(OR(D1025="HYUNDAI L&amp;C CANADA INC",D1025="Hyundai L&amp; C USA LLC"),VLOOKUP(H1025,'[2]GIA HS'!A:D,4,0),IF(Y1025="Mỹ",VLOOKUP(H1025,'[2]giá mỹ từ 6.8.2025'!B:I,2,0),VLOOKUP(H1025,'[2]giá ngoài mỹ 6.8.2025 (final)'!B:BP,51,0)))))</f>
        <v>62</v>
      </c>
      <c r="L1025" s="106">
        <v>129</v>
      </c>
      <c r="M1025" s="106">
        <f t="shared" si="63"/>
        <v>67</v>
      </c>
      <c r="N1025" s="106">
        <v>129</v>
      </c>
      <c r="O1025" s="107">
        <v>1411.26</v>
      </c>
      <c r="P1025" s="107">
        <v>26040</v>
      </c>
      <c r="Q1025" s="107">
        <v>36749210</v>
      </c>
      <c r="R1025" s="102"/>
      <c r="S1025" s="108"/>
      <c r="T1025" s="109" t="s">
        <v>30</v>
      </c>
      <c r="U1025" s="109"/>
      <c r="V1025" s="102"/>
      <c r="W1025" s="109"/>
      <c r="X1025" s="109"/>
      <c r="Y1025" s="110" t="s">
        <v>31</v>
      </c>
      <c r="Z1025" s="111" t="str">
        <f>MID(E1025,4,2)</f>
        <v>CA</v>
      </c>
    </row>
    <row r="1026" spans="1:26" s="111" customFormat="1" x14ac:dyDescent="0.2">
      <c r="A1026" s="101">
        <v>46247</v>
      </c>
      <c r="B1026" s="91" t="s">
        <v>1219</v>
      </c>
      <c r="C1026" s="102" t="s">
        <v>1220</v>
      </c>
      <c r="D1026" s="103" t="s">
        <v>26</v>
      </c>
      <c r="E1026" s="91" t="s">
        <v>1221</v>
      </c>
      <c r="F1026" s="91" t="s">
        <v>895</v>
      </c>
      <c r="G1026" s="91" t="s">
        <v>896</v>
      </c>
      <c r="H1026" s="104" t="str">
        <f t="shared" si="64"/>
        <v>C4143J30</v>
      </c>
      <c r="I1026" s="104"/>
      <c r="J1026" s="105">
        <v>288.58999999999997</v>
      </c>
      <c r="K1026" s="106">
        <f>IF(D1026="CAESARSTONE LTD",VLOOKUP(H1026,'[2]GIA CA'!G:H,2,0),IF(OR(D1026="STONE FACINGS LIMITED",D1026="NORDIA SA",D1026="INVICTUS STONE COUNTERTOPS INC",D1026="QUARTZTOP LLC"),VLOOKUP(H1026,'[2] Giá ngoài Mỹ - SI-GR'!$B$5:$AZ$84,51,0),IF(OR(D1026="HYUNDAI L&amp;C CANADA INC",D1026="Hyundai L&amp; C USA LLC"),VLOOKUP(H1026,'[2]GIA HS'!A:D,4,0),IF(Y1026="Mỹ",VLOOKUP(H1026,'[2]giá mỹ từ 6.8.2025'!B:I,2,0),VLOOKUP(H1026,'[2]giá ngoài mỹ 6.8.2025 (final)'!B:BP,51,0)))))</f>
        <v>71.3</v>
      </c>
      <c r="L1026" s="106">
        <v>75</v>
      </c>
      <c r="M1026" s="106">
        <f t="shared" si="63"/>
        <v>3.7000000000000028</v>
      </c>
      <c r="N1026" s="106">
        <v>75</v>
      </c>
      <c r="O1026" s="107">
        <v>21644.25</v>
      </c>
      <c r="P1026" s="107">
        <v>26040</v>
      </c>
      <c r="Q1026" s="107">
        <v>563616270</v>
      </c>
      <c r="R1026" s="102" t="s">
        <v>30</v>
      </c>
      <c r="S1026" s="108"/>
      <c r="T1026" s="109"/>
      <c r="U1026" s="109"/>
      <c r="V1026" s="102"/>
      <c r="W1026" s="109"/>
      <c r="X1026" s="109"/>
      <c r="Y1026" s="110" t="s">
        <v>31</v>
      </c>
      <c r="Z1026" s="111" t="str">
        <f>MID(E1026,4,2)</f>
        <v>CA</v>
      </c>
    </row>
    <row r="1027" spans="1:26" s="111" customFormat="1" x14ac:dyDescent="0.2">
      <c r="A1027" s="101">
        <v>46247</v>
      </c>
      <c r="B1027" s="91" t="s">
        <v>1219</v>
      </c>
      <c r="C1027" s="102" t="s">
        <v>1220</v>
      </c>
      <c r="D1027" s="103" t="s">
        <v>26</v>
      </c>
      <c r="E1027" s="91" t="s">
        <v>1221</v>
      </c>
      <c r="F1027" s="91" t="s">
        <v>1224</v>
      </c>
      <c r="G1027" s="91" t="s">
        <v>1225</v>
      </c>
      <c r="H1027" s="104" t="str">
        <f t="shared" si="64"/>
        <v>F4004J30</v>
      </c>
      <c r="I1027" s="104"/>
      <c r="J1027" s="105">
        <v>38.119999999999997</v>
      </c>
      <c r="K1027" s="106">
        <f>IF(D1027="CAESARSTONE LTD",VLOOKUP(H1027,'[2]GIA CA'!G:H,2,0),IF(OR(D1027="STONE FACINGS LIMITED",D1027="NORDIA SA",D1027="INVICTUS STONE COUNTERTOPS INC",D1027="QUARTZTOP LLC"),VLOOKUP(H1027,'[2] Giá ngoài Mỹ - SI-GR'!$B$5:$AZ$84,51,0),IF(OR(D1027="HYUNDAI L&amp;C CANADA INC",D1027="Hyundai L&amp; C USA LLC"),VLOOKUP(H1027,'[2]GIA HS'!A:D,4,0),IF(Y1027="Mỹ",VLOOKUP(H1027,'[2]giá mỹ từ 6.8.2025'!B:I,2,0),VLOOKUP(H1027,'[2]giá ngoài mỹ 6.8.2025 (final)'!B:BP,51,0)))))</f>
        <v>72.5</v>
      </c>
      <c r="L1027" s="106">
        <v>74.69</v>
      </c>
      <c r="M1027" s="106">
        <f t="shared" si="63"/>
        <v>2.1899999999999977</v>
      </c>
      <c r="N1027" s="106">
        <v>74.69</v>
      </c>
      <c r="O1027" s="107">
        <v>2847.13</v>
      </c>
      <c r="P1027" s="107">
        <v>26040</v>
      </c>
      <c r="Q1027" s="107">
        <v>74139265</v>
      </c>
      <c r="R1027" s="102" t="s">
        <v>30</v>
      </c>
      <c r="S1027" s="108"/>
      <c r="T1027" s="109"/>
      <c r="U1027" s="109"/>
      <c r="V1027" s="102"/>
      <c r="W1027" s="109"/>
      <c r="X1027" s="109"/>
      <c r="Y1027" s="110" t="s">
        <v>31</v>
      </c>
      <c r="Z1027" s="111" t="str">
        <f>MID(E1027,4,2)</f>
        <v>CA</v>
      </c>
    </row>
    <row r="1028" spans="1:26" s="111" customFormat="1" x14ac:dyDescent="0.2">
      <c r="A1028" s="101">
        <v>46247</v>
      </c>
      <c r="B1028" s="91" t="s">
        <v>1226</v>
      </c>
      <c r="C1028" s="102" t="s">
        <v>1227</v>
      </c>
      <c r="D1028" s="103" t="s">
        <v>26</v>
      </c>
      <c r="E1028" s="91" t="s">
        <v>1228</v>
      </c>
      <c r="F1028" s="91" t="s">
        <v>1229</v>
      </c>
      <c r="G1028" s="91" t="s">
        <v>1230</v>
      </c>
      <c r="H1028" s="104" t="str">
        <f t="shared" si="64"/>
        <v>C5111J30</v>
      </c>
      <c r="I1028" s="104"/>
      <c r="J1028" s="105">
        <v>304.92</v>
      </c>
      <c r="K1028" s="106">
        <f>IF(D1028="CAESARSTONE LTD",VLOOKUP(H1028,'[2]GIA CA'!G:H,2,0),IF(OR(D1028="STONE FACINGS LIMITED",D1028="NORDIA SA",D1028="INVICTUS STONE COUNTERTOPS INC",D1028="QUARTZTOP LLC"),VLOOKUP(H1028,'[2] Giá ngoài Mỹ - SI-GR'!$B$5:$AZ$84,51,0),IF(OR(D1028="HYUNDAI L&amp;C CANADA INC",D1028="Hyundai L&amp; C USA LLC"),VLOOKUP(H1028,'[2]GIA HS'!A:D,4,0),IF(Y1028="Mỹ",VLOOKUP(H1028,'[2]giá mỹ từ 6.8.2025'!B:I,2,0),VLOOKUP(H1028,'[2]giá ngoài mỹ 6.8.2025 (final)'!B:BP,51,0)))))</f>
        <v>68.75</v>
      </c>
      <c r="L1028" s="106">
        <v>72.2</v>
      </c>
      <c r="M1028" s="106">
        <f t="shared" si="63"/>
        <v>3.4500000000000028</v>
      </c>
      <c r="N1028" s="106">
        <v>72.2</v>
      </c>
      <c r="O1028" s="107">
        <v>22015.279999999999</v>
      </c>
      <c r="P1028" s="107">
        <v>26040</v>
      </c>
      <c r="Q1028" s="107">
        <v>573277891</v>
      </c>
      <c r="R1028" s="102" t="s">
        <v>30</v>
      </c>
      <c r="S1028" s="108"/>
      <c r="T1028" s="109"/>
      <c r="U1028" s="109"/>
      <c r="V1028" s="102"/>
      <c r="W1028" s="109"/>
      <c r="X1028" s="109"/>
      <c r="Y1028" s="110" t="s">
        <v>31</v>
      </c>
      <c r="Z1028" s="111" t="str">
        <f>MID(E1028,4,2)</f>
        <v>CA</v>
      </c>
    </row>
    <row r="1029" spans="1:26" s="111" customFormat="1" x14ac:dyDescent="0.2">
      <c r="A1029" s="101">
        <v>46247</v>
      </c>
      <c r="B1029" s="91" t="s">
        <v>1231</v>
      </c>
      <c r="C1029" s="102" t="s">
        <v>1232</v>
      </c>
      <c r="D1029" s="103" t="s">
        <v>60</v>
      </c>
      <c r="E1029" s="91" t="s">
        <v>1233</v>
      </c>
      <c r="F1029" s="91" t="s">
        <v>1234</v>
      </c>
      <c r="G1029" s="91" t="s">
        <v>1235</v>
      </c>
      <c r="H1029" s="104" t="str">
        <f t="shared" si="64"/>
        <v>C4264J30</v>
      </c>
      <c r="I1029" s="104"/>
      <c r="J1029" s="105">
        <v>21.77</v>
      </c>
      <c r="K1029" s="106">
        <f>IF(D1029="CAESARSTONE LTD",VLOOKUP(H1029,'[2]GIA CA'!G:H,2,0),IF(OR(D1029="STONE FACINGS LIMITED",D1029="NORDIA SA",D1029="INVICTUS STONE COUNTERTOPS INC",D1029="QUARTZTOP LLC"),VLOOKUP(H1029,'[2] Giá ngoài Mỹ - SI-GR'!$B$5:$AZ$84,51,0),IF(OR(D1029="HYUNDAI L&amp;C CANADA INC",D1029="Hyundai L&amp; C USA LLC"),VLOOKUP(H1029,'[2]GIA HS'!A:D,4,0),IF(Y1029="Mỹ",VLOOKUP(H1029,'[2]giá mỹ từ 6.8.2025'!B:I,2,0),VLOOKUP(H1029,'[2]giá ngoài mỹ 6.8.2025 (final)'!B:BP,51,0)))))</f>
        <v>90</v>
      </c>
      <c r="L1029" s="106">
        <v>94.5</v>
      </c>
      <c r="M1029" s="106">
        <f t="shared" si="63"/>
        <v>4.5</v>
      </c>
      <c r="N1029" s="106">
        <v>94.5</v>
      </c>
      <c r="O1029" s="107">
        <v>2057.2600000000002</v>
      </c>
      <c r="P1029" s="107">
        <v>26040</v>
      </c>
      <c r="Q1029" s="107">
        <v>53571050</v>
      </c>
      <c r="R1029" s="102" t="s">
        <v>30</v>
      </c>
      <c r="S1029" s="108"/>
      <c r="T1029" s="109"/>
      <c r="U1029" s="109"/>
      <c r="V1029" s="102"/>
      <c r="W1029" s="109"/>
      <c r="X1029" s="109"/>
      <c r="Y1029" s="110" t="s">
        <v>31</v>
      </c>
      <c r="Z1029" s="111" t="str">
        <f>MID(E1029,4,2)</f>
        <v>HS</v>
      </c>
    </row>
    <row r="1030" spans="1:26" s="111" customFormat="1" x14ac:dyDescent="0.2">
      <c r="A1030" s="101">
        <v>46247</v>
      </c>
      <c r="B1030" s="91" t="s">
        <v>1231</v>
      </c>
      <c r="C1030" s="102" t="s">
        <v>1232</v>
      </c>
      <c r="D1030" s="103" t="s">
        <v>60</v>
      </c>
      <c r="E1030" s="91" t="s">
        <v>1233</v>
      </c>
      <c r="F1030" s="91" t="s">
        <v>1236</v>
      </c>
      <c r="G1030" s="91" t="s">
        <v>1235</v>
      </c>
      <c r="H1030" s="104" t="str">
        <f t="shared" si="64"/>
        <v>C4264J30</v>
      </c>
      <c r="I1030" s="104"/>
      <c r="J1030" s="105">
        <v>245.03</v>
      </c>
      <c r="K1030" s="106">
        <f>IF(D1030="CAESARSTONE LTD",VLOOKUP(H1030,'[2]GIA CA'!G:H,2,0),IF(OR(D1030="STONE FACINGS LIMITED",D1030="NORDIA SA",D1030="INVICTUS STONE COUNTERTOPS INC",D1030="QUARTZTOP LLC"),VLOOKUP(H1030,'[2] Giá ngoài Mỹ - SI-GR'!$B$5:$AZ$84,51,0),IF(OR(D1030="HYUNDAI L&amp;C CANADA INC",D1030="Hyundai L&amp; C USA LLC"),VLOOKUP(H1030,'[2]GIA HS'!A:D,4,0),IF(Y1030="Mỹ",VLOOKUP(H1030,'[2]giá mỹ từ 6.8.2025'!B:I,2,0),VLOOKUP(H1030,'[2]giá ngoài mỹ 6.8.2025 (final)'!B:BP,51,0)))))</f>
        <v>90</v>
      </c>
      <c r="L1030" s="106">
        <v>94.5</v>
      </c>
      <c r="M1030" s="106">
        <f t="shared" si="63"/>
        <v>4.5</v>
      </c>
      <c r="N1030" s="106">
        <v>94.5</v>
      </c>
      <c r="O1030" s="107">
        <v>23155.33</v>
      </c>
      <c r="P1030" s="107">
        <v>26040</v>
      </c>
      <c r="Q1030" s="107">
        <v>602964793</v>
      </c>
      <c r="R1030" s="102" t="s">
        <v>30</v>
      </c>
      <c r="S1030" s="108"/>
      <c r="T1030" s="109"/>
      <c r="U1030" s="109"/>
      <c r="V1030" s="102"/>
      <c r="W1030" s="109"/>
      <c r="X1030" s="109"/>
      <c r="Y1030" s="110" t="s">
        <v>31</v>
      </c>
      <c r="Z1030" s="111" t="str">
        <f>MID(E1030,4,2)</f>
        <v>HS</v>
      </c>
    </row>
    <row r="1031" spans="1:26" s="111" customFormat="1" x14ac:dyDescent="0.2">
      <c r="A1031" s="101">
        <v>46247</v>
      </c>
      <c r="B1031" s="91" t="s">
        <v>1231</v>
      </c>
      <c r="C1031" s="102" t="s">
        <v>1232</v>
      </c>
      <c r="D1031" s="103" t="s">
        <v>60</v>
      </c>
      <c r="E1031" s="91" t="s">
        <v>1233</v>
      </c>
      <c r="F1031" s="91" t="s">
        <v>1237</v>
      </c>
      <c r="G1031" s="91" t="s">
        <v>1235</v>
      </c>
      <c r="H1031" s="104" t="str">
        <f t="shared" si="64"/>
        <v>C4264J30</v>
      </c>
      <c r="I1031" s="104"/>
      <c r="J1031" s="105">
        <v>49.01</v>
      </c>
      <c r="K1031" s="106">
        <f>IF(D1031="CAESARSTONE LTD",VLOOKUP(H1031,'[2]GIA CA'!G:H,2,0),IF(OR(D1031="STONE FACINGS LIMITED",D1031="NORDIA SA",D1031="INVICTUS STONE COUNTERTOPS INC",D1031="QUARTZTOP LLC"),VLOOKUP(H1031,'[2] Giá ngoài Mỹ - SI-GR'!$B$5:$AZ$84,51,0),IF(OR(D1031="HYUNDAI L&amp;C CANADA INC",D1031="Hyundai L&amp; C USA LLC"),VLOOKUP(H1031,'[2]GIA HS'!A:D,4,0),IF(Y1031="Mỹ",VLOOKUP(H1031,'[2]giá mỹ từ 6.8.2025'!B:I,2,0),VLOOKUP(H1031,'[2]giá ngoài mỹ 6.8.2025 (final)'!B:BP,51,0)))))</f>
        <v>90</v>
      </c>
      <c r="L1031" s="106">
        <v>94.5</v>
      </c>
      <c r="M1031" s="106">
        <f t="shared" si="63"/>
        <v>4.5</v>
      </c>
      <c r="N1031" s="106">
        <v>94.5</v>
      </c>
      <c r="O1031" s="107">
        <v>4631.45</v>
      </c>
      <c r="P1031" s="107">
        <v>26040</v>
      </c>
      <c r="Q1031" s="107">
        <v>120602958</v>
      </c>
      <c r="R1031" s="102" t="s">
        <v>30</v>
      </c>
      <c r="S1031" s="108"/>
      <c r="T1031" s="109"/>
      <c r="U1031" s="109"/>
      <c r="V1031" s="102"/>
      <c r="W1031" s="109"/>
      <c r="X1031" s="109"/>
      <c r="Y1031" s="110" t="s">
        <v>31</v>
      </c>
      <c r="Z1031" s="111" t="str">
        <f>MID(E1031,4,2)</f>
        <v>HS</v>
      </c>
    </row>
    <row r="1032" spans="1:26" s="111" customFormat="1" x14ac:dyDescent="0.2">
      <c r="A1032" s="101">
        <v>46247</v>
      </c>
      <c r="B1032" s="91" t="s">
        <v>1231</v>
      </c>
      <c r="C1032" s="102" t="s">
        <v>1232</v>
      </c>
      <c r="D1032" s="103" t="s">
        <v>60</v>
      </c>
      <c r="E1032" s="91" t="s">
        <v>1233</v>
      </c>
      <c r="F1032" s="91" t="s">
        <v>1234</v>
      </c>
      <c r="G1032" s="91" t="s">
        <v>1235</v>
      </c>
      <c r="H1032" s="104" t="str">
        <f t="shared" si="64"/>
        <v>C4264J30</v>
      </c>
      <c r="I1032" s="104"/>
      <c r="J1032" s="105">
        <v>10.89</v>
      </c>
      <c r="K1032" s="106">
        <f>IF(D1032="CAESARSTONE LTD",VLOOKUP(H1032,'[2]GIA CA'!G:H,2,0),IF(OR(D1032="STONE FACINGS LIMITED",D1032="NORDIA SA",D1032="INVICTUS STONE COUNTERTOPS INC",D1032="QUARTZTOP LLC"),VLOOKUP(H1032,'[2] Giá ngoài Mỹ - SI-GR'!$B$5:$AZ$84,51,0),IF(OR(D1032="HYUNDAI L&amp;C CANADA INC",D1032="Hyundai L&amp; C USA LLC"),VLOOKUP(H1032,'[2]GIA HS'!A:D,4,0),IF(Y1032="Mỹ",VLOOKUP(H1032,'[2]giá mỹ từ 6.8.2025'!B:I,2,0),VLOOKUP(H1032,'[2]giá ngoài mỹ 6.8.2025 (final)'!B:BP,51,0)))))</f>
        <v>90</v>
      </c>
      <c r="L1032" s="106">
        <v>94.5</v>
      </c>
      <c r="M1032" s="106">
        <f t="shared" si="63"/>
        <v>4.5</v>
      </c>
      <c r="N1032" s="106">
        <v>94.5</v>
      </c>
      <c r="O1032" s="107">
        <v>1029.1099999999999</v>
      </c>
      <c r="P1032" s="107">
        <v>26040</v>
      </c>
      <c r="Q1032" s="107">
        <v>26798024</v>
      </c>
      <c r="R1032" s="102" t="s">
        <v>30</v>
      </c>
      <c r="S1032" s="108"/>
      <c r="T1032" s="109"/>
      <c r="U1032" s="109"/>
      <c r="V1032" s="102"/>
      <c r="W1032" s="109"/>
      <c r="X1032" s="109"/>
      <c r="Y1032" s="110" t="s">
        <v>31</v>
      </c>
      <c r="Z1032" s="111" t="str">
        <f>MID(E1032,4,2)</f>
        <v>HS</v>
      </c>
    </row>
    <row r="1033" spans="1:26" s="111" customFormat="1" x14ac:dyDescent="0.2">
      <c r="A1033" s="101">
        <v>46247</v>
      </c>
      <c r="B1033" s="91" t="s">
        <v>1231</v>
      </c>
      <c r="C1033" s="102" t="s">
        <v>1232</v>
      </c>
      <c r="D1033" s="103" t="s">
        <v>60</v>
      </c>
      <c r="E1033" s="91" t="s">
        <v>1233</v>
      </c>
      <c r="F1033" s="91" t="s">
        <v>1236</v>
      </c>
      <c r="G1033" s="91" t="s">
        <v>1235</v>
      </c>
      <c r="H1033" s="104" t="str">
        <f t="shared" si="64"/>
        <v>C4264J30</v>
      </c>
      <c r="I1033" s="104"/>
      <c r="J1033" s="105">
        <v>266.81</v>
      </c>
      <c r="K1033" s="106">
        <f>IF(D1033="CAESARSTONE LTD",VLOOKUP(H1033,'[2]GIA CA'!G:H,2,0),IF(OR(D1033="STONE FACINGS LIMITED",D1033="NORDIA SA",D1033="INVICTUS STONE COUNTERTOPS INC",D1033="QUARTZTOP LLC"),VLOOKUP(H1033,'[2] Giá ngoài Mỹ - SI-GR'!$B$5:$AZ$84,51,0),IF(OR(D1033="HYUNDAI L&amp;C CANADA INC",D1033="Hyundai L&amp; C USA LLC"),VLOOKUP(H1033,'[2]GIA HS'!A:D,4,0),IF(Y1033="Mỹ",VLOOKUP(H1033,'[2]giá mỹ từ 6.8.2025'!B:I,2,0),VLOOKUP(H1033,'[2]giá ngoài mỹ 6.8.2025 (final)'!B:BP,51,0)))))</f>
        <v>90</v>
      </c>
      <c r="L1033" s="106">
        <v>94.5</v>
      </c>
      <c r="M1033" s="106">
        <f t="shared" si="63"/>
        <v>4.5</v>
      </c>
      <c r="N1033" s="106">
        <v>94.5</v>
      </c>
      <c r="O1033" s="107">
        <v>25213.55</v>
      </c>
      <c r="P1033" s="107">
        <v>26040</v>
      </c>
      <c r="Q1033" s="107">
        <v>656560842</v>
      </c>
      <c r="R1033" s="102" t="s">
        <v>30</v>
      </c>
      <c r="S1033" s="108"/>
      <c r="T1033" s="109"/>
      <c r="U1033" s="109"/>
      <c r="V1033" s="102"/>
      <c r="W1033" s="109"/>
      <c r="X1033" s="109"/>
      <c r="Y1033" s="110" t="s">
        <v>31</v>
      </c>
      <c r="Z1033" s="111" t="str">
        <f>MID(E1033,4,2)</f>
        <v>HS</v>
      </c>
    </row>
    <row r="1034" spans="1:26" s="111" customFormat="1" x14ac:dyDescent="0.2">
      <c r="A1034" s="101">
        <v>46247</v>
      </c>
      <c r="B1034" s="91" t="s">
        <v>1231</v>
      </c>
      <c r="C1034" s="102" t="s">
        <v>1232</v>
      </c>
      <c r="D1034" s="103" t="s">
        <v>60</v>
      </c>
      <c r="E1034" s="91" t="s">
        <v>1233</v>
      </c>
      <c r="F1034" s="91" t="s">
        <v>1237</v>
      </c>
      <c r="G1034" s="91" t="s">
        <v>1235</v>
      </c>
      <c r="H1034" s="104" t="str">
        <f t="shared" si="64"/>
        <v>C4264J30</v>
      </c>
      <c r="I1034" s="104"/>
      <c r="J1034" s="105">
        <v>38.11</v>
      </c>
      <c r="K1034" s="106">
        <f>IF(D1034="CAESARSTONE LTD",VLOOKUP(H1034,'[2]GIA CA'!G:H,2,0),IF(OR(D1034="STONE FACINGS LIMITED",D1034="NORDIA SA",D1034="INVICTUS STONE COUNTERTOPS INC",D1034="QUARTZTOP LLC"),VLOOKUP(H1034,'[2] Giá ngoài Mỹ - SI-GR'!$B$5:$AZ$84,51,0),IF(OR(D1034="HYUNDAI L&amp;C CANADA INC",D1034="Hyundai L&amp; C USA LLC"),VLOOKUP(H1034,'[2]GIA HS'!A:D,4,0),IF(Y1034="Mỹ",VLOOKUP(H1034,'[2]giá mỹ từ 6.8.2025'!B:I,2,0),VLOOKUP(H1034,'[2]giá ngoài mỹ 6.8.2025 (final)'!B:BP,51,0)))))</f>
        <v>90</v>
      </c>
      <c r="L1034" s="106">
        <v>94.5</v>
      </c>
      <c r="M1034" s="106">
        <f t="shared" si="63"/>
        <v>4.5</v>
      </c>
      <c r="N1034" s="106">
        <v>94.5</v>
      </c>
      <c r="O1034" s="107">
        <v>3601.4</v>
      </c>
      <c r="P1034" s="107">
        <v>26040</v>
      </c>
      <c r="Q1034" s="107">
        <v>93780456</v>
      </c>
      <c r="R1034" s="102" t="s">
        <v>30</v>
      </c>
      <c r="S1034" s="108"/>
      <c r="T1034" s="109"/>
      <c r="U1034" s="109"/>
      <c r="V1034" s="102"/>
      <c r="W1034" s="109"/>
      <c r="X1034" s="109"/>
      <c r="Y1034" s="110" t="s">
        <v>31</v>
      </c>
      <c r="Z1034" s="111" t="str">
        <f>MID(E1034,4,2)</f>
        <v>HS</v>
      </c>
    </row>
    <row r="1035" spans="1:26" s="111" customFormat="1" x14ac:dyDescent="0.2">
      <c r="A1035" s="101">
        <v>46247</v>
      </c>
      <c r="B1035" s="91" t="s">
        <v>1238</v>
      </c>
      <c r="C1035" s="102" t="s">
        <v>1239</v>
      </c>
      <c r="D1035" s="103" t="s">
        <v>1240</v>
      </c>
      <c r="E1035" s="91" t="s">
        <v>1241</v>
      </c>
      <c r="F1035" s="91" t="s">
        <v>1242</v>
      </c>
      <c r="G1035" s="91" t="s">
        <v>1243</v>
      </c>
      <c r="H1035" s="104" t="str">
        <f t="shared" si="64"/>
        <v>C2104J20</v>
      </c>
      <c r="I1035" s="104"/>
      <c r="J1035" s="105">
        <v>1.44</v>
      </c>
      <c r="K1035" s="106"/>
      <c r="L1035" s="106">
        <v>0</v>
      </c>
      <c r="M1035" s="106">
        <f t="shared" si="63"/>
        <v>0</v>
      </c>
      <c r="N1035" s="106">
        <v>65</v>
      </c>
      <c r="O1035" s="107">
        <v>93.6</v>
      </c>
      <c r="P1035" s="107">
        <v>26040</v>
      </c>
      <c r="Q1035" s="107">
        <v>2437344</v>
      </c>
      <c r="R1035" s="102"/>
      <c r="S1035" s="108"/>
      <c r="T1035" s="109"/>
      <c r="U1035" s="109" t="s">
        <v>30</v>
      </c>
      <c r="V1035" s="102"/>
      <c r="W1035" s="109"/>
      <c r="X1035" s="109"/>
      <c r="Y1035" s="110" t="s">
        <v>31</v>
      </c>
      <c r="Z1035" s="111" t="str">
        <f>MID(E1035,4,2)</f>
        <v>OH</v>
      </c>
    </row>
    <row r="1036" spans="1:26" s="111" customFormat="1" x14ac:dyDescent="0.2">
      <c r="A1036" s="101">
        <v>46247</v>
      </c>
      <c r="B1036" s="91" t="s">
        <v>1238</v>
      </c>
      <c r="C1036" s="102" t="s">
        <v>1239</v>
      </c>
      <c r="D1036" s="103" t="s">
        <v>1240</v>
      </c>
      <c r="E1036" s="91" t="s">
        <v>1241</v>
      </c>
      <c r="F1036" s="91" t="s">
        <v>1244</v>
      </c>
      <c r="G1036" s="91" t="s">
        <v>1245</v>
      </c>
      <c r="H1036" s="104" t="str">
        <f t="shared" si="64"/>
        <v>C2104J20</v>
      </c>
      <c r="I1036" s="104"/>
      <c r="J1036" s="105">
        <v>0.5</v>
      </c>
      <c r="K1036" s="106"/>
      <c r="L1036" s="106">
        <v>0</v>
      </c>
      <c r="M1036" s="106">
        <f t="shared" si="63"/>
        <v>0</v>
      </c>
      <c r="N1036" s="106">
        <v>65</v>
      </c>
      <c r="O1036" s="107">
        <v>32.5</v>
      </c>
      <c r="P1036" s="107">
        <v>26040</v>
      </c>
      <c r="Q1036" s="107">
        <v>846300</v>
      </c>
      <c r="R1036" s="102"/>
      <c r="S1036" s="108"/>
      <c r="T1036" s="109"/>
      <c r="U1036" s="109" t="s">
        <v>30</v>
      </c>
      <c r="V1036" s="102"/>
      <c r="W1036" s="109"/>
      <c r="X1036" s="109"/>
      <c r="Y1036" s="110" t="s">
        <v>31</v>
      </c>
      <c r="Z1036" s="111" t="str">
        <f>MID(E1036,4,2)</f>
        <v>OH</v>
      </c>
    </row>
    <row r="1037" spans="1:26" s="111" customFormat="1" x14ac:dyDescent="0.2">
      <c r="A1037" s="101">
        <v>46247</v>
      </c>
      <c r="B1037" s="91" t="s">
        <v>1238</v>
      </c>
      <c r="C1037" s="102" t="s">
        <v>1239</v>
      </c>
      <c r="D1037" s="103" t="s">
        <v>1240</v>
      </c>
      <c r="E1037" s="91" t="s">
        <v>1241</v>
      </c>
      <c r="F1037" s="91" t="s">
        <v>643</v>
      </c>
      <c r="G1037" s="91" t="s">
        <v>642</v>
      </c>
      <c r="H1037" s="104" t="str">
        <f t="shared" si="64"/>
        <v>C2104J30</v>
      </c>
      <c r="I1037" s="104"/>
      <c r="J1037" s="105">
        <v>277.95</v>
      </c>
      <c r="K1037" s="106">
        <f>IF(D1037="CAESARSTONE LTD",VLOOKUP(H1037,'[2]GIA CA'!G:H,2,0),IF(OR(D1037="STONE FACINGS LIMITED",D1037="NORDIA SA",D1037="INVICTUS STONE COUNTERTOPS INC",D1037="QUARTZTOP LLC"),VLOOKUP(H1037,'[2] Giá ngoài Mỹ - SI-GR'!$B$5:$AZ$84,51,0),IF(OR(D1037="HYUNDAI L&amp;C CANADA INC",D1037="Hyundai L&amp; C USA LLC"),VLOOKUP(H1037,'[2]GIA HS'!A:D,4,0),IF(Y1037="Mỹ",VLOOKUP(H1037,'[2]giá mỹ từ 6.8.2025'!B:I,2,0),VLOOKUP(H1037,'[2]giá ngoài mỹ 6.8.2025 (final)'!B:BP,51,0)))))</f>
        <v>72</v>
      </c>
      <c r="L1037" s="106">
        <v>75.08</v>
      </c>
      <c r="M1037" s="106">
        <f t="shared" ref="M1037:M1100" si="66">L1037-K1037</f>
        <v>3.0799999999999983</v>
      </c>
      <c r="N1037" s="106">
        <v>75.08</v>
      </c>
      <c r="O1037" s="107">
        <v>20868.02</v>
      </c>
      <c r="P1037" s="107">
        <v>26040</v>
      </c>
      <c r="Q1037" s="107">
        <v>543403241</v>
      </c>
      <c r="R1037" s="102" t="s">
        <v>30</v>
      </c>
      <c r="S1037" s="108"/>
      <c r="T1037" s="109"/>
      <c r="U1037" s="109"/>
      <c r="V1037" s="102"/>
      <c r="W1037" s="109"/>
      <c r="X1037" s="109"/>
      <c r="Y1037" s="110" t="s">
        <v>31</v>
      </c>
      <c r="Z1037" s="111" t="str">
        <f>MID(E1037,4,2)</f>
        <v>OH</v>
      </c>
    </row>
    <row r="1038" spans="1:26" s="111" customFormat="1" x14ac:dyDescent="0.2">
      <c r="A1038" s="101">
        <v>46248</v>
      </c>
      <c r="B1038" s="91" t="s">
        <v>1246</v>
      </c>
      <c r="C1038" s="102" t="s">
        <v>1247</v>
      </c>
      <c r="D1038" s="103" t="s">
        <v>26</v>
      </c>
      <c r="E1038" s="91" t="s">
        <v>1248</v>
      </c>
      <c r="F1038" s="91" t="s">
        <v>939</v>
      </c>
      <c r="G1038" s="91" t="s">
        <v>940</v>
      </c>
      <c r="H1038" s="104" t="str">
        <f t="shared" ref="H1038:H1101" si="67">IF(LEN(G1038)=13,LEFT(G1038,5)&amp;MID(G1038,SEARCH("-J",G1038)+1,3),LEFT(G1038,5)&amp;"J20")</f>
        <v>C4033J20</v>
      </c>
      <c r="I1038" s="104"/>
      <c r="J1038" s="105">
        <v>2</v>
      </c>
      <c r="K1038" s="106">
        <f>+L1038</f>
        <v>96.06</v>
      </c>
      <c r="L1038" s="106">
        <v>96.06</v>
      </c>
      <c r="M1038" s="106">
        <f t="shared" si="66"/>
        <v>0</v>
      </c>
      <c r="N1038" s="106">
        <v>96.06</v>
      </c>
      <c r="O1038" s="107">
        <v>192.12</v>
      </c>
      <c r="P1038" s="107">
        <v>26040</v>
      </c>
      <c r="Q1038" s="107">
        <v>5002805</v>
      </c>
      <c r="R1038" s="102"/>
      <c r="S1038" s="108"/>
      <c r="T1038" s="109" t="s">
        <v>30</v>
      </c>
      <c r="U1038" s="109"/>
      <c r="V1038" s="102"/>
      <c r="W1038" s="109"/>
      <c r="X1038" s="109"/>
      <c r="Y1038" s="110" t="s">
        <v>803</v>
      </c>
      <c r="Z1038" s="111" t="str">
        <f>MID(E1038,4,2)</f>
        <v>CA</v>
      </c>
    </row>
    <row r="1039" spans="1:26" s="111" customFormat="1" x14ac:dyDescent="0.2">
      <c r="A1039" s="101">
        <v>46248</v>
      </c>
      <c r="B1039" s="91" t="s">
        <v>1246</v>
      </c>
      <c r="C1039" s="102" t="s">
        <v>1247</v>
      </c>
      <c r="D1039" s="103" t="s">
        <v>26</v>
      </c>
      <c r="E1039" s="91" t="s">
        <v>1248</v>
      </c>
      <c r="F1039" s="91" t="s">
        <v>1249</v>
      </c>
      <c r="G1039" s="91" t="s">
        <v>1250</v>
      </c>
      <c r="H1039" s="104" t="str">
        <f t="shared" si="67"/>
        <v>C5130J20</v>
      </c>
      <c r="I1039" s="104"/>
      <c r="J1039" s="105">
        <v>0.28999999999999998</v>
      </c>
      <c r="K1039" s="106">
        <f>IF(D1039="CAESARSTONE LTD",VLOOKUP(H1039,'[2]GIA CA'!G:H,2,0),IF(OR(D1039="STONE FACINGS LIMITED",D1039="NORDIA SA",D1039="INVICTUS STONE COUNTERTOPS INC",D1039="QUARTZTOP LLC"),VLOOKUP(H1039,'[2] Giá ngoài Mỹ - SI-GR'!$B$5:$AZ$84,51,0),IF(OR(D1039="HYUNDAI L&amp;C CANADA INC",D1039="Hyundai L&amp; C USA LLC"),VLOOKUP(H1039,'[2]GIA HS'!A:D,4,0),IF(Y1039="Mỹ",VLOOKUP(H1039,'[2]giá mỹ từ 6.8.2025'!B:I,2,0),VLOOKUP(H1039,'[2]giá ngoài mỹ 6.8.2025 (final)'!B:BP,51,0)))))</f>
        <v>59</v>
      </c>
      <c r="L1039" s="106">
        <v>96.55</v>
      </c>
      <c r="M1039" s="106">
        <f t="shared" si="66"/>
        <v>37.549999999999997</v>
      </c>
      <c r="N1039" s="106">
        <v>96.55</v>
      </c>
      <c r="O1039" s="107">
        <v>28</v>
      </c>
      <c r="P1039" s="107">
        <v>26040</v>
      </c>
      <c r="Q1039" s="107">
        <v>729120</v>
      </c>
      <c r="R1039" s="102"/>
      <c r="S1039" s="108"/>
      <c r="T1039" s="109" t="s">
        <v>30</v>
      </c>
      <c r="U1039" s="109"/>
      <c r="V1039" s="102"/>
      <c r="W1039" s="109"/>
      <c r="X1039" s="109"/>
      <c r="Y1039" s="110" t="s">
        <v>803</v>
      </c>
      <c r="Z1039" s="111" t="str">
        <f>MID(E1039,4,2)</f>
        <v>CA</v>
      </c>
    </row>
    <row r="1040" spans="1:26" s="111" customFormat="1" x14ac:dyDescent="0.2">
      <c r="A1040" s="101">
        <v>46248</v>
      </c>
      <c r="B1040" s="91" t="s">
        <v>1246</v>
      </c>
      <c r="C1040" s="102" t="s">
        <v>1247</v>
      </c>
      <c r="D1040" s="103" t="s">
        <v>26</v>
      </c>
      <c r="E1040" s="91" t="s">
        <v>1248</v>
      </c>
      <c r="F1040" s="91" t="s">
        <v>857</v>
      </c>
      <c r="G1040" s="91" t="s">
        <v>858</v>
      </c>
      <c r="H1040" s="104" t="str">
        <f t="shared" si="67"/>
        <v>C5820J20</v>
      </c>
      <c r="I1040" s="104"/>
      <c r="J1040" s="105">
        <v>0.32</v>
      </c>
      <c r="K1040" s="106">
        <f>+L1040</f>
        <v>95.16</v>
      </c>
      <c r="L1040" s="106">
        <v>95.16</v>
      </c>
      <c r="M1040" s="106">
        <f t="shared" si="66"/>
        <v>0</v>
      </c>
      <c r="N1040" s="106">
        <v>95.16</v>
      </c>
      <c r="O1040" s="107">
        <v>30.45</v>
      </c>
      <c r="P1040" s="107">
        <v>26040</v>
      </c>
      <c r="Q1040" s="107">
        <v>792918</v>
      </c>
      <c r="R1040" s="102"/>
      <c r="S1040" s="108"/>
      <c r="T1040" s="109" t="s">
        <v>30</v>
      </c>
      <c r="U1040" s="109"/>
      <c r="V1040" s="102"/>
      <c r="W1040" s="109"/>
      <c r="X1040" s="109"/>
      <c r="Y1040" s="110" t="s">
        <v>803</v>
      </c>
      <c r="Z1040" s="111" t="str">
        <f>MID(E1040,4,2)</f>
        <v>CA</v>
      </c>
    </row>
    <row r="1041" spans="1:26" s="111" customFormat="1" x14ac:dyDescent="0.2">
      <c r="A1041" s="101">
        <v>46248</v>
      </c>
      <c r="B1041" s="91" t="s">
        <v>1246</v>
      </c>
      <c r="C1041" s="102" t="s">
        <v>1247</v>
      </c>
      <c r="D1041" s="103" t="s">
        <v>26</v>
      </c>
      <c r="E1041" s="91" t="s">
        <v>1248</v>
      </c>
      <c r="F1041" s="91" t="s">
        <v>1251</v>
      </c>
      <c r="G1041" s="91" t="s">
        <v>1252</v>
      </c>
      <c r="H1041" s="104" t="str">
        <f t="shared" si="67"/>
        <v>F5132J20</v>
      </c>
      <c r="I1041" s="104"/>
      <c r="J1041" s="105">
        <v>0.6</v>
      </c>
      <c r="K1041" s="106">
        <f>IF(D1041="CAESARSTONE LTD",VLOOKUP(H1041,'[2]GIA CA'!G:H,2,0),IF(OR(D1041="STONE FACINGS LIMITED",D1041="NORDIA SA",D1041="INVICTUS STONE COUNTERTOPS INC",D1041="QUARTZTOP LLC"),VLOOKUP(H1041,'[2] Giá ngoài Mỹ - SI-GR'!$B$5:$AZ$84,51,0),IF(OR(D1041="HYUNDAI L&amp;C CANADA INC",D1041="Hyundai L&amp; C USA LLC"),VLOOKUP(H1041,'[2]GIA HS'!A:D,4,0),IF(Y1041="Mỹ",VLOOKUP(H1041,'[2]giá mỹ từ 6.8.2025'!B:I,2,0),VLOOKUP(H1041,'[2]giá ngoài mỹ 6.8.2025 (final)'!B:BP,51,0)))))</f>
        <v>62</v>
      </c>
      <c r="L1041" s="106">
        <v>131</v>
      </c>
      <c r="M1041" s="106">
        <f t="shared" si="66"/>
        <v>69</v>
      </c>
      <c r="N1041" s="106">
        <v>131</v>
      </c>
      <c r="O1041" s="107">
        <v>78.599999999999994</v>
      </c>
      <c r="P1041" s="107">
        <v>26040</v>
      </c>
      <c r="Q1041" s="107">
        <v>2046744</v>
      </c>
      <c r="R1041" s="102"/>
      <c r="S1041" s="108"/>
      <c r="T1041" s="109" t="s">
        <v>30</v>
      </c>
      <c r="U1041" s="109"/>
      <c r="V1041" s="102"/>
      <c r="W1041" s="109"/>
      <c r="X1041" s="109"/>
      <c r="Y1041" s="110" t="s">
        <v>803</v>
      </c>
      <c r="Z1041" s="111" t="str">
        <f>MID(E1041,4,2)</f>
        <v>CA</v>
      </c>
    </row>
    <row r="1042" spans="1:26" s="111" customFormat="1" x14ac:dyDescent="0.2">
      <c r="A1042" s="101">
        <v>46248</v>
      </c>
      <c r="B1042" s="91" t="s">
        <v>1246</v>
      </c>
      <c r="C1042" s="102" t="s">
        <v>1247</v>
      </c>
      <c r="D1042" s="103" t="s">
        <v>26</v>
      </c>
      <c r="E1042" s="91" t="s">
        <v>1248</v>
      </c>
      <c r="F1042" s="91" t="s">
        <v>895</v>
      </c>
      <c r="G1042" s="91" t="s">
        <v>896</v>
      </c>
      <c r="H1042" s="104" t="str">
        <f t="shared" si="67"/>
        <v>C4143J30</v>
      </c>
      <c r="I1042" s="104"/>
      <c r="J1042" s="105">
        <v>304.92</v>
      </c>
      <c r="K1042" s="106">
        <f>IF(D1042="CAESARSTONE LTD",VLOOKUP(H1042,'[2]GIA CA'!G:H,2,0),IF(OR(D1042="STONE FACINGS LIMITED",D1042="NORDIA SA",D1042="INVICTUS STONE COUNTERTOPS INC",D1042="QUARTZTOP LLC"),VLOOKUP(H1042,'[2] Giá ngoài Mỹ - SI-GR'!$B$5:$AZ$84,51,0),IF(OR(D1042="HYUNDAI L&amp;C CANADA INC",D1042="Hyundai L&amp; C USA LLC"),VLOOKUP(H1042,'[2]GIA HS'!A:D,4,0),IF(Y1042="Mỹ",VLOOKUP(H1042,'[2]giá mỹ từ 6.8.2025'!B:I,2,0),VLOOKUP(H1042,'[2]giá ngoài mỹ 6.8.2025 (final)'!B:BP,51,0)))))</f>
        <v>71.3</v>
      </c>
      <c r="L1042" s="106">
        <v>74.8</v>
      </c>
      <c r="M1042" s="106">
        <f t="shared" si="66"/>
        <v>3.5</v>
      </c>
      <c r="N1042" s="106">
        <v>74.8</v>
      </c>
      <c r="O1042" s="107">
        <v>22808.240000000002</v>
      </c>
      <c r="P1042" s="107">
        <v>26040</v>
      </c>
      <c r="Q1042" s="107">
        <v>593926570</v>
      </c>
      <c r="R1042" s="102" t="s">
        <v>30</v>
      </c>
      <c r="S1042" s="108"/>
      <c r="T1042" s="109"/>
      <c r="U1042" s="109"/>
      <c r="V1042" s="102"/>
      <c r="W1042" s="109"/>
      <c r="X1042" s="109"/>
      <c r="Y1042" s="110" t="s">
        <v>803</v>
      </c>
      <c r="Z1042" s="111" t="str">
        <f>MID(E1042,4,2)</f>
        <v>CA</v>
      </c>
    </row>
    <row r="1043" spans="1:26" s="111" customFormat="1" x14ac:dyDescent="0.2">
      <c r="A1043" s="101">
        <v>46248</v>
      </c>
      <c r="B1043" s="91" t="s">
        <v>1246</v>
      </c>
      <c r="C1043" s="102" t="s">
        <v>1247</v>
      </c>
      <c r="D1043" s="103" t="s">
        <v>26</v>
      </c>
      <c r="E1043" s="91" t="s">
        <v>1248</v>
      </c>
      <c r="F1043" s="91" t="s">
        <v>895</v>
      </c>
      <c r="G1043" s="91" t="s">
        <v>896</v>
      </c>
      <c r="H1043" s="104" t="str">
        <f t="shared" si="67"/>
        <v>C4143J30</v>
      </c>
      <c r="I1043" s="104"/>
      <c r="J1043" s="105">
        <v>304.92</v>
      </c>
      <c r="K1043" s="106">
        <f>IF(D1043="CAESARSTONE LTD",VLOOKUP(H1043,'[2]GIA CA'!G:H,2,0),IF(OR(D1043="STONE FACINGS LIMITED",D1043="NORDIA SA",D1043="INVICTUS STONE COUNTERTOPS INC",D1043="QUARTZTOP LLC"),VLOOKUP(H1043,'[2] Giá ngoài Mỹ - SI-GR'!$B$5:$AZ$84,51,0),IF(OR(D1043="HYUNDAI L&amp;C CANADA INC",D1043="Hyundai L&amp; C USA LLC"),VLOOKUP(H1043,'[2]GIA HS'!A:D,4,0),IF(Y1043="Mỹ",VLOOKUP(H1043,'[2]giá mỹ từ 6.8.2025'!B:I,2,0),VLOOKUP(H1043,'[2]giá ngoài mỹ 6.8.2025 (final)'!B:BP,51,0)))))</f>
        <v>71.3</v>
      </c>
      <c r="L1043" s="106">
        <v>74.8</v>
      </c>
      <c r="M1043" s="106">
        <f t="shared" si="66"/>
        <v>3.5</v>
      </c>
      <c r="N1043" s="106">
        <v>74.8</v>
      </c>
      <c r="O1043" s="107">
        <v>22808.240000000002</v>
      </c>
      <c r="P1043" s="107">
        <v>26040</v>
      </c>
      <c r="Q1043" s="107">
        <v>593926570</v>
      </c>
      <c r="R1043" s="102" t="s">
        <v>30</v>
      </c>
      <c r="S1043" s="108"/>
      <c r="T1043" s="109"/>
      <c r="U1043" s="109"/>
      <c r="V1043" s="102"/>
      <c r="W1043" s="109"/>
      <c r="X1043" s="109"/>
      <c r="Y1043" s="110" t="s">
        <v>803</v>
      </c>
      <c r="Z1043" s="111" t="str">
        <f>MID(E1043,4,2)</f>
        <v>CA</v>
      </c>
    </row>
    <row r="1044" spans="1:26" s="111" customFormat="1" x14ac:dyDescent="0.2">
      <c r="A1044" s="101">
        <v>46248</v>
      </c>
      <c r="B1044" s="91" t="s">
        <v>1253</v>
      </c>
      <c r="C1044" s="102" t="s">
        <v>1254</v>
      </c>
      <c r="D1044" s="103" t="s">
        <v>26</v>
      </c>
      <c r="E1044" s="91" t="s">
        <v>1255</v>
      </c>
      <c r="F1044" s="91" t="s">
        <v>963</v>
      </c>
      <c r="G1044" s="91" t="s">
        <v>964</v>
      </c>
      <c r="H1044" s="104" t="str">
        <f t="shared" si="67"/>
        <v>M5820J20</v>
      </c>
      <c r="I1044" s="104"/>
      <c r="J1044" s="105">
        <v>1.56</v>
      </c>
      <c r="K1044" s="106">
        <f>L1044</f>
        <v>49.28</v>
      </c>
      <c r="L1044" s="106">
        <v>49.28</v>
      </c>
      <c r="M1044" s="106">
        <f t="shared" si="66"/>
        <v>0</v>
      </c>
      <c r="N1044" s="106">
        <v>49.28</v>
      </c>
      <c r="O1044" s="107">
        <v>76.88</v>
      </c>
      <c r="P1044" s="107">
        <v>26040</v>
      </c>
      <c r="Q1044" s="107">
        <v>2001955</v>
      </c>
      <c r="R1044" s="102"/>
      <c r="S1044" s="108"/>
      <c r="T1044" s="109"/>
      <c r="U1044" s="109"/>
      <c r="V1044" s="102"/>
      <c r="W1044" s="109" t="s">
        <v>30</v>
      </c>
      <c r="X1044" s="109"/>
      <c r="Y1044" s="110" t="s">
        <v>803</v>
      </c>
      <c r="Z1044" s="111" t="str">
        <f>MID(E1044,4,2)</f>
        <v>CA</v>
      </c>
    </row>
    <row r="1045" spans="1:26" s="111" customFormat="1" x14ac:dyDescent="0.2">
      <c r="A1045" s="101">
        <v>46248</v>
      </c>
      <c r="B1045" s="91" t="s">
        <v>1256</v>
      </c>
      <c r="C1045" s="102" t="s">
        <v>1257</v>
      </c>
      <c r="D1045" s="103" t="s">
        <v>26</v>
      </c>
      <c r="E1045" s="91" t="s">
        <v>1258</v>
      </c>
      <c r="F1045" s="91" t="s">
        <v>947</v>
      </c>
      <c r="G1045" s="91" t="s">
        <v>948</v>
      </c>
      <c r="H1045" s="104" t="str">
        <f t="shared" si="67"/>
        <v>C5111J20</v>
      </c>
      <c r="I1045" s="104"/>
      <c r="J1045" s="105">
        <v>3.13</v>
      </c>
      <c r="K1045" s="106">
        <f>IF(D1045="CAESARSTONE LTD",VLOOKUP(H1045,'[2]GIA CA'!G:H,2,0),IF(OR(D1045="STONE FACINGS LIMITED",D1045="NORDIA SA",D1045="INVICTUS STONE COUNTERTOPS INC",D1045="QUARTZTOP LLC"),VLOOKUP(H1045,'[2] Giá ngoài Mỹ - SI-GR'!$B$5:$AZ$84,51,0),IF(OR(D1045="HYUNDAI L&amp;C CANADA INC",D1045="Hyundai L&amp; C USA LLC"),VLOOKUP(H1045,'[2]GIA HS'!A:D,4,0),IF(Y1045="Mỹ",VLOOKUP(H1045,'[2]giá mỹ từ 6.8.2025'!B:I,2,0),VLOOKUP(H1045,'[2]giá ngoài mỹ 6.8.2025 (final)'!B:BP,51,0)))))</f>
        <v>55</v>
      </c>
      <c r="L1045" s="106">
        <v>119.17</v>
      </c>
      <c r="M1045" s="106">
        <f t="shared" si="66"/>
        <v>64.17</v>
      </c>
      <c r="N1045" s="106">
        <v>119.17</v>
      </c>
      <c r="O1045" s="107">
        <v>373</v>
      </c>
      <c r="P1045" s="107">
        <v>26040</v>
      </c>
      <c r="Q1045" s="107">
        <v>9712920</v>
      </c>
      <c r="R1045" s="102"/>
      <c r="S1045" s="108"/>
      <c r="T1045" s="109" t="s">
        <v>30</v>
      </c>
      <c r="U1045" s="109"/>
      <c r="V1045" s="102"/>
      <c r="W1045" s="109"/>
      <c r="X1045" s="109"/>
      <c r="Y1045" s="110" t="s">
        <v>803</v>
      </c>
      <c r="Z1045" s="111" t="str">
        <f>MID(E1045,4,2)</f>
        <v>CA</v>
      </c>
    </row>
    <row r="1046" spans="1:26" s="111" customFormat="1" x14ac:dyDescent="0.2">
      <c r="A1046" s="101">
        <v>46248</v>
      </c>
      <c r="B1046" s="91" t="s">
        <v>1256</v>
      </c>
      <c r="C1046" s="102" t="s">
        <v>1257</v>
      </c>
      <c r="D1046" s="103" t="s">
        <v>26</v>
      </c>
      <c r="E1046" s="91" t="s">
        <v>1258</v>
      </c>
      <c r="F1046" s="91" t="s">
        <v>973</v>
      </c>
      <c r="G1046" s="91" t="s">
        <v>974</v>
      </c>
      <c r="H1046" s="104" t="str">
        <f t="shared" si="67"/>
        <v>C5118J20</v>
      </c>
      <c r="I1046" s="104"/>
      <c r="J1046" s="105">
        <v>7.81</v>
      </c>
      <c r="K1046" s="106">
        <f>IF(D1046="CAESARSTONE LTD",VLOOKUP(H1046,'[2]GIA CA'!G:H,2,0),IF(OR(D1046="STONE FACINGS LIMITED",D1046="NORDIA SA",D1046="INVICTUS STONE COUNTERTOPS INC",D1046="QUARTZTOP LLC"),VLOOKUP(H1046,'[2] Giá ngoài Mỹ - SI-GR'!$B$5:$AZ$84,51,0),IF(OR(D1046="HYUNDAI L&amp;C CANADA INC",D1046="Hyundai L&amp; C USA LLC"),VLOOKUP(H1046,'[2]GIA HS'!A:D,4,0),IF(Y1046="Mỹ",VLOOKUP(H1046,'[2]giá mỹ từ 6.8.2025'!B:I,2,0),VLOOKUP(H1046,'[2]giá ngoài mỹ 6.8.2025 (final)'!B:BP,51,0)))))</f>
        <v>65</v>
      </c>
      <c r="L1046" s="106">
        <v>129.32</v>
      </c>
      <c r="M1046" s="106">
        <f t="shared" si="66"/>
        <v>64.319999999999993</v>
      </c>
      <c r="N1046" s="106">
        <v>129.32</v>
      </c>
      <c r="O1046" s="107">
        <v>1010</v>
      </c>
      <c r="P1046" s="107">
        <v>26040</v>
      </c>
      <c r="Q1046" s="107">
        <v>26300400</v>
      </c>
      <c r="R1046" s="102"/>
      <c r="S1046" s="108"/>
      <c r="T1046" s="109" t="s">
        <v>30</v>
      </c>
      <c r="U1046" s="109"/>
      <c r="V1046" s="102"/>
      <c r="W1046" s="109"/>
      <c r="X1046" s="109"/>
      <c r="Y1046" s="110" t="s">
        <v>803</v>
      </c>
      <c r="Z1046" s="111" t="str">
        <f>MID(E1046,4,2)</f>
        <v>CA</v>
      </c>
    </row>
    <row r="1047" spans="1:26" s="111" customFormat="1" x14ac:dyDescent="0.2">
      <c r="A1047" s="101">
        <v>46248</v>
      </c>
      <c r="B1047" s="91" t="s">
        <v>1256</v>
      </c>
      <c r="C1047" s="102" t="s">
        <v>1257</v>
      </c>
      <c r="D1047" s="103" t="s">
        <v>26</v>
      </c>
      <c r="E1047" s="91" t="s">
        <v>1258</v>
      </c>
      <c r="F1047" s="91" t="s">
        <v>863</v>
      </c>
      <c r="G1047" s="91" t="s">
        <v>864</v>
      </c>
      <c r="H1047" s="104" t="str">
        <f t="shared" si="67"/>
        <v>C5130J20</v>
      </c>
      <c r="I1047" s="104"/>
      <c r="J1047" s="105">
        <v>3.13</v>
      </c>
      <c r="K1047" s="106">
        <f>IF(D1047="CAESARSTONE LTD",VLOOKUP(H1047,'[2]GIA CA'!G:H,2,0),IF(OR(D1047="STONE FACINGS LIMITED",D1047="NORDIA SA",D1047="INVICTUS STONE COUNTERTOPS INC",D1047="QUARTZTOP LLC"),VLOOKUP(H1047,'[2] Giá ngoài Mỹ - SI-GR'!$B$5:$AZ$84,51,0),IF(OR(D1047="HYUNDAI L&amp;C CANADA INC",D1047="Hyundai L&amp; C USA LLC"),VLOOKUP(H1047,'[2]GIA HS'!A:D,4,0),IF(Y1047="Mỹ",VLOOKUP(H1047,'[2]giá mỹ từ 6.8.2025'!B:I,2,0),VLOOKUP(H1047,'[2]giá ngoài mỹ 6.8.2025 (final)'!B:BP,51,0)))))</f>
        <v>59</v>
      </c>
      <c r="L1047" s="106">
        <v>94.57</v>
      </c>
      <c r="M1047" s="106">
        <f t="shared" si="66"/>
        <v>35.569999999999993</v>
      </c>
      <c r="N1047" s="106">
        <v>94.57</v>
      </c>
      <c r="O1047" s="107">
        <v>296</v>
      </c>
      <c r="P1047" s="107">
        <v>26040</v>
      </c>
      <c r="Q1047" s="107">
        <v>7707840</v>
      </c>
      <c r="R1047" s="102"/>
      <c r="S1047" s="108"/>
      <c r="T1047" s="109" t="s">
        <v>30</v>
      </c>
      <c r="U1047" s="109"/>
      <c r="V1047" s="102"/>
      <c r="W1047" s="109"/>
      <c r="X1047" s="109"/>
      <c r="Y1047" s="110" t="s">
        <v>803</v>
      </c>
      <c r="Z1047" s="111" t="str">
        <f>MID(E1047,4,2)</f>
        <v>CA</v>
      </c>
    </row>
    <row r="1048" spans="1:26" s="111" customFormat="1" x14ac:dyDescent="0.2">
      <c r="A1048" s="101">
        <v>46248</v>
      </c>
      <c r="B1048" s="91" t="s">
        <v>1256</v>
      </c>
      <c r="C1048" s="102" t="s">
        <v>1257</v>
      </c>
      <c r="D1048" s="103" t="s">
        <v>26</v>
      </c>
      <c r="E1048" s="91" t="s">
        <v>1258</v>
      </c>
      <c r="F1048" s="91" t="s">
        <v>895</v>
      </c>
      <c r="G1048" s="91" t="s">
        <v>896</v>
      </c>
      <c r="H1048" s="104" t="str">
        <f t="shared" si="67"/>
        <v>C4143J30</v>
      </c>
      <c r="I1048" s="104"/>
      <c r="J1048" s="105">
        <v>304.92</v>
      </c>
      <c r="K1048" s="106">
        <f>IF(D1048="CAESARSTONE LTD",VLOOKUP(H1048,'[2]GIA CA'!G:H,2,0),IF(OR(D1048="STONE FACINGS LIMITED",D1048="NORDIA SA",D1048="INVICTUS STONE COUNTERTOPS INC",D1048="QUARTZTOP LLC"),VLOOKUP(H1048,'[2] Giá ngoài Mỹ - SI-GR'!$B$5:$AZ$84,51,0),IF(OR(D1048="HYUNDAI L&amp;C CANADA INC",D1048="Hyundai L&amp; C USA LLC"),VLOOKUP(H1048,'[2]GIA HS'!A:D,4,0),IF(Y1048="Mỹ",VLOOKUP(H1048,'[2]giá mỹ từ 6.8.2025'!B:I,2,0),VLOOKUP(H1048,'[2]giá ngoài mỹ 6.8.2025 (final)'!B:BP,51,0)))))</f>
        <v>71.3</v>
      </c>
      <c r="L1048" s="106">
        <v>74.8</v>
      </c>
      <c r="M1048" s="106">
        <f t="shared" si="66"/>
        <v>3.5</v>
      </c>
      <c r="N1048" s="106">
        <v>74.8</v>
      </c>
      <c r="O1048" s="107">
        <v>22808.240000000002</v>
      </c>
      <c r="P1048" s="107">
        <v>26040</v>
      </c>
      <c r="Q1048" s="107">
        <v>593926570</v>
      </c>
      <c r="R1048" s="102" t="s">
        <v>30</v>
      </c>
      <c r="S1048" s="108"/>
      <c r="T1048" s="109"/>
      <c r="U1048" s="109"/>
      <c r="V1048" s="102"/>
      <c r="W1048" s="109"/>
      <c r="X1048" s="109"/>
      <c r="Y1048" s="110" t="s">
        <v>803</v>
      </c>
      <c r="Z1048" s="111" t="str">
        <f>MID(E1048,4,2)</f>
        <v>CA</v>
      </c>
    </row>
    <row r="1049" spans="1:26" s="111" customFormat="1" x14ac:dyDescent="0.2">
      <c r="A1049" s="101">
        <v>46248</v>
      </c>
      <c r="B1049" s="91" t="s">
        <v>1256</v>
      </c>
      <c r="C1049" s="102" t="s">
        <v>1257</v>
      </c>
      <c r="D1049" s="103" t="s">
        <v>26</v>
      </c>
      <c r="E1049" s="91" t="s">
        <v>1258</v>
      </c>
      <c r="F1049" s="91" t="s">
        <v>1259</v>
      </c>
      <c r="G1049" s="91" t="s">
        <v>1260</v>
      </c>
      <c r="H1049" s="104" t="str">
        <f t="shared" si="67"/>
        <v>C4143J20</v>
      </c>
      <c r="I1049" s="104"/>
      <c r="J1049" s="105">
        <v>435.6</v>
      </c>
      <c r="K1049" s="106">
        <f>IF(D1049="CAESARSTONE LTD",VLOOKUP(H1049,'[2]GIA CA'!G:H,2,0),IF(OR(D1049="STONE FACINGS LIMITED",D1049="NORDIA SA",D1049="INVICTUS STONE COUNTERTOPS INC",D1049="QUARTZTOP LLC"),VLOOKUP(H1049,'[2] Giá ngoài Mỹ - SI-GR'!$B$5:$AZ$84,51,0),IF(OR(D1049="HYUNDAI L&amp;C CANADA INC",D1049="Hyundai L&amp; C USA LLC"),VLOOKUP(H1049,'[2]GIA HS'!A:D,4,0),IF(Y1049="Mỹ",VLOOKUP(H1049,'[2]giá mỹ từ 6.8.2025'!B:I,2,0),VLOOKUP(H1049,'[2]giá ngoài mỹ 6.8.2025 (final)'!B:BP,51,0)))))</f>
        <v>57</v>
      </c>
      <c r="L1049" s="106">
        <v>59.9</v>
      </c>
      <c r="M1049" s="106">
        <f t="shared" si="66"/>
        <v>2.8999999999999986</v>
      </c>
      <c r="N1049" s="106">
        <v>59.9</v>
      </c>
      <c r="O1049" s="107">
        <v>26092.799999999999</v>
      </c>
      <c r="P1049" s="107">
        <v>26040</v>
      </c>
      <c r="Q1049" s="107">
        <v>679456512</v>
      </c>
      <c r="R1049" s="102" t="s">
        <v>30</v>
      </c>
      <c r="S1049" s="108"/>
      <c r="T1049" s="109"/>
      <c r="U1049" s="109"/>
      <c r="V1049" s="102"/>
      <c r="W1049" s="109"/>
      <c r="X1049" s="109"/>
      <c r="Y1049" s="110" t="s">
        <v>803</v>
      </c>
      <c r="Z1049" s="111" t="str">
        <f>MID(E1049,4,2)</f>
        <v>CA</v>
      </c>
    </row>
    <row r="1050" spans="1:26" s="111" customFormat="1" x14ac:dyDescent="0.2">
      <c r="A1050" s="101">
        <v>46248</v>
      </c>
      <c r="B1050" s="91" t="s">
        <v>1261</v>
      </c>
      <c r="C1050" s="102" t="s">
        <v>1262</v>
      </c>
      <c r="D1050" s="103" t="s">
        <v>26</v>
      </c>
      <c r="E1050" s="91" t="s">
        <v>1263</v>
      </c>
      <c r="F1050" s="91" t="s">
        <v>975</v>
      </c>
      <c r="G1050" s="91" t="s">
        <v>976</v>
      </c>
      <c r="H1050" s="104" t="str">
        <f t="shared" si="67"/>
        <v>C5000J20</v>
      </c>
      <c r="I1050" s="104"/>
      <c r="J1050" s="105">
        <v>490.05</v>
      </c>
      <c r="K1050" s="106">
        <f>IF(D1050="CAESARSTONE LTD",VLOOKUP(H1050,'[2]GIA CA'!G:H,2,0),IF(OR(D1050="STONE FACINGS LIMITED",D1050="NORDIA SA",D1050="INVICTUS STONE COUNTERTOPS INC",D1050="QUARTZTOP LLC"),VLOOKUP(H1050,'[2] Giá ngoài Mỹ - SI-GR'!$B$5:$AZ$84,51,0),IF(OR(D1050="HYUNDAI L&amp;C CANADA INC",D1050="Hyundai L&amp; C USA LLC"),VLOOKUP(H1050,'[2]GIA HS'!A:D,4,0),IF(Y1050="Mỹ",VLOOKUP(H1050,'[2]giá mỹ từ 6.8.2025'!B:I,2,0),VLOOKUP(H1050,'[2]giá ngoài mỹ 6.8.2025 (final)'!B:BP,51,0)))))</f>
        <v>55</v>
      </c>
      <c r="L1050" s="106">
        <v>59.9</v>
      </c>
      <c r="M1050" s="106">
        <f t="shared" si="66"/>
        <v>4.8999999999999986</v>
      </c>
      <c r="N1050" s="106">
        <v>59.9</v>
      </c>
      <c r="O1050" s="107">
        <v>29354.400000000001</v>
      </c>
      <c r="P1050" s="107">
        <v>26040</v>
      </c>
      <c r="Q1050" s="107">
        <v>764388576</v>
      </c>
      <c r="R1050" s="102" t="s">
        <v>30</v>
      </c>
      <c r="S1050" s="108"/>
      <c r="T1050" s="109"/>
      <c r="U1050" s="109"/>
      <c r="V1050" s="102"/>
      <c r="W1050" s="109"/>
      <c r="X1050" s="109"/>
      <c r="Y1050" s="110" t="s">
        <v>369</v>
      </c>
      <c r="Z1050" s="111" t="str">
        <f>MID(E1050,4,2)</f>
        <v>CA</v>
      </c>
    </row>
    <row r="1051" spans="1:26" s="111" customFormat="1" x14ac:dyDescent="0.2">
      <c r="A1051" s="101">
        <v>46248</v>
      </c>
      <c r="B1051" s="91" t="s">
        <v>1264</v>
      </c>
      <c r="C1051" s="102" t="s">
        <v>1265</v>
      </c>
      <c r="D1051" s="103" t="s">
        <v>26</v>
      </c>
      <c r="E1051" s="91" t="s">
        <v>1266</v>
      </c>
      <c r="F1051" s="91" t="s">
        <v>975</v>
      </c>
      <c r="G1051" s="91" t="s">
        <v>976</v>
      </c>
      <c r="H1051" s="104" t="str">
        <f t="shared" si="67"/>
        <v>C5000J20</v>
      </c>
      <c r="I1051" s="104"/>
      <c r="J1051" s="105">
        <v>217.8</v>
      </c>
      <c r="K1051" s="106">
        <f>IF(D1051="CAESARSTONE LTD",VLOOKUP(H1051,'[2]GIA CA'!G:H,2,0),IF(OR(D1051="STONE FACINGS LIMITED",D1051="NORDIA SA",D1051="INVICTUS STONE COUNTERTOPS INC",D1051="QUARTZTOP LLC"),VLOOKUP(H1051,'[2] Giá ngoài Mỹ - SI-GR'!$B$5:$AZ$84,51,0),IF(OR(D1051="HYUNDAI L&amp;C CANADA INC",D1051="Hyundai L&amp; C USA LLC"),VLOOKUP(H1051,'[2]GIA HS'!A:D,4,0),IF(Y1051="Mỹ",VLOOKUP(H1051,'[2]giá mỹ từ 6.8.2025'!B:I,2,0),VLOOKUP(H1051,'[2]giá ngoài mỹ 6.8.2025 (final)'!B:BP,51,0)))))</f>
        <v>55</v>
      </c>
      <c r="L1051" s="106">
        <v>59.9</v>
      </c>
      <c r="M1051" s="106">
        <f t="shared" si="66"/>
        <v>4.8999999999999986</v>
      </c>
      <c r="N1051" s="106">
        <v>59.9</v>
      </c>
      <c r="O1051" s="107">
        <v>13046.4</v>
      </c>
      <c r="P1051" s="107">
        <v>26040</v>
      </c>
      <c r="Q1051" s="107">
        <v>339728256</v>
      </c>
      <c r="R1051" s="102" t="s">
        <v>30</v>
      </c>
      <c r="S1051" s="108"/>
      <c r="T1051" s="109"/>
      <c r="U1051" s="109"/>
      <c r="V1051" s="102"/>
      <c r="W1051" s="109"/>
      <c r="X1051" s="109"/>
      <c r="Y1051" s="110" t="s">
        <v>369</v>
      </c>
      <c r="Z1051" s="111" t="str">
        <f>MID(E1051,4,2)</f>
        <v>CA</v>
      </c>
    </row>
    <row r="1052" spans="1:26" s="111" customFormat="1" x14ac:dyDescent="0.2">
      <c r="A1052" s="101">
        <v>46248</v>
      </c>
      <c r="B1052" s="91" t="s">
        <v>1264</v>
      </c>
      <c r="C1052" s="102" t="s">
        <v>1265</v>
      </c>
      <c r="D1052" s="103" t="s">
        <v>26</v>
      </c>
      <c r="E1052" s="91" t="s">
        <v>1266</v>
      </c>
      <c r="F1052" s="91" t="s">
        <v>778</v>
      </c>
      <c r="G1052" s="91" t="s">
        <v>779</v>
      </c>
      <c r="H1052" s="104" t="str">
        <f t="shared" si="67"/>
        <v>C6131J20</v>
      </c>
      <c r="I1052" s="104"/>
      <c r="J1052" s="105">
        <v>272.25</v>
      </c>
      <c r="K1052" s="106">
        <f>IF(D1052="CAESARSTONE LTD",VLOOKUP(H1052,'[2]GIA CA'!G:H,2,0),IF(OR(D1052="STONE FACINGS LIMITED",D1052="NORDIA SA",D1052="INVICTUS STONE COUNTERTOPS INC",D1052="QUARTZTOP LLC"),VLOOKUP(H1052,'[2] Giá ngoài Mỹ - SI-GR'!$B$5:$AZ$84,51,0),IF(OR(D1052="HYUNDAI L&amp;C CANADA INC",D1052="Hyundai L&amp; C USA LLC"),VLOOKUP(H1052,'[2]GIA HS'!A:D,4,0),IF(Y1052="Mỹ",VLOOKUP(H1052,'[2]giá mỹ từ 6.8.2025'!B:I,2,0),VLOOKUP(H1052,'[2]giá ngoài mỹ 6.8.2025 (final)'!B:BP,51,0)))))</f>
        <v>59</v>
      </c>
      <c r="L1052" s="106">
        <v>62</v>
      </c>
      <c r="M1052" s="106">
        <f t="shared" si="66"/>
        <v>3</v>
      </c>
      <c r="N1052" s="106">
        <v>62</v>
      </c>
      <c r="O1052" s="107">
        <v>16879.5</v>
      </c>
      <c r="P1052" s="107">
        <v>26040</v>
      </c>
      <c r="Q1052" s="107">
        <v>439542180</v>
      </c>
      <c r="R1052" s="102" t="s">
        <v>30</v>
      </c>
      <c r="S1052" s="108"/>
      <c r="T1052" s="109"/>
      <c r="U1052" s="109"/>
      <c r="V1052" s="102"/>
      <c r="W1052" s="109"/>
      <c r="X1052" s="109"/>
      <c r="Y1052" s="110" t="s">
        <v>369</v>
      </c>
      <c r="Z1052" s="111" t="str">
        <f>MID(E1052,4,2)</f>
        <v>CA</v>
      </c>
    </row>
    <row r="1053" spans="1:26" s="111" customFormat="1" x14ac:dyDescent="0.2">
      <c r="A1053" s="101">
        <v>46248</v>
      </c>
      <c r="B1053" s="91" t="s">
        <v>1267</v>
      </c>
      <c r="C1053" s="102" t="s">
        <v>1268</v>
      </c>
      <c r="D1053" s="103" t="s">
        <v>60</v>
      </c>
      <c r="E1053" s="91" t="s">
        <v>1269</v>
      </c>
      <c r="F1053" s="91" t="s">
        <v>413</v>
      </c>
      <c r="G1053" s="91" t="s">
        <v>414</v>
      </c>
      <c r="H1053" s="104" t="str">
        <f t="shared" si="67"/>
        <v>C1005J30</v>
      </c>
      <c r="I1053" s="104"/>
      <c r="J1053" s="105">
        <v>5.45</v>
      </c>
      <c r="K1053" s="106">
        <f>IF(D1053="CAESARSTONE LTD",VLOOKUP(H1053,'[2]GIA CA'!G:H,2,0),IF(OR(D1053="STONE FACINGS LIMITED",D1053="NORDIA SA",D1053="INVICTUS STONE COUNTERTOPS INC",D1053="QUARTZTOP LLC"),VLOOKUP(H1053,'[2] Giá ngoài Mỹ - SI-GR'!$B$5:$AZ$84,51,0),IF(OR(D1053="HYUNDAI L&amp;C CANADA INC",D1053="Hyundai L&amp; C USA LLC"),VLOOKUP(H1053,'[2]GIA HS'!A:D,4,0),IF(Y1053="Mỹ",VLOOKUP(H1053,'[2]giá mỹ từ 6.8.2025'!B:I,2,0),VLOOKUP(H1053,'[2]giá ngoài mỹ 6.8.2025 (final)'!B:BP,51,0)))))</f>
        <v>70</v>
      </c>
      <c r="L1053" s="106">
        <v>73.5</v>
      </c>
      <c r="M1053" s="106">
        <f t="shared" si="66"/>
        <v>3.5</v>
      </c>
      <c r="N1053" s="106">
        <v>73.5</v>
      </c>
      <c r="O1053" s="107">
        <v>400.58</v>
      </c>
      <c r="P1053" s="107">
        <v>26040</v>
      </c>
      <c r="Q1053" s="107">
        <v>10431103</v>
      </c>
      <c r="R1053" s="102" t="s">
        <v>30</v>
      </c>
      <c r="S1053" s="108"/>
      <c r="T1053" s="109"/>
      <c r="U1053" s="109"/>
      <c r="V1053" s="102"/>
      <c r="W1053" s="109"/>
      <c r="X1053" s="109"/>
      <c r="Y1053" s="110" t="s">
        <v>31</v>
      </c>
      <c r="Z1053" s="111" t="str">
        <f>MID(E1053,4,2)</f>
        <v>HS</v>
      </c>
    </row>
    <row r="1054" spans="1:26" s="111" customFormat="1" x14ac:dyDescent="0.2">
      <c r="A1054" s="101">
        <v>46248</v>
      </c>
      <c r="B1054" s="91" t="s">
        <v>1267</v>
      </c>
      <c r="C1054" s="102" t="s">
        <v>1268</v>
      </c>
      <c r="D1054" s="103" t="s">
        <v>60</v>
      </c>
      <c r="E1054" s="91" t="s">
        <v>1269</v>
      </c>
      <c r="F1054" s="91" t="s">
        <v>413</v>
      </c>
      <c r="G1054" s="91" t="s">
        <v>414</v>
      </c>
      <c r="H1054" s="104" t="str">
        <f t="shared" si="67"/>
        <v>C1005J30</v>
      </c>
      <c r="I1054" s="104"/>
      <c r="J1054" s="105">
        <v>152.46</v>
      </c>
      <c r="K1054" s="106">
        <f>IF(D1054="CAESARSTONE LTD",VLOOKUP(H1054,'[2]GIA CA'!G:H,2,0),IF(OR(D1054="STONE FACINGS LIMITED",D1054="NORDIA SA",D1054="INVICTUS STONE COUNTERTOPS INC",D1054="QUARTZTOP LLC"),VLOOKUP(H1054,'[2] Giá ngoài Mỹ - SI-GR'!$B$5:$AZ$84,51,0),IF(OR(D1054="HYUNDAI L&amp;C CANADA INC",D1054="Hyundai L&amp; C USA LLC"),VLOOKUP(H1054,'[2]GIA HS'!A:D,4,0),IF(Y1054="Mỹ",VLOOKUP(H1054,'[2]giá mỹ từ 6.8.2025'!B:I,2,0),VLOOKUP(H1054,'[2]giá ngoài mỹ 6.8.2025 (final)'!B:BP,51,0)))))</f>
        <v>70</v>
      </c>
      <c r="L1054" s="106">
        <v>73.5</v>
      </c>
      <c r="M1054" s="106">
        <f t="shared" si="66"/>
        <v>3.5</v>
      </c>
      <c r="N1054" s="106">
        <v>73.5</v>
      </c>
      <c r="O1054" s="107">
        <v>11205.81</v>
      </c>
      <c r="P1054" s="107">
        <v>26040</v>
      </c>
      <c r="Q1054" s="107">
        <v>291799292</v>
      </c>
      <c r="R1054" s="102" t="s">
        <v>30</v>
      </c>
      <c r="S1054" s="108"/>
      <c r="T1054" s="109"/>
      <c r="U1054" s="109"/>
      <c r="V1054" s="102"/>
      <c r="W1054" s="109"/>
      <c r="X1054" s="109"/>
      <c r="Y1054" s="110" t="s">
        <v>31</v>
      </c>
      <c r="Z1054" s="111" t="str">
        <f>MID(E1054,4,2)</f>
        <v>HS</v>
      </c>
    </row>
    <row r="1055" spans="1:26" s="111" customFormat="1" x14ac:dyDescent="0.2">
      <c r="A1055" s="101">
        <v>46248</v>
      </c>
      <c r="B1055" s="91" t="s">
        <v>1267</v>
      </c>
      <c r="C1055" s="102" t="s">
        <v>1268</v>
      </c>
      <c r="D1055" s="103" t="s">
        <v>60</v>
      </c>
      <c r="E1055" s="91" t="s">
        <v>1269</v>
      </c>
      <c r="F1055" s="91" t="s">
        <v>62</v>
      </c>
      <c r="G1055" s="91" t="s">
        <v>63</v>
      </c>
      <c r="H1055" s="104" t="str">
        <f t="shared" si="67"/>
        <v>C4255J30</v>
      </c>
      <c r="I1055" s="104"/>
      <c r="J1055" s="105">
        <v>141.57</v>
      </c>
      <c r="K1055" s="106">
        <f>IF(D1055="CAESARSTONE LTD",VLOOKUP(H1055,'[2]GIA CA'!G:H,2,0),IF(OR(D1055="STONE FACINGS LIMITED",D1055="NORDIA SA",D1055="INVICTUS STONE COUNTERTOPS INC",D1055="QUARTZTOP LLC"),VLOOKUP(H1055,'[2] Giá ngoài Mỹ - SI-GR'!$B$5:$AZ$84,51,0),IF(OR(D1055="HYUNDAI L&amp;C CANADA INC",D1055="Hyundai L&amp; C USA LLC"),VLOOKUP(H1055,'[2]GIA HS'!A:D,4,0),IF(Y1055="Mỹ",VLOOKUP(H1055,'[2]giá mỹ từ 6.8.2025'!B:I,2,0),VLOOKUP(H1055,'[2]giá ngoài mỹ 6.8.2025 (final)'!B:BP,51,0)))))</f>
        <v>82</v>
      </c>
      <c r="L1055" s="106">
        <v>86.1</v>
      </c>
      <c r="M1055" s="106">
        <f t="shared" si="66"/>
        <v>4.0999999999999943</v>
      </c>
      <c r="N1055" s="106">
        <v>86.1</v>
      </c>
      <c r="O1055" s="107">
        <v>12189.18</v>
      </c>
      <c r="P1055" s="107">
        <v>26040</v>
      </c>
      <c r="Q1055" s="107">
        <v>317406247</v>
      </c>
      <c r="R1055" s="102" t="s">
        <v>30</v>
      </c>
      <c r="S1055" s="108"/>
      <c r="T1055" s="109"/>
      <c r="U1055" s="109"/>
      <c r="V1055" s="102"/>
      <c r="W1055" s="109"/>
      <c r="X1055" s="109"/>
      <c r="Y1055" s="110" t="s">
        <v>31</v>
      </c>
      <c r="Z1055" s="111" t="str">
        <f>MID(E1055,4,2)</f>
        <v>HS</v>
      </c>
    </row>
    <row r="1056" spans="1:26" s="111" customFormat="1" x14ac:dyDescent="0.2">
      <c r="A1056" s="101">
        <v>46248</v>
      </c>
      <c r="B1056" s="91" t="s">
        <v>1267</v>
      </c>
      <c r="C1056" s="102" t="s">
        <v>1268</v>
      </c>
      <c r="D1056" s="103" t="s">
        <v>60</v>
      </c>
      <c r="E1056" s="91" t="s">
        <v>1269</v>
      </c>
      <c r="F1056" s="91" t="s">
        <v>64</v>
      </c>
      <c r="G1056" s="91" t="s">
        <v>63</v>
      </c>
      <c r="H1056" s="104" t="str">
        <f t="shared" si="67"/>
        <v>C4255J30</v>
      </c>
      <c r="I1056" s="104"/>
      <c r="J1056" s="105">
        <v>16.34</v>
      </c>
      <c r="K1056" s="106">
        <f>IF(D1056="CAESARSTONE LTD",VLOOKUP(H1056,'[2]GIA CA'!G:H,2,0),IF(OR(D1056="STONE FACINGS LIMITED",D1056="NORDIA SA",D1056="INVICTUS STONE COUNTERTOPS INC",D1056="QUARTZTOP LLC"),VLOOKUP(H1056,'[2] Giá ngoài Mỹ - SI-GR'!$B$5:$AZ$84,51,0),IF(OR(D1056="HYUNDAI L&amp;C CANADA INC",D1056="Hyundai L&amp; C USA LLC"),VLOOKUP(H1056,'[2]GIA HS'!A:D,4,0),IF(Y1056="Mỹ",VLOOKUP(H1056,'[2]giá mỹ từ 6.8.2025'!B:I,2,0),VLOOKUP(H1056,'[2]giá ngoài mỹ 6.8.2025 (final)'!B:BP,51,0)))))</f>
        <v>82</v>
      </c>
      <c r="L1056" s="106">
        <v>86.1</v>
      </c>
      <c r="M1056" s="106">
        <f t="shared" si="66"/>
        <v>4.0999999999999943</v>
      </c>
      <c r="N1056" s="106">
        <v>86.1</v>
      </c>
      <c r="O1056" s="107">
        <v>1406.87</v>
      </c>
      <c r="P1056" s="107">
        <v>26040</v>
      </c>
      <c r="Q1056" s="107">
        <v>36634895</v>
      </c>
      <c r="R1056" s="102" t="s">
        <v>30</v>
      </c>
      <c r="S1056" s="108"/>
      <c r="T1056" s="109"/>
      <c r="U1056" s="109"/>
      <c r="V1056" s="102"/>
      <c r="W1056" s="109"/>
      <c r="X1056" s="109"/>
      <c r="Y1056" s="110" t="s">
        <v>31</v>
      </c>
      <c r="Z1056" s="111" t="str">
        <f>MID(E1056,4,2)</f>
        <v>HS</v>
      </c>
    </row>
    <row r="1057" spans="1:26" s="111" customFormat="1" x14ac:dyDescent="0.2">
      <c r="A1057" s="101">
        <v>46248</v>
      </c>
      <c r="B1057" s="91" t="s">
        <v>1267</v>
      </c>
      <c r="C1057" s="102" t="s">
        <v>1268</v>
      </c>
      <c r="D1057" s="103" t="s">
        <v>60</v>
      </c>
      <c r="E1057" s="91" t="s">
        <v>1269</v>
      </c>
      <c r="F1057" s="91" t="s">
        <v>413</v>
      </c>
      <c r="G1057" s="91" t="s">
        <v>414</v>
      </c>
      <c r="H1057" s="104" t="str">
        <f t="shared" si="67"/>
        <v>C1005J30</v>
      </c>
      <c r="I1057" s="104"/>
      <c r="J1057" s="105">
        <v>157.91</v>
      </c>
      <c r="K1057" s="106">
        <f>IF(D1057="CAESARSTONE LTD",VLOOKUP(H1057,'[2]GIA CA'!G:H,2,0),IF(OR(D1057="STONE FACINGS LIMITED",D1057="NORDIA SA",D1057="INVICTUS STONE COUNTERTOPS INC",D1057="QUARTZTOP LLC"),VLOOKUP(H1057,'[2] Giá ngoài Mỹ - SI-GR'!$B$5:$AZ$84,51,0),IF(OR(D1057="HYUNDAI L&amp;C CANADA INC",D1057="Hyundai L&amp; C USA LLC"),VLOOKUP(H1057,'[2]GIA HS'!A:D,4,0),IF(Y1057="Mỹ",VLOOKUP(H1057,'[2]giá mỹ từ 6.8.2025'!B:I,2,0),VLOOKUP(H1057,'[2]giá ngoài mỹ 6.8.2025 (final)'!B:BP,51,0)))))</f>
        <v>70</v>
      </c>
      <c r="L1057" s="106">
        <v>73.5</v>
      </c>
      <c r="M1057" s="106">
        <f t="shared" si="66"/>
        <v>3.5</v>
      </c>
      <c r="N1057" s="106">
        <v>73.5</v>
      </c>
      <c r="O1057" s="107">
        <v>11606.39</v>
      </c>
      <c r="P1057" s="107">
        <v>26040</v>
      </c>
      <c r="Q1057" s="107">
        <v>302230396</v>
      </c>
      <c r="R1057" s="102" t="s">
        <v>30</v>
      </c>
      <c r="S1057" s="108"/>
      <c r="T1057" s="109"/>
      <c r="U1057" s="109"/>
      <c r="V1057" s="102"/>
      <c r="W1057" s="109"/>
      <c r="X1057" s="109"/>
      <c r="Y1057" s="110" t="s">
        <v>31</v>
      </c>
      <c r="Z1057" s="111" t="str">
        <f>MID(E1057,4,2)</f>
        <v>HS</v>
      </c>
    </row>
    <row r="1058" spans="1:26" s="111" customFormat="1" x14ac:dyDescent="0.2">
      <c r="A1058" s="101">
        <v>46248</v>
      </c>
      <c r="B1058" s="91" t="s">
        <v>1267</v>
      </c>
      <c r="C1058" s="102" t="s">
        <v>1268</v>
      </c>
      <c r="D1058" s="103" t="s">
        <v>60</v>
      </c>
      <c r="E1058" s="91" t="s">
        <v>1269</v>
      </c>
      <c r="F1058" s="91" t="s">
        <v>550</v>
      </c>
      <c r="G1058" s="91" t="s">
        <v>551</v>
      </c>
      <c r="H1058" s="104" t="str">
        <f t="shared" si="67"/>
        <v>C3105J30</v>
      </c>
      <c r="I1058" s="104"/>
      <c r="J1058" s="105">
        <v>157.91</v>
      </c>
      <c r="K1058" s="106">
        <f>IF(D1058="CAESARSTONE LTD",VLOOKUP(H1058,'[2]GIA CA'!G:H,2,0),IF(OR(D1058="STONE FACINGS LIMITED",D1058="NORDIA SA",D1058="INVICTUS STONE COUNTERTOPS INC",D1058="QUARTZTOP LLC"),VLOOKUP(H1058,'[2] Giá ngoài Mỹ - SI-GR'!$B$5:$AZ$84,51,0),IF(OR(D1058="HYUNDAI L&amp;C CANADA INC",D1058="Hyundai L&amp; C USA LLC"),VLOOKUP(H1058,'[2]GIA HS'!A:D,4,0),IF(Y1058="Mỹ",VLOOKUP(H1058,'[2]giá mỹ từ 6.8.2025'!B:I,2,0),VLOOKUP(H1058,'[2]giá ngoài mỹ 6.8.2025 (final)'!B:BP,51,0)))))</f>
        <v>75</v>
      </c>
      <c r="L1058" s="106">
        <v>75.599999999999994</v>
      </c>
      <c r="M1058" s="106">
        <f t="shared" si="66"/>
        <v>0.59999999999999432</v>
      </c>
      <c r="N1058" s="106">
        <v>75.599999999999994</v>
      </c>
      <c r="O1058" s="107">
        <v>11938</v>
      </c>
      <c r="P1058" s="107">
        <v>26040</v>
      </c>
      <c r="Q1058" s="107">
        <v>310865520</v>
      </c>
      <c r="R1058" s="102" t="s">
        <v>30</v>
      </c>
      <c r="S1058" s="108"/>
      <c r="T1058" s="109"/>
      <c r="U1058" s="109"/>
      <c r="V1058" s="102"/>
      <c r="W1058" s="109"/>
      <c r="X1058" s="109"/>
      <c r="Y1058" s="110" t="s">
        <v>31</v>
      </c>
      <c r="Z1058" s="111" t="str">
        <f>MID(E1058,4,2)</f>
        <v>HS</v>
      </c>
    </row>
    <row r="1059" spans="1:26" s="111" customFormat="1" x14ac:dyDescent="0.2">
      <c r="A1059" s="101">
        <v>46248</v>
      </c>
      <c r="B1059" s="91" t="s">
        <v>1270</v>
      </c>
      <c r="C1059" s="102" t="s">
        <v>1271</v>
      </c>
      <c r="D1059" s="103" t="s">
        <v>26</v>
      </c>
      <c r="E1059" s="91" t="s">
        <v>1272</v>
      </c>
      <c r="F1059" s="91" t="s">
        <v>1273</v>
      </c>
      <c r="G1059" s="91" t="s">
        <v>779</v>
      </c>
      <c r="H1059" s="104" t="str">
        <f t="shared" si="67"/>
        <v>C6131J20</v>
      </c>
      <c r="I1059" s="104"/>
      <c r="J1059" s="105">
        <v>16.329999999999998</v>
      </c>
      <c r="K1059" s="106">
        <f>IF(D1059="CAESARSTONE LTD",VLOOKUP(H1059,'[2]GIA CA'!G:H,2,0),IF(OR(D1059="STONE FACINGS LIMITED",D1059="NORDIA SA",D1059="INVICTUS STONE COUNTERTOPS INC",D1059="QUARTZTOP LLC"),VLOOKUP(H1059,'[2] Giá ngoài Mỹ - SI-GR'!$B$5:$AZ$84,51,0),IF(OR(D1059="HYUNDAI L&amp;C CANADA INC",D1059="Hyundai L&amp; C USA LLC"),VLOOKUP(H1059,'[2]GIA HS'!A:D,4,0),IF(Y1059="Mỹ",VLOOKUP(H1059,'[2]giá mỹ từ 6.8.2025'!B:I,2,0),VLOOKUP(H1059,'[2]giá ngoài mỹ 6.8.2025 (final)'!B:BP,51,0)))))</f>
        <v>59</v>
      </c>
      <c r="L1059" s="106">
        <v>62</v>
      </c>
      <c r="M1059" s="106">
        <f t="shared" si="66"/>
        <v>3</v>
      </c>
      <c r="N1059" s="106">
        <v>62</v>
      </c>
      <c r="O1059" s="107">
        <v>1012.46</v>
      </c>
      <c r="P1059" s="107">
        <v>26040</v>
      </c>
      <c r="Q1059" s="107">
        <v>26364458</v>
      </c>
      <c r="R1059" s="102" t="s">
        <v>30</v>
      </c>
      <c r="S1059" s="108"/>
      <c r="T1059" s="109"/>
      <c r="U1059" s="109"/>
      <c r="V1059" s="102"/>
      <c r="W1059" s="109"/>
      <c r="X1059" s="109"/>
      <c r="Y1059" s="110" t="s">
        <v>369</v>
      </c>
      <c r="Z1059" s="111" t="str">
        <f>MID(E1059,4,2)</f>
        <v>CA</v>
      </c>
    </row>
    <row r="1060" spans="1:26" s="111" customFormat="1" x14ac:dyDescent="0.2">
      <c r="A1060" s="101">
        <v>46248</v>
      </c>
      <c r="B1060" s="91" t="s">
        <v>1270</v>
      </c>
      <c r="C1060" s="102" t="s">
        <v>1271</v>
      </c>
      <c r="D1060" s="103" t="s">
        <v>26</v>
      </c>
      <c r="E1060" s="91" t="s">
        <v>1272</v>
      </c>
      <c r="F1060" s="91" t="s">
        <v>778</v>
      </c>
      <c r="G1060" s="91" t="s">
        <v>779</v>
      </c>
      <c r="H1060" s="104" t="str">
        <f t="shared" si="67"/>
        <v>C6131J20</v>
      </c>
      <c r="I1060" s="104"/>
      <c r="J1060" s="105">
        <v>473.72</v>
      </c>
      <c r="K1060" s="106">
        <f>IF(D1060="CAESARSTONE LTD",VLOOKUP(H1060,'[2]GIA CA'!G:H,2,0),IF(OR(D1060="STONE FACINGS LIMITED",D1060="NORDIA SA",D1060="INVICTUS STONE COUNTERTOPS INC",D1060="QUARTZTOP LLC"),VLOOKUP(H1060,'[2] Giá ngoài Mỹ - SI-GR'!$B$5:$AZ$84,51,0),IF(OR(D1060="HYUNDAI L&amp;C CANADA INC",D1060="Hyundai L&amp; C USA LLC"),VLOOKUP(H1060,'[2]GIA HS'!A:D,4,0),IF(Y1060="Mỹ",VLOOKUP(H1060,'[2]giá mỹ từ 6.8.2025'!B:I,2,0),VLOOKUP(H1060,'[2]giá ngoài mỹ 6.8.2025 (final)'!B:BP,51,0)))))</f>
        <v>59</v>
      </c>
      <c r="L1060" s="106">
        <v>62</v>
      </c>
      <c r="M1060" s="106">
        <f t="shared" si="66"/>
        <v>3</v>
      </c>
      <c r="N1060" s="106">
        <v>62</v>
      </c>
      <c r="O1060" s="107">
        <v>29370.639999999999</v>
      </c>
      <c r="P1060" s="107">
        <v>26040</v>
      </c>
      <c r="Q1060" s="107">
        <v>764811466</v>
      </c>
      <c r="R1060" s="102" t="s">
        <v>30</v>
      </c>
      <c r="S1060" s="108"/>
      <c r="T1060" s="109"/>
      <c r="U1060" s="109"/>
      <c r="V1060" s="102"/>
      <c r="W1060" s="109"/>
      <c r="X1060" s="109"/>
      <c r="Y1060" s="110" t="s">
        <v>369</v>
      </c>
      <c r="Z1060" s="111" t="str">
        <f>MID(E1060,4,2)</f>
        <v>CA</v>
      </c>
    </row>
    <row r="1061" spans="1:26" s="111" customFormat="1" x14ac:dyDescent="0.2">
      <c r="A1061" s="101">
        <v>46248</v>
      </c>
      <c r="B1061" s="91" t="s">
        <v>1274</v>
      </c>
      <c r="C1061" s="102" t="s">
        <v>1275</v>
      </c>
      <c r="D1061" s="103" t="s">
        <v>26</v>
      </c>
      <c r="E1061" s="91" t="s">
        <v>1276</v>
      </c>
      <c r="F1061" s="91" t="s">
        <v>778</v>
      </c>
      <c r="G1061" s="91" t="s">
        <v>779</v>
      </c>
      <c r="H1061" s="104" t="str">
        <f t="shared" si="67"/>
        <v>C6131J20</v>
      </c>
      <c r="I1061" s="104"/>
      <c r="J1061" s="105">
        <v>490.05</v>
      </c>
      <c r="K1061" s="106">
        <f>IF(D1061="CAESARSTONE LTD",VLOOKUP(H1061,'[2]GIA CA'!G:H,2,0),IF(OR(D1061="STONE FACINGS LIMITED",D1061="NORDIA SA",D1061="INVICTUS STONE COUNTERTOPS INC",D1061="QUARTZTOP LLC"),VLOOKUP(H1061,'[2] Giá ngoài Mỹ - SI-GR'!$B$5:$AZ$84,51,0),IF(OR(D1061="HYUNDAI L&amp;C CANADA INC",D1061="Hyundai L&amp; C USA LLC"),VLOOKUP(H1061,'[2]GIA HS'!A:D,4,0),IF(Y1061="Mỹ",VLOOKUP(H1061,'[2]giá mỹ từ 6.8.2025'!B:I,2,0),VLOOKUP(H1061,'[2]giá ngoài mỹ 6.8.2025 (final)'!B:BP,51,0)))))</f>
        <v>59</v>
      </c>
      <c r="L1061" s="106">
        <v>62</v>
      </c>
      <c r="M1061" s="106">
        <f t="shared" si="66"/>
        <v>3</v>
      </c>
      <c r="N1061" s="106">
        <v>62</v>
      </c>
      <c r="O1061" s="107">
        <v>30383.1</v>
      </c>
      <c r="P1061" s="107">
        <v>26040</v>
      </c>
      <c r="Q1061" s="107">
        <v>791175924</v>
      </c>
      <c r="R1061" s="102" t="s">
        <v>30</v>
      </c>
      <c r="S1061" s="108"/>
      <c r="T1061" s="109"/>
      <c r="U1061" s="109"/>
      <c r="V1061" s="102"/>
      <c r="W1061" s="109"/>
      <c r="X1061" s="109"/>
      <c r="Y1061" s="110" t="s">
        <v>369</v>
      </c>
      <c r="Z1061" s="111" t="str">
        <f>MID(E1061,4,2)</f>
        <v>CA</v>
      </c>
    </row>
    <row r="1062" spans="1:26" s="111" customFormat="1" x14ac:dyDescent="0.2">
      <c r="A1062" s="101">
        <v>46248</v>
      </c>
      <c r="B1062" s="91" t="s">
        <v>1277</v>
      </c>
      <c r="C1062" s="102" t="s">
        <v>1278</v>
      </c>
      <c r="D1062" s="103" t="s">
        <v>427</v>
      </c>
      <c r="E1062" s="91" t="s">
        <v>1279</v>
      </c>
      <c r="F1062" s="91" t="s">
        <v>1280</v>
      </c>
      <c r="G1062" s="91" t="s">
        <v>1281</v>
      </c>
      <c r="H1062" s="104" t="str">
        <f t="shared" si="67"/>
        <v>C5331J20</v>
      </c>
      <c r="I1062" s="104"/>
      <c r="J1062" s="105">
        <v>2.4500000000000002</v>
      </c>
      <c r="K1062" s="106"/>
      <c r="L1062" s="106">
        <v>0</v>
      </c>
      <c r="M1062" s="106">
        <f t="shared" si="66"/>
        <v>0</v>
      </c>
      <c r="N1062" s="106">
        <v>72</v>
      </c>
      <c r="O1062" s="107">
        <v>176.4</v>
      </c>
      <c r="P1062" s="107">
        <v>26040</v>
      </c>
      <c r="Q1062" s="107">
        <v>4593456</v>
      </c>
      <c r="R1062" s="102"/>
      <c r="S1062" s="108"/>
      <c r="T1062" s="109"/>
      <c r="U1062" s="109" t="s">
        <v>30</v>
      </c>
      <c r="V1062" s="102"/>
      <c r="W1062" s="109"/>
      <c r="X1062" s="109"/>
      <c r="Y1062" s="110" t="s">
        <v>31</v>
      </c>
      <c r="Z1062" s="111" t="str">
        <f>MID(E1062,4,2)</f>
        <v>JD</v>
      </c>
    </row>
    <row r="1063" spans="1:26" s="111" customFormat="1" x14ac:dyDescent="0.2">
      <c r="A1063" s="101">
        <v>46248</v>
      </c>
      <c r="B1063" s="91" t="s">
        <v>1277</v>
      </c>
      <c r="C1063" s="102" t="s">
        <v>1278</v>
      </c>
      <c r="D1063" s="103" t="s">
        <v>427</v>
      </c>
      <c r="E1063" s="91" t="s">
        <v>1279</v>
      </c>
      <c r="F1063" s="91" t="s">
        <v>226</v>
      </c>
      <c r="G1063" s="91" t="s">
        <v>227</v>
      </c>
      <c r="H1063" s="104" t="str">
        <f t="shared" si="67"/>
        <v>C5331J30</v>
      </c>
      <c r="I1063" s="104"/>
      <c r="J1063" s="105">
        <v>32.67</v>
      </c>
      <c r="K1063" s="106">
        <f>IF(D1063="CAESARSTONE LTD",VLOOKUP(H1063,'[2]GIA CA'!G:H,2,0),IF(OR(D1063="STONE FACINGS LIMITED",D1063="NORDIA SA",D1063="INVICTUS STONE COUNTERTOPS INC",D1063="QUARTZTOP LLC"),VLOOKUP(H1063,'[2] Giá ngoài Mỹ - SI-GR'!$B$5:$AZ$84,51,0),IF(OR(D1063="HYUNDAI L&amp;C CANADA INC",D1063="Hyundai L&amp; C USA LLC"),VLOOKUP(H1063,'[2]GIA HS'!A:D,4,0),IF(Y1063="Mỹ",VLOOKUP(H1063,'[2]giá mỹ từ 6.8.2025'!B:I,2,0),VLOOKUP(H1063,'[2]giá ngoài mỹ 6.8.2025 (final)'!B:BP,51,0)))))</f>
        <v>83</v>
      </c>
      <c r="L1063" s="106">
        <v>88.65</v>
      </c>
      <c r="M1063" s="106">
        <f t="shared" si="66"/>
        <v>5.6500000000000057</v>
      </c>
      <c r="N1063" s="106">
        <v>88.65</v>
      </c>
      <c r="O1063" s="107">
        <v>2896.2</v>
      </c>
      <c r="P1063" s="107">
        <v>26040</v>
      </c>
      <c r="Q1063" s="107">
        <v>75417048</v>
      </c>
      <c r="R1063" s="102" t="s">
        <v>30</v>
      </c>
      <c r="S1063" s="108"/>
      <c r="T1063" s="109"/>
      <c r="U1063" s="109"/>
      <c r="V1063" s="102"/>
      <c r="W1063" s="109"/>
      <c r="X1063" s="109"/>
      <c r="Y1063" s="110" t="s">
        <v>31</v>
      </c>
      <c r="Z1063" s="111" t="str">
        <f>MID(E1063,4,2)</f>
        <v>JD</v>
      </c>
    </row>
    <row r="1064" spans="1:26" s="111" customFormat="1" x14ac:dyDescent="0.2">
      <c r="A1064" s="101">
        <v>46248</v>
      </c>
      <c r="B1064" s="91" t="s">
        <v>1277</v>
      </c>
      <c r="C1064" s="102" t="s">
        <v>1278</v>
      </c>
      <c r="D1064" s="103" t="s">
        <v>427</v>
      </c>
      <c r="E1064" s="91" t="s">
        <v>1279</v>
      </c>
      <c r="F1064" s="91" t="s">
        <v>228</v>
      </c>
      <c r="G1064" s="91" t="s">
        <v>227</v>
      </c>
      <c r="H1064" s="104" t="str">
        <f t="shared" si="67"/>
        <v>C5331J30</v>
      </c>
      <c r="I1064" s="104"/>
      <c r="J1064" s="105">
        <v>261.36</v>
      </c>
      <c r="K1064" s="106">
        <f>IF(D1064="CAESARSTONE LTD",VLOOKUP(H1064,'[2]GIA CA'!G:H,2,0),IF(OR(D1064="STONE FACINGS LIMITED",D1064="NORDIA SA",D1064="INVICTUS STONE COUNTERTOPS INC",D1064="QUARTZTOP LLC"),VLOOKUP(H1064,'[2] Giá ngoài Mỹ - SI-GR'!$B$5:$AZ$84,51,0),IF(OR(D1064="HYUNDAI L&amp;C CANADA INC",D1064="Hyundai L&amp; C USA LLC"),VLOOKUP(H1064,'[2]GIA HS'!A:D,4,0),IF(Y1064="Mỹ",VLOOKUP(H1064,'[2]giá mỹ từ 6.8.2025'!B:I,2,0),VLOOKUP(H1064,'[2]giá ngoài mỹ 6.8.2025 (final)'!B:BP,51,0)))))</f>
        <v>83</v>
      </c>
      <c r="L1064" s="106">
        <v>88.65</v>
      </c>
      <c r="M1064" s="106">
        <f t="shared" si="66"/>
        <v>5.6500000000000057</v>
      </c>
      <c r="N1064" s="106">
        <v>88.65</v>
      </c>
      <c r="O1064" s="107">
        <v>23169.58</v>
      </c>
      <c r="P1064" s="107">
        <v>26040</v>
      </c>
      <c r="Q1064" s="107">
        <v>603335863</v>
      </c>
      <c r="R1064" s="102" t="s">
        <v>30</v>
      </c>
      <c r="S1064" s="108"/>
      <c r="T1064" s="109"/>
      <c r="U1064" s="109"/>
      <c r="V1064" s="102"/>
      <c r="W1064" s="109"/>
      <c r="X1064" s="109"/>
      <c r="Y1064" s="110" t="s">
        <v>31</v>
      </c>
      <c r="Z1064" s="111" t="str">
        <f>MID(E1064,4,2)</f>
        <v>JD</v>
      </c>
    </row>
    <row r="1065" spans="1:26" s="111" customFormat="1" x14ac:dyDescent="0.2">
      <c r="A1065" s="101">
        <v>46248</v>
      </c>
      <c r="B1065" s="91" t="s">
        <v>1282</v>
      </c>
      <c r="C1065" s="102" t="s">
        <v>1283</v>
      </c>
      <c r="D1065" s="103" t="s">
        <v>47</v>
      </c>
      <c r="E1065" s="91" t="s">
        <v>1284</v>
      </c>
      <c r="F1065" s="91" t="s">
        <v>219</v>
      </c>
      <c r="G1065" s="91" t="s">
        <v>220</v>
      </c>
      <c r="H1065" s="104" t="str">
        <f t="shared" si="67"/>
        <v>C2104J20</v>
      </c>
      <c r="I1065" s="104"/>
      <c r="J1065" s="105">
        <v>65.34</v>
      </c>
      <c r="K1065" s="106">
        <f>IF(D1065="CAESARSTONE LTD",VLOOKUP(H1065,'[2]GIA CA'!G:H,2,0),IF(OR(D1065="STONE FACINGS LIMITED",D1065="NORDIA SA",D1065="INVICTUS STONE COUNTERTOPS INC",D1065="QUARTZTOP LLC"),VLOOKUP(H1065,'[2] Giá ngoài Mỹ - SI-GR'!$B$5:$AZ$84,51,0),IF(OR(D1065="HYUNDAI L&amp;C CANADA INC",D1065="Hyundai L&amp; C USA LLC"),VLOOKUP(H1065,'[2]GIA HS'!A:D,4,0),IF(Y1065="Mỹ",VLOOKUP(H1065,'[2]giá mỹ từ 6.8.2025'!B:I,2,0),VLOOKUP(H1065,'[2]giá ngoài mỹ 6.8.2025 (final)'!B:BP,51,0)))))</f>
        <v>57</v>
      </c>
      <c r="L1065" s="106">
        <v>60.9</v>
      </c>
      <c r="M1065" s="106">
        <f t="shared" si="66"/>
        <v>3.8999999999999986</v>
      </c>
      <c r="N1065" s="106">
        <v>60.9</v>
      </c>
      <c r="O1065" s="107">
        <v>3979.16</v>
      </c>
      <c r="P1065" s="107">
        <v>26040</v>
      </c>
      <c r="Q1065" s="107">
        <v>103617326</v>
      </c>
      <c r="R1065" s="102" t="s">
        <v>30</v>
      </c>
      <c r="S1065" s="108"/>
      <c r="T1065" s="109"/>
      <c r="U1065" s="109"/>
      <c r="V1065" s="102"/>
      <c r="W1065" s="109"/>
      <c r="X1065" s="109"/>
      <c r="Y1065" s="110" t="s">
        <v>31</v>
      </c>
      <c r="Z1065" s="111" t="str">
        <f>MID(E1065,4,2)</f>
        <v>AT</v>
      </c>
    </row>
    <row r="1066" spans="1:26" s="111" customFormat="1" x14ac:dyDescent="0.2">
      <c r="A1066" s="101">
        <v>46248</v>
      </c>
      <c r="B1066" s="91" t="s">
        <v>1282</v>
      </c>
      <c r="C1066" s="102" t="s">
        <v>1283</v>
      </c>
      <c r="D1066" s="103" t="s">
        <v>47</v>
      </c>
      <c r="E1066" s="91" t="s">
        <v>1284</v>
      </c>
      <c r="F1066" s="91" t="s">
        <v>424</v>
      </c>
      <c r="G1066" s="91" t="s">
        <v>220</v>
      </c>
      <c r="H1066" s="104" t="str">
        <f t="shared" si="67"/>
        <v>C2104J20</v>
      </c>
      <c r="I1066" s="104"/>
      <c r="J1066" s="105">
        <v>386.6</v>
      </c>
      <c r="K1066" s="106">
        <f>IF(D1066="CAESARSTONE LTD",VLOOKUP(H1066,'[2]GIA CA'!G:H,2,0),IF(OR(D1066="STONE FACINGS LIMITED",D1066="NORDIA SA",D1066="INVICTUS STONE COUNTERTOPS INC",D1066="QUARTZTOP LLC"),VLOOKUP(H1066,'[2] Giá ngoài Mỹ - SI-GR'!$B$5:$AZ$84,51,0),IF(OR(D1066="HYUNDAI L&amp;C CANADA INC",D1066="Hyundai L&amp; C USA LLC"),VLOOKUP(H1066,'[2]GIA HS'!A:D,4,0),IF(Y1066="Mỹ",VLOOKUP(H1066,'[2]giá mỹ từ 6.8.2025'!B:I,2,0),VLOOKUP(H1066,'[2]giá ngoài mỹ 6.8.2025 (final)'!B:BP,51,0)))))</f>
        <v>57</v>
      </c>
      <c r="L1066" s="106">
        <v>60.9</v>
      </c>
      <c r="M1066" s="106">
        <f t="shared" si="66"/>
        <v>3.8999999999999986</v>
      </c>
      <c r="N1066" s="106">
        <v>60.9</v>
      </c>
      <c r="O1066" s="107">
        <v>23543.64</v>
      </c>
      <c r="P1066" s="107">
        <v>26040</v>
      </c>
      <c r="Q1066" s="107">
        <v>613076386</v>
      </c>
      <c r="R1066" s="102" t="s">
        <v>30</v>
      </c>
      <c r="S1066" s="108"/>
      <c r="T1066" s="109"/>
      <c r="U1066" s="109"/>
      <c r="V1066" s="102"/>
      <c r="W1066" s="109"/>
      <c r="X1066" s="109"/>
      <c r="Y1066" s="110" t="s">
        <v>31</v>
      </c>
      <c r="Z1066" s="111" t="str">
        <f>MID(E1066,4,2)</f>
        <v>AT</v>
      </c>
    </row>
    <row r="1067" spans="1:26" s="111" customFormat="1" x14ac:dyDescent="0.2">
      <c r="A1067" s="101">
        <v>46248</v>
      </c>
      <c r="B1067" s="91" t="s">
        <v>1285</v>
      </c>
      <c r="C1067" s="102" t="s">
        <v>1286</v>
      </c>
      <c r="D1067" s="103" t="s">
        <v>47</v>
      </c>
      <c r="E1067" s="91" t="s">
        <v>1287</v>
      </c>
      <c r="F1067" s="91" t="s">
        <v>219</v>
      </c>
      <c r="G1067" s="91" t="s">
        <v>220</v>
      </c>
      <c r="H1067" s="104" t="str">
        <f t="shared" si="67"/>
        <v>C2104J20</v>
      </c>
      <c r="I1067" s="104"/>
      <c r="J1067" s="105">
        <v>152.46</v>
      </c>
      <c r="K1067" s="106">
        <f>IF(D1067="CAESARSTONE LTD",VLOOKUP(H1067,'[2]GIA CA'!G:H,2,0),IF(OR(D1067="STONE FACINGS LIMITED",D1067="NORDIA SA",D1067="INVICTUS STONE COUNTERTOPS INC",D1067="QUARTZTOP LLC"),VLOOKUP(H1067,'[2] Giá ngoài Mỹ - SI-GR'!$B$5:$AZ$84,51,0),IF(OR(D1067="HYUNDAI L&amp;C CANADA INC",D1067="Hyundai L&amp; C USA LLC"),VLOOKUP(H1067,'[2]GIA HS'!A:D,4,0),IF(Y1067="Mỹ",VLOOKUP(H1067,'[2]giá mỹ từ 6.8.2025'!B:I,2,0),VLOOKUP(H1067,'[2]giá ngoài mỹ 6.8.2025 (final)'!B:BP,51,0)))))</f>
        <v>57</v>
      </c>
      <c r="L1067" s="106">
        <v>60.9</v>
      </c>
      <c r="M1067" s="106">
        <f t="shared" si="66"/>
        <v>3.8999999999999986</v>
      </c>
      <c r="N1067" s="106">
        <v>60.9</v>
      </c>
      <c r="O1067" s="107">
        <v>9284.7000000000007</v>
      </c>
      <c r="P1067" s="107">
        <v>26040</v>
      </c>
      <c r="Q1067" s="107">
        <v>241773588</v>
      </c>
      <c r="R1067" s="102" t="s">
        <v>30</v>
      </c>
      <c r="S1067" s="108"/>
      <c r="T1067" s="109"/>
      <c r="U1067" s="109"/>
      <c r="V1067" s="102"/>
      <c r="W1067" s="109"/>
      <c r="X1067" s="109"/>
      <c r="Y1067" s="110" t="s">
        <v>31</v>
      </c>
      <c r="Z1067" s="111" t="str">
        <f>MID(E1067,4,2)</f>
        <v>AT</v>
      </c>
    </row>
    <row r="1068" spans="1:26" s="111" customFormat="1" x14ac:dyDescent="0.2">
      <c r="A1068" s="101">
        <v>46248</v>
      </c>
      <c r="B1068" s="91" t="s">
        <v>1285</v>
      </c>
      <c r="C1068" s="102" t="s">
        <v>1286</v>
      </c>
      <c r="D1068" s="103" t="s">
        <v>47</v>
      </c>
      <c r="E1068" s="91" t="s">
        <v>1287</v>
      </c>
      <c r="F1068" s="91" t="s">
        <v>1288</v>
      </c>
      <c r="G1068" s="91" t="s">
        <v>220</v>
      </c>
      <c r="H1068" s="104" t="str">
        <f t="shared" si="67"/>
        <v>C2104J20</v>
      </c>
      <c r="I1068" s="104"/>
      <c r="J1068" s="105">
        <v>38.119999999999997</v>
      </c>
      <c r="K1068" s="106">
        <f>IF(D1068="CAESARSTONE LTD",VLOOKUP(H1068,'[2]GIA CA'!G:H,2,0),IF(OR(D1068="STONE FACINGS LIMITED",D1068="NORDIA SA",D1068="INVICTUS STONE COUNTERTOPS INC",D1068="QUARTZTOP LLC"),VLOOKUP(H1068,'[2] Giá ngoài Mỹ - SI-GR'!$B$5:$AZ$84,51,0),IF(OR(D1068="HYUNDAI L&amp;C CANADA INC",D1068="Hyundai L&amp; C USA LLC"),VLOOKUP(H1068,'[2]GIA HS'!A:D,4,0),IF(Y1068="Mỹ",VLOOKUP(H1068,'[2]giá mỹ từ 6.8.2025'!B:I,2,0),VLOOKUP(H1068,'[2]giá ngoài mỹ 6.8.2025 (final)'!B:BP,51,0)))))</f>
        <v>57</v>
      </c>
      <c r="L1068" s="106">
        <v>60.9</v>
      </c>
      <c r="M1068" s="106">
        <f t="shared" si="66"/>
        <v>3.8999999999999986</v>
      </c>
      <c r="N1068" s="106">
        <v>60.9</v>
      </c>
      <c r="O1068" s="107">
        <v>2321.48</v>
      </c>
      <c r="P1068" s="107">
        <v>26040</v>
      </c>
      <c r="Q1068" s="107">
        <v>60451339</v>
      </c>
      <c r="R1068" s="102" t="s">
        <v>30</v>
      </c>
      <c r="S1068" s="108"/>
      <c r="T1068" s="109"/>
      <c r="U1068" s="109"/>
      <c r="V1068" s="102"/>
      <c r="W1068" s="109"/>
      <c r="X1068" s="109"/>
      <c r="Y1068" s="110" t="s">
        <v>31</v>
      </c>
      <c r="Z1068" s="111" t="str">
        <f>MID(E1068,4,2)</f>
        <v>AT</v>
      </c>
    </row>
    <row r="1069" spans="1:26" s="111" customFormat="1" x14ac:dyDescent="0.2">
      <c r="A1069" s="101">
        <v>46248</v>
      </c>
      <c r="B1069" s="91" t="s">
        <v>1285</v>
      </c>
      <c r="C1069" s="102" t="s">
        <v>1286</v>
      </c>
      <c r="D1069" s="103" t="s">
        <v>47</v>
      </c>
      <c r="E1069" s="91" t="s">
        <v>1287</v>
      </c>
      <c r="F1069" s="91" t="s">
        <v>424</v>
      </c>
      <c r="G1069" s="91" t="s">
        <v>220</v>
      </c>
      <c r="H1069" s="104" t="str">
        <f t="shared" si="67"/>
        <v>C2104J20</v>
      </c>
      <c r="I1069" s="104"/>
      <c r="J1069" s="105">
        <v>261.36</v>
      </c>
      <c r="K1069" s="106">
        <f>IF(D1069="CAESARSTONE LTD",VLOOKUP(H1069,'[2]GIA CA'!G:H,2,0),IF(OR(D1069="STONE FACINGS LIMITED",D1069="NORDIA SA",D1069="INVICTUS STONE COUNTERTOPS INC",D1069="QUARTZTOP LLC"),VLOOKUP(H1069,'[2] Giá ngoài Mỹ - SI-GR'!$B$5:$AZ$84,51,0),IF(OR(D1069="HYUNDAI L&amp;C CANADA INC",D1069="Hyundai L&amp; C USA LLC"),VLOOKUP(H1069,'[2]GIA HS'!A:D,4,0),IF(Y1069="Mỹ",VLOOKUP(H1069,'[2]giá mỹ từ 6.8.2025'!B:I,2,0),VLOOKUP(H1069,'[2]giá ngoài mỹ 6.8.2025 (final)'!B:BP,51,0)))))</f>
        <v>57</v>
      </c>
      <c r="L1069" s="106">
        <v>60.9</v>
      </c>
      <c r="M1069" s="106">
        <f t="shared" si="66"/>
        <v>3.8999999999999986</v>
      </c>
      <c r="N1069" s="106">
        <v>60.9</v>
      </c>
      <c r="O1069" s="107">
        <v>15916.62</v>
      </c>
      <c r="P1069" s="107">
        <v>26040</v>
      </c>
      <c r="Q1069" s="107">
        <v>414468785</v>
      </c>
      <c r="R1069" s="102" t="s">
        <v>30</v>
      </c>
      <c r="S1069" s="108"/>
      <c r="T1069" s="109"/>
      <c r="U1069" s="109"/>
      <c r="V1069" s="102"/>
      <c r="W1069" s="109"/>
      <c r="X1069" s="109"/>
      <c r="Y1069" s="110" t="s">
        <v>31</v>
      </c>
      <c r="Z1069" s="111" t="str">
        <f>MID(E1069,4,2)</f>
        <v>AT</v>
      </c>
    </row>
    <row r="1070" spans="1:26" s="111" customFormat="1" x14ac:dyDescent="0.2">
      <c r="A1070" s="101">
        <v>46248</v>
      </c>
      <c r="B1070" s="91" t="s">
        <v>1289</v>
      </c>
      <c r="C1070" s="102" t="s">
        <v>1290</v>
      </c>
      <c r="D1070" s="103" t="s">
        <v>427</v>
      </c>
      <c r="E1070" s="91" t="s">
        <v>1291</v>
      </c>
      <c r="F1070" s="91" t="s">
        <v>1292</v>
      </c>
      <c r="G1070" s="91" t="s">
        <v>1293</v>
      </c>
      <c r="H1070" s="104" t="str">
        <f t="shared" si="67"/>
        <v>C5225J20</v>
      </c>
      <c r="I1070" s="104"/>
      <c r="J1070" s="105">
        <v>2.9</v>
      </c>
      <c r="K1070" s="106"/>
      <c r="L1070" s="106">
        <v>0</v>
      </c>
      <c r="M1070" s="106">
        <f t="shared" si="66"/>
        <v>0</v>
      </c>
      <c r="N1070" s="106">
        <v>73</v>
      </c>
      <c r="O1070" s="107">
        <v>211.7</v>
      </c>
      <c r="P1070" s="107">
        <v>26040</v>
      </c>
      <c r="Q1070" s="107">
        <v>5512668</v>
      </c>
      <c r="R1070" s="102"/>
      <c r="S1070" s="108"/>
      <c r="T1070" s="109"/>
      <c r="U1070" s="109" t="s">
        <v>30</v>
      </c>
      <c r="V1070" s="102"/>
      <c r="W1070" s="109"/>
      <c r="X1070" s="109"/>
      <c r="Y1070" s="110" t="s">
        <v>31</v>
      </c>
      <c r="Z1070" s="111" t="str">
        <f>MID(E1070,4,2)</f>
        <v>JD</v>
      </c>
    </row>
    <row r="1071" spans="1:26" s="111" customFormat="1" x14ac:dyDescent="0.2">
      <c r="A1071" s="101">
        <v>46248</v>
      </c>
      <c r="B1071" s="91" t="s">
        <v>1289</v>
      </c>
      <c r="C1071" s="102" t="s">
        <v>1290</v>
      </c>
      <c r="D1071" s="103" t="s">
        <v>427</v>
      </c>
      <c r="E1071" s="91" t="s">
        <v>1291</v>
      </c>
      <c r="F1071" s="91" t="s">
        <v>1294</v>
      </c>
      <c r="G1071" s="91" t="s">
        <v>1295</v>
      </c>
      <c r="H1071" s="104" t="str">
        <f t="shared" si="67"/>
        <v>C5225J30</v>
      </c>
      <c r="I1071" s="104"/>
      <c r="J1071" s="105">
        <v>255.92</v>
      </c>
      <c r="K1071" s="106">
        <f>IF(D1071="CAESARSTONE LTD",VLOOKUP(H1071,'[2]GIA CA'!G:H,2,0),IF(OR(D1071="STONE FACINGS LIMITED",D1071="NORDIA SA",D1071="INVICTUS STONE COUNTERTOPS INC",D1071="QUARTZTOP LLC"),VLOOKUP(H1071,'[2] Giá ngoài Mỹ - SI-GR'!$B$5:$AZ$84,51,0),IF(OR(D1071="HYUNDAI L&amp;C CANADA INC",D1071="Hyundai L&amp; C USA LLC"),VLOOKUP(H1071,'[2]GIA HS'!A:D,4,0),IF(Y1071="Mỹ",VLOOKUP(H1071,'[2]giá mỹ từ 6.8.2025'!B:I,2,0),VLOOKUP(H1071,'[2]giá ngoài mỹ 6.8.2025 (final)'!B:BP,51,0)))))</f>
        <v>91</v>
      </c>
      <c r="L1071" s="106">
        <v>91</v>
      </c>
      <c r="M1071" s="106">
        <f t="shared" si="66"/>
        <v>0</v>
      </c>
      <c r="N1071" s="106">
        <v>87.06</v>
      </c>
      <c r="O1071" s="107">
        <v>22280.39</v>
      </c>
      <c r="P1071" s="107">
        <v>26040</v>
      </c>
      <c r="Q1071" s="107">
        <v>580181356</v>
      </c>
      <c r="R1071" s="102" t="s">
        <v>30</v>
      </c>
      <c r="S1071" s="108"/>
      <c r="T1071" s="109"/>
      <c r="U1071" s="109"/>
      <c r="V1071" s="102"/>
      <c r="W1071" s="109"/>
      <c r="X1071" s="109"/>
      <c r="Y1071" s="110" t="s">
        <v>31</v>
      </c>
      <c r="Z1071" s="111" t="str">
        <f>MID(E1071,4,2)</f>
        <v>JD</v>
      </c>
    </row>
    <row r="1072" spans="1:26" s="111" customFormat="1" x14ac:dyDescent="0.2">
      <c r="A1072" s="101">
        <v>46248</v>
      </c>
      <c r="B1072" s="91" t="s">
        <v>1289</v>
      </c>
      <c r="C1072" s="102" t="s">
        <v>1290</v>
      </c>
      <c r="D1072" s="103" t="s">
        <v>427</v>
      </c>
      <c r="E1072" s="91" t="s">
        <v>1291</v>
      </c>
      <c r="F1072" s="91" t="s">
        <v>1294</v>
      </c>
      <c r="G1072" s="91" t="s">
        <v>1295</v>
      </c>
      <c r="H1072" s="104" t="str">
        <f t="shared" si="67"/>
        <v>C5225J30</v>
      </c>
      <c r="I1072" s="104"/>
      <c r="J1072" s="105">
        <v>27.23</v>
      </c>
      <c r="K1072" s="106">
        <f>IF(D1072="CAESARSTONE LTD",VLOOKUP(H1072,'[2]GIA CA'!G:H,2,0),IF(OR(D1072="STONE FACINGS LIMITED",D1072="NORDIA SA",D1072="INVICTUS STONE COUNTERTOPS INC",D1072="QUARTZTOP LLC"),VLOOKUP(H1072,'[2] Giá ngoài Mỹ - SI-GR'!$B$5:$AZ$84,51,0),IF(OR(D1072="HYUNDAI L&amp;C CANADA INC",D1072="Hyundai L&amp; C USA LLC"),VLOOKUP(H1072,'[2]GIA HS'!A:D,4,0),IF(Y1072="Mỹ",VLOOKUP(H1072,'[2]giá mỹ từ 6.8.2025'!B:I,2,0),VLOOKUP(H1072,'[2]giá ngoài mỹ 6.8.2025 (final)'!B:BP,51,0)))))</f>
        <v>91</v>
      </c>
      <c r="L1072" s="106">
        <v>91</v>
      </c>
      <c r="M1072" s="106">
        <f t="shared" si="66"/>
        <v>0</v>
      </c>
      <c r="N1072" s="106">
        <v>87.06</v>
      </c>
      <c r="O1072" s="107">
        <v>2370.64</v>
      </c>
      <c r="P1072" s="107">
        <v>26040</v>
      </c>
      <c r="Q1072" s="107">
        <v>61731466</v>
      </c>
      <c r="R1072" s="102" t="s">
        <v>30</v>
      </c>
      <c r="S1072" s="108"/>
      <c r="T1072" s="109"/>
      <c r="U1072" s="109"/>
      <c r="V1072" s="102"/>
      <c r="W1072" s="109"/>
      <c r="X1072" s="109"/>
      <c r="Y1072" s="110" t="s">
        <v>31</v>
      </c>
      <c r="Z1072" s="111" t="str">
        <f>MID(E1072,4,2)</f>
        <v>JD</v>
      </c>
    </row>
    <row r="1073" spans="1:26" s="111" customFormat="1" x14ac:dyDescent="0.2">
      <c r="A1073" s="101">
        <v>46248</v>
      </c>
      <c r="B1073" s="91" t="s">
        <v>1289</v>
      </c>
      <c r="C1073" s="102" t="s">
        <v>1290</v>
      </c>
      <c r="D1073" s="103" t="s">
        <v>427</v>
      </c>
      <c r="E1073" s="91" t="s">
        <v>1291</v>
      </c>
      <c r="F1073" s="91" t="s">
        <v>1296</v>
      </c>
      <c r="G1073" s="91" t="s">
        <v>1295</v>
      </c>
      <c r="H1073" s="104" t="str">
        <f t="shared" si="67"/>
        <v>C5225J30</v>
      </c>
      <c r="I1073" s="104"/>
      <c r="J1073" s="105">
        <v>10.88</v>
      </c>
      <c r="K1073" s="106">
        <f>IF(D1073="CAESARSTONE LTD",VLOOKUP(H1073,'[2]GIA CA'!G:H,2,0),IF(OR(D1073="STONE FACINGS LIMITED",D1073="NORDIA SA",D1073="INVICTUS STONE COUNTERTOPS INC",D1073="QUARTZTOP LLC"),VLOOKUP(H1073,'[2] Giá ngoài Mỹ - SI-GR'!$B$5:$AZ$84,51,0),IF(OR(D1073="HYUNDAI L&amp;C CANADA INC",D1073="Hyundai L&amp; C USA LLC"),VLOOKUP(H1073,'[2]GIA HS'!A:D,4,0),IF(Y1073="Mỹ",VLOOKUP(H1073,'[2]giá mỹ từ 6.8.2025'!B:I,2,0),VLOOKUP(H1073,'[2]giá ngoài mỹ 6.8.2025 (final)'!B:BP,51,0)))))</f>
        <v>91</v>
      </c>
      <c r="L1073" s="106">
        <v>91</v>
      </c>
      <c r="M1073" s="106">
        <f t="shared" si="66"/>
        <v>0</v>
      </c>
      <c r="N1073" s="106">
        <v>87.06</v>
      </c>
      <c r="O1073" s="107">
        <v>947.22</v>
      </c>
      <c r="P1073" s="107">
        <v>26040</v>
      </c>
      <c r="Q1073" s="107">
        <v>24665609</v>
      </c>
      <c r="R1073" s="102" t="s">
        <v>30</v>
      </c>
      <c r="S1073" s="108"/>
      <c r="T1073" s="109"/>
      <c r="U1073" s="109"/>
      <c r="V1073" s="102"/>
      <c r="W1073" s="109"/>
      <c r="X1073" s="109"/>
      <c r="Y1073" s="110" t="s">
        <v>31</v>
      </c>
      <c r="Z1073" s="111" t="str">
        <f>MID(E1073,4,2)</f>
        <v>JD</v>
      </c>
    </row>
    <row r="1074" spans="1:26" s="111" customFormat="1" x14ac:dyDescent="0.2">
      <c r="A1074" s="101">
        <v>46248</v>
      </c>
      <c r="B1074" s="91" t="s">
        <v>1297</v>
      </c>
      <c r="C1074" s="102" t="s">
        <v>1298</v>
      </c>
      <c r="D1074" s="103" t="s">
        <v>60</v>
      </c>
      <c r="E1074" s="91" t="s">
        <v>1299</v>
      </c>
      <c r="F1074" s="91" t="s">
        <v>62</v>
      </c>
      <c r="G1074" s="91" t="s">
        <v>63</v>
      </c>
      <c r="H1074" s="104" t="str">
        <f t="shared" si="67"/>
        <v>C4255J30</v>
      </c>
      <c r="I1074" s="104"/>
      <c r="J1074" s="105">
        <v>294.02999999999997</v>
      </c>
      <c r="K1074" s="106">
        <f>IF(D1074="CAESARSTONE LTD",VLOOKUP(H1074,'[2]GIA CA'!G:H,2,0),IF(OR(D1074="STONE FACINGS LIMITED",D1074="NORDIA SA",D1074="INVICTUS STONE COUNTERTOPS INC",D1074="QUARTZTOP LLC"),VLOOKUP(H1074,'[2] Giá ngoài Mỹ - SI-GR'!$B$5:$AZ$84,51,0),IF(OR(D1074="HYUNDAI L&amp;C CANADA INC",D1074="Hyundai L&amp; C USA LLC"),VLOOKUP(H1074,'[2]GIA HS'!A:D,4,0),IF(Y1074="Mỹ",VLOOKUP(H1074,'[2]giá mỹ từ 6.8.2025'!B:I,2,0),VLOOKUP(H1074,'[2]giá ngoài mỹ 6.8.2025 (final)'!B:BP,51,0)))))</f>
        <v>82</v>
      </c>
      <c r="L1074" s="106">
        <v>86.09</v>
      </c>
      <c r="M1074" s="106">
        <f t="shared" si="66"/>
        <v>4.0900000000000034</v>
      </c>
      <c r="N1074" s="106">
        <v>86.09</v>
      </c>
      <c r="O1074" s="107">
        <v>25315.98</v>
      </c>
      <c r="P1074" s="107">
        <v>26040</v>
      </c>
      <c r="Q1074" s="107">
        <v>659228119</v>
      </c>
      <c r="R1074" s="102" t="s">
        <v>30</v>
      </c>
      <c r="S1074" s="108"/>
      <c r="T1074" s="109"/>
      <c r="U1074" s="109"/>
      <c r="V1074" s="102"/>
      <c r="W1074" s="109"/>
      <c r="X1074" s="109"/>
      <c r="Y1074" s="110" t="s">
        <v>31</v>
      </c>
      <c r="Z1074" s="111" t="str">
        <f>MID(E1074,4,2)</f>
        <v>HS</v>
      </c>
    </row>
    <row r="1075" spans="1:26" s="111" customFormat="1" x14ac:dyDescent="0.2">
      <c r="A1075" s="101">
        <v>46248</v>
      </c>
      <c r="B1075" s="91" t="s">
        <v>1297</v>
      </c>
      <c r="C1075" s="102" t="s">
        <v>1298</v>
      </c>
      <c r="D1075" s="103" t="s">
        <v>60</v>
      </c>
      <c r="E1075" s="91" t="s">
        <v>1299</v>
      </c>
      <c r="F1075" s="91" t="s">
        <v>1236</v>
      </c>
      <c r="G1075" s="91" t="s">
        <v>1235</v>
      </c>
      <c r="H1075" s="104" t="str">
        <f t="shared" si="67"/>
        <v>C4264J30</v>
      </c>
      <c r="I1075" s="104"/>
      <c r="J1075" s="105">
        <v>277.7</v>
      </c>
      <c r="K1075" s="106">
        <f>IF(D1075="CAESARSTONE LTD",VLOOKUP(H1075,'[2]GIA CA'!G:H,2,0),IF(OR(D1075="STONE FACINGS LIMITED",D1075="NORDIA SA",D1075="INVICTUS STONE COUNTERTOPS INC",D1075="QUARTZTOP LLC"),VLOOKUP(H1075,'[2] Giá ngoài Mỹ - SI-GR'!$B$5:$AZ$84,51,0),IF(OR(D1075="HYUNDAI L&amp;C CANADA INC",D1075="Hyundai L&amp; C USA LLC"),VLOOKUP(H1075,'[2]GIA HS'!A:D,4,0),IF(Y1075="Mỹ",VLOOKUP(H1075,'[2]giá mỹ từ 6.8.2025'!B:I,2,0),VLOOKUP(H1075,'[2]giá ngoài mỹ 6.8.2025 (final)'!B:BP,51,0)))))</f>
        <v>90</v>
      </c>
      <c r="L1075" s="106">
        <v>94.5</v>
      </c>
      <c r="M1075" s="106">
        <f t="shared" si="66"/>
        <v>4.5</v>
      </c>
      <c r="N1075" s="106">
        <v>94.5</v>
      </c>
      <c r="O1075" s="107">
        <v>26242.65</v>
      </c>
      <c r="P1075" s="107">
        <v>26040</v>
      </c>
      <c r="Q1075" s="107">
        <v>683358606</v>
      </c>
      <c r="R1075" s="102" t="s">
        <v>30</v>
      </c>
      <c r="S1075" s="108"/>
      <c r="T1075" s="109"/>
      <c r="U1075" s="109"/>
      <c r="V1075" s="102"/>
      <c r="W1075" s="109"/>
      <c r="X1075" s="109"/>
      <c r="Y1075" s="110" t="s">
        <v>31</v>
      </c>
      <c r="Z1075" s="111" t="str">
        <f>MID(E1075,4,2)</f>
        <v>HS</v>
      </c>
    </row>
    <row r="1076" spans="1:26" s="111" customFormat="1" x14ac:dyDescent="0.2">
      <c r="A1076" s="101">
        <v>46248</v>
      </c>
      <c r="B1076" s="91" t="s">
        <v>1297</v>
      </c>
      <c r="C1076" s="102" t="s">
        <v>1298</v>
      </c>
      <c r="D1076" s="103" t="s">
        <v>60</v>
      </c>
      <c r="E1076" s="91" t="s">
        <v>1299</v>
      </c>
      <c r="F1076" s="91" t="s">
        <v>1237</v>
      </c>
      <c r="G1076" s="91" t="s">
        <v>1235</v>
      </c>
      <c r="H1076" s="104" t="str">
        <f t="shared" si="67"/>
        <v>C4264J30</v>
      </c>
      <c r="I1076" s="104"/>
      <c r="J1076" s="105">
        <v>10.89</v>
      </c>
      <c r="K1076" s="106">
        <f>IF(D1076="CAESARSTONE LTD",VLOOKUP(H1076,'[2]GIA CA'!G:H,2,0),IF(OR(D1076="STONE FACINGS LIMITED",D1076="NORDIA SA",D1076="INVICTUS STONE COUNTERTOPS INC",D1076="QUARTZTOP LLC"),VLOOKUP(H1076,'[2] Giá ngoài Mỹ - SI-GR'!$B$5:$AZ$84,51,0),IF(OR(D1076="HYUNDAI L&amp;C CANADA INC",D1076="Hyundai L&amp; C USA LLC"),VLOOKUP(H1076,'[2]GIA HS'!A:D,4,0),IF(Y1076="Mỹ",VLOOKUP(H1076,'[2]giá mỹ từ 6.8.2025'!B:I,2,0),VLOOKUP(H1076,'[2]giá ngoài mỹ 6.8.2025 (final)'!B:BP,51,0)))))</f>
        <v>90</v>
      </c>
      <c r="L1076" s="106">
        <v>94.5</v>
      </c>
      <c r="M1076" s="106">
        <f t="shared" si="66"/>
        <v>4.5</v>
      </c>
      <c r="N1076" s="106">
        <v>94.5</v>
      </c>
      <c r="O1076" s="107">
        <v>1029.1099999999999</v>
      </c>
      <c r="P1076" s="107">
        <v>26040</v>
      </c>
      <c r="Q1076" s="107">
        <v>26798024</v>
      </c>
      <c r="R1076" s="102" t="s">
        <v>30</v>
      </c>
      <c r="S1076" s="108"/>
      <c r="T1076" s="109"/>
      <c r="U1076" s="109"/>
      <c r="V1076" s="102"/>
      <c r="W1076" s="109"/>
      <c r="X1076" s="109"/>
      <c r="Y1076" s="110" t="s">
        <v>31</v>
      </c>
      <c r="Z1076" s="111" t="str">
        <f>MID(E1076,4,2)</f>
        <v>HS</v>
      </c>
    </row>
    <row r="1077" spans="1:26" s="111" customFormat="1" x14ac:dyDescent="0.2">
      <c r="A1077" s="101">
        <v>46249</v>
      </c>
      <c r="B1077" s="91" t="s">
        <v>1300</v>
      </c>
      <c r="C1077" s="102" t="s">
        <v>1301</v>
      </c>
      <c r="D1077" s="103" t="s">
        <v>26</v>
      </c>
      <c r="E1077" s="91" t="s">
        <v>1302</v>
      </c>
      <c r="F1077" s="91" t="s">
        <v>1303</v>
      </c>
      <c r="G1077" s="91" t="s">
        <v>1304</v>
      </c>
      <c r="H1077" s="104" t="str">
        <f t="shared" si="67"/>
        <v>C5110J20</v>
      </c>
      <c r="I1077" s="104"/>
      <c r="J1077" s="105">
        <v>0.06</v>
      </c>
      <c r="K1077" s="106">
        <f>IF(D1077="CAESARSTONE LTD",VLOOKUP(H1077,'[2]GIA CA'!G:H,2,0),IF(OR(D1077="STONE FACINGS LIMITED",D1077="NORDIA SA",D1077="INVICTUS STONE COUNTERTOPS INC",D1077="QUARTZTOP LLC"),VLOOKUP(H1077,'[2] Giá ngoài Mỹ - SI-GR'!$B$5:$AZ$84,51,0),IF(OR(D1077="HYUNDAI L&amp;C CANADA INC",D1077="Hyundai L&amp; C USA LLC"),VLOOKUP(H1077,'[2]GIA HS'!A:D,4,0),IF(Y1077="Mỹ",VLOOKUP(H1077,'[2]giá mỹ từ 6.8.2025'!B:I,2,0),VLOOKUP(H1077,'[2]giá ngoài mỹ 6.8.2025 (final)'!B:BP,51,0)))))</f>
        <v>57</v>
      </c>
      <c r="L1077" s="106">
        <v>98.67</v>
      </c>
      <c r="M1077" s="106">
        <f t="shared" si="66"/>
        <v>41.67</v>
      </c>
      <c r="N1077" s="106">
        <v>98.67</v>
      </c>
      <c r="O1077" s="107">
        <v>5.92</v>
      </c>
      <c r="P1077" s="107">
        <v>26040</v>
      </c>
      <c r="Q1077" s="107">
        <v>154157</v>
      </c>
      <c r="R1077" s="102"/>
      <c r="S1077" s="108"/>
      <c r="T1077" s="109" t="s">
        <v>30</v>
      </c>
      <c r="U1077" s="109"/>
      <c r="V1077" s="102"/>
      <c r="W1077" s="109"/>
      <c r="X1077" s="109"/>
      <c r="Y1077" s="110" t="s">
        <v>132</v>
      </c>
      <c r="Z1077" s="111" t="str">
        <f>MID(E1077,4,2)</f>
        <v>CA</v>
      </c>
    </row>
    <row r="1078" spans="1:26" s="111" customFormat="1" x14ac:dyDescent="0.2">
      <c r="A1078" s="101">
        <v>46249</v>
      </c>
      <c r="B1078" s="91" t="s">
        <v>1300</v>
      </c>
      <c r="C1078" s="102" t="s">
        <v>1301</v>
      </c>
      <c r="D1078" s="103" t="s">
        <v>26</v>
      </c>
      <c r="E1078" s="91" t="s">
        <v>1302</v>
      </c>
      <c r="F1078" s="91" t="s">
        <v>188</v>
      </c>
      <c r="G1078" s="91" t="s">
        <v>189</v>
      </c>
      <c r="H1078" s="104" t="str">
        <f t="shared" si="67"/>
        <v>C5133J20</v>
      </c>
      <c r="I1078" s="104"/>
      <c r="J1078" s="105">
        <v>0.06</v>
      </c>
      <c r="K1078" s="106">
        <f>IF(D1078="CAESARSTONE LTD",VLOOKUP(H1078,'[2]GIA CA'!G:H,2,0),IF(OR(D1078="STONE FACINGS LIMITED",D1078="NORDIA SA",D1078="INVICTUS STONE COUNTERTOPS INC",D1078="QUARTZTOP LLC"),VLOOKUP(H1078,'[2] Giá ngoài Mỹ - SI-GR'!$B$5:$AZ$84,51,0),IF(OR(D1078="HYUNDAI L&amp;C CANADA INC",D1078="Hyundai L&amp; C USA LLC"),VLOOKUP(H1078,'[2]GIA HS'!A:D,4,0),IF(Y1078="Mỹ",VLOOKUP(H1078,'[2]giá mỹ từ 6.8.2025'!B:I,2,0),VLOOKUP(H1078,'[2]giá ngoài mỹ 6.8.2025 (final)'!B:BP,51,0)))))</f>
        <v>59</v>
      </c>
      <c r="L1078" s="106">
        <v>98.67</v>
      </c>
      <c r="M1078" s="106">
        <f t="shared" si="66"/>
        <v>39.67</v>
      </c>
      <c r="N1078" s="106">
        <v>98.67</v>
      </c>
      <c r="O1078" s="107">
        <v>5.92</v>
      </c>
      <c r="P1078" s="107">
        <v>26040</v>
      </c>
      <c r="Q1078" s="107">
        <v>154157</v>
      </c>
      <c r="R1078" s="102"/>
      <c r="S1078" s="108"/>
      <c r="T1078" s="109" t="s">
        <v>30</v>
      </c>
      <c r="U1078" s="109"/>
      <c r="V1078" s="102"/>
      <c r="W1078" s="109"/>
      <c r="X1078" s="109"/>
      <c r="Y1078" s="110" t="s">
        <v>132</v>
      </c>
      <c r="Z1078" s="111" t="str">
        <f>MID(E1078,4,2)</f>
        <v>CA</v>
      </c>
    </row>
    <row r="1079" spans="1:26" s="111" customFormat="1" x14ac:dyDescent="0.2">
      <c r="A1079" s="101">
        <v>46249</v>
      </c>
      <c r="B1079" s="91" t="s">
        <v>1300</v>
      </c>
      <c r="C1079" s="102" t="s">
        <v>1301</v>
      </c>
      <c r="D1079" s="103" t="s">
        <v>26</v>
      </c>
      <c r="E1079" s="91" t="s">
        <v>1302</v>
      </c>
      <c r="F1079" s="91" t="s">
        <v>336</v>
      </c>
      <c r="G1079" s="91" t="s">
        <v>337</v>
      </c>
      <c r="H1079" s="104" t="str">
        <f t="shared" si="67"/>
        <v>C6046J20</v>
      </c>
      <c r="I1079" s="104"/>
      <c r="J1079" s="105">
        <v>0.06</v>
      </c>
      <c r="K1079" s="106">
        <f>IF(D1079="CAESARSTONE LTD",VLOOKUP(H1079,'[2]GIA CA'!G:H,2,0),IF(OR(D1079="STONE FACINGS LIMITED",D1079="NORDIA SA",D1079="INVICTUS STONE COUNTERTOPS INC",D1079="QUARTZTOP LLC"),VLOOKUP(H1079,'[2] Giá ngoài Mỹ - SI-GR'!$B$5:$AZ$84,51,0),IF(OR(D1079="HYUNDAI L&amp;C CANADA INC",D1079="Hyundai L&amp; C USA LLC"),VLOOKUP(H1079,'[2]GIA HS'!A:D,4,0),IF(Y1079="Mỹ",VLOOKUP(H1079,'[2]giá mỹ từ 6.8.2025'!B:I,2,0),VLOOKUP(H1079,'[2]giá ngoài mỹ 6.8.2025 (final)'!B:BP,51,0)))))</f>
        <v>59</v>
      </c>
      <c r="L1079" s="106">
        <v>98.67</v>
      </c>
      <c r="M1079" s="106">
        <f t="shared" si="66"/>
        <v>39.67</v>
      </c>
      <c r="N1079" s="106">
        <v>98.67</v>
      </c>
      <c r="O1079" s="107">
        <v>5.92</v>
      </c>
      <c r="P1079" s="107">
        <v>26040</v>
      </c>
      <c r="Q1079" s="107">
        <v>154157</v>
      </c>
      <c r="R1079" s="102"/>
      <c r="S1079" s="108"/>
      <c r="T1079" s="109" t="s">
        <v>30</v>
      </c>
      <c r="U1079" s="109"/>
      <c r="V1079" s="102"/>
      <c r="W1079" s="109"/>
      <c r="X1079" s="109"/>
      <c r="Y1079" s="110" t="s">
        <v>132</v>
      </c>
      <c r="Z1079" s="111" t="str">
        <f>MID(E1079,4,2)</f>
        <v>CA</v>
      </c>
    </row>
    <row r="1080" spans="1:26" s="111" customFormat="1" x14ac:dyDescent="0.2">
      <c r="A1080" s="101">
        <v>46249</v>
      </c>
      <c r="B1080" s="91" t="s">
        <v>1300</v>
      </c>
      <c r="C1080" s="102" t="s">
        <v>1301</v>
      </c>
      <c r="D1080" s="103" t="s">
        <v>26</v>
      </c>
      <c r="E1080" s="91" t="s">
        <v>1302</v>
      </c>
      <c r="F1080" s="91" t="s">
        <v>186</v>
      </c>
      <c r="G1080" s="91" t="s">
        <v>187</v>
      </c>
      <c r="H1080" s="104" t="str">
        <f t="shared" si="67"/>
        <v>C6131J20</v>
      </c>
      <c r="I1080" s="104"/>
      <c r="J1080" s="105">
        <v>0.06</v>
      </c>
      <c r="K1080" s="106">
        <f>IF(D1080="CAESARSTONE LTD",VLOOKUP(H1080,'[2]GIA CA'!G:H,2,0),IF(OR(D1080="STONE FACINGS LIMITED",D1080="NORDIA SA",D1080="INVICTUS STONE COUNTERTOPS INC",D1080="QUARTZTOP LLC"),VLOOKUP(H1080,'[2] Giá ngoài Mỹ - SI-GR'!$B$5:$AZ$84,51,0),IF(OR(D1080="HYUNDAI L&amp;C CANADA INC",D1080="Hyundai L&amp; C USA LLC"),VLOOKUP(H1080,'[2]GIA HS'!A:D,4,0),IF(Y1080="Mỹ",VLOOKUP(H1080,'[2]giá mỹ từ 6.8.2025'!B:I,2,0),VLOOKUP(H1080,'[2]giá ngoài mỹ 6.8.2025 (final)'!B:BP,51,0)))))</f>
        <v>59</v>
      </c>
      <c r="L1080" s="106">
        <v>98.67</v>
      </c>
      <c r="M1080" s="106">
        <f t="shared" si="66"/>
        <v>39.67</v>
      </c>
      <c r="N1080" s="106">
        <v>98.67</v>
      </c>
      <c r="O1080" s="107">
        <v>5.92</v>
      </c>
      <c r="P1080" s="107">
        <v>26040</v>
      </c>
      <c r="Q1080" s="107">
        <v>154157</v>
      </c>
      <c r="R1080" s="102"/>
      <c r="S1080" s="108"/>
      <c r="T1080" s="109" t="s">
        <v>30</v>
      </c>
      <c r="U1080" s="109"/>
      <c r="V1080" s="102"/>
      <c r="W1080" s="109"/>
      <c r="X1080" s="109"/>
      <c r="Y1080" s="110" t="s">
        <v>132</v>
      </c>
      <c r="Z1080" s="111" t="str">
        <f>MID(E1080,4,2)</f>
        <v>CA</v>
      </c>
    </row>
    <row r="1081" spans="1:26" s="111" customFormat="1" x14ac:dyDescent="0.2">
      <c r="A1081" s="101">
        <v>46249</v>
      </c>
      <c r="B1081" s="91" t="s">
        <v>1300</v>
      </c>
      <c r="C1081" s="102" t="s">
        <v>1301</v>
      </c>
      <c r="D1081" s="103" t="s">
        <v>26</v>
      </c>
      <c r="E1081" s="91" t="s">
        <v>1302</v>
      </c>
      <c r="F1081" s="91" t="s">
        <v>190</v>
      </c>
      <c r="G1081" s="91" t="s">
        <v>191</v>
      </c>
      <c r="H1081" s="104" t="str">
        <f t="shared" si="67"/>
        <v>C6313J20</v>
      </c>
      <c r="I1081" s="104"/>
      <c r="J1081" s="105">
        <v>0.06</v>
      </c>
      <c r="K1081" s="106">
        <f>IF(D1081="CAESARSTONE LTD",VLOOKUP(H1081,'[2]GIA CA'!G:H,2,0),IF(OR(D1081="STONE FACINGS LIMITED",D1081="NORDIA SA",D1081="INVICTUS STONE COUNTERTOPS INC",D1081="QUARTZTOP LLC"),VLOOKUP(H1081,'[2] Giá ngoài Mỹ - SI-GR'!$B$5:$AZ$84,51,0),IF(OR(D1081="HYUNDAI L&amp;C CANADA INC",D1081="Hyundai L&amp; C USA LLC"),VLOOKUP(H1081,'[2]GIA HS'!A:D,4,0),IF(Y1081="Mỹ",VLOOKUP(H1081,'[2]giá mỹ từ 6.8.2025'!B:I,2,0),VLOOKUP(H1081,'[2]giá ngoài mỹ 6.8.2025 (final)'!B:BP,51,0)))))</f>
        <v>59</v>
      </c>
      <c r="L1081" s="106">
        <v>134.66999999999999</v>
      </c>
      <c r="M1081" s="106">
        <f t="shared" si="66"/>
        <v>75.669999999999987</v>
      </c>
      <c r="N1081" s="106">
        <v>134.66999999999999</v>
      </c>
      <c r="O1081" s="107">
        <v>8.08</v>
      </c>
      <c r="P1081" s="107">
        <v>26040</v>
      </c>
      <c r="Q1081" s="107">
        <v>210403</v>
      </c>
      <c r="R1081" s="102"/>
      <c r="S1081" s="108"/>
      <c r="T1081" s="109" t="s">
        <v>30</v>
      </c>
      <c r="U1081" s="109"/>
      <c r="V1081" s="102"/>
      <c r="W1081" s="109"/>
      <c r="X1081" s="109"/>
      <c r="Y1081" s="110" t="s">
        <v>132</v>
      </c>
      <c r="Z1081" s="111" t="str">
        <f>MID(E1081,4,2)</f>
        <v>CA</v>
      </c>
    </row>
    <row r="1082" spans="1:26" s="111" customFormat="1" x14ac:dyDescent="0.2">
      <c r="A1082" s="101">
        <v>46249</v>
      </c>
      <c r="B1082" s="91" t="s">
        <v>1300</v>
      </c>
      <c r="C1082" s="102" t="s">
        <v>1301</v>
      </c>
      <c r="D1082" s="103" t="s">
        <v>26</v>
      </c>
      <c r="E1082" s="91" t="s">
        <v>1302</v>
      </c>
      <c r="F1082" s="91" t="s">
        <v>1305</v>
      </c>
      <c r="G1082" s="91" t="s">
        <v>1306</v>
      </c>
      <c r="H1082" s="104" t="str">
        <f t="shared" si="67"/>
        <v>C5133J20</v>
      </c>
      <c r="I1082" s="104"/>
      <c r="J1082" s="105">
        <v>0.04</v>
      </c>
      <c r="K1082" s="106">
        <f>IF(D1082="CAESARSTONE LTD",VLOOKUP(H1082,'[2]GIA CA'!G:H,2,0),IF(OR(D1082="STONE FACINGS LIMITED",D1082="NORDIA SA",D1082="INVICTUS STONE COUNTERTOPS INC",D1082="QUARTZTOP LLC"),VLOOKUP(H1082,'[2] Giá ngoài Mỹ - SI-GR'!$B$5:$AZ$84,51,0),IF(OR(D1082="HYUNDAI L&amp;C CANADA INC",D1082="Hyundai L&amp; C USA LLC"),VLOOKUP(H1082,'[2]GIA HS'!A:D,4,0),IF(Y1082="Mỹ",VLOOKUP(H1082,'[2]giá mỹ từ 6.8.2025'!B:I,2,0),VLOOKUP(H1082,'[2]giá ngoài mỹ 6.8.2025 (final)'!B:BP,51,0)))))</f>
        <v>59</v>
      </c>
      <c r="L1082" s="106">
        <v>96</v>
      </c>
      <c r="M1082" s="106">
        <f t="shared" si="66"/>
        <v>37</v>
      </c>
      <c r="N1082" s="106">
        <v>96</v>
      </c>
      <c r="O1082" s="107">
        <v>3.84</v>
      </c>
      <c r="P1082" s="107">
        <v>26040</v>
      </c>
      <c r="Q1082" s="107">
        <v>99994</v>
      </c>
      <c r="R1082" s="102"/>
      <c r="S1082" s="108"/>
      <c r="T1082" s="109" t="s">
        <v>30</v>
      </c>
      <c r="U1082" s="109"/>
      <c r="V1082" s="102"/>
      <c r="W1082" s="109"/>
      <c r="X1082" s="109"/>
      <c r="Y1082" s="110" t="s">
        <v>132</v>
      </c>
      <c r="Z1082" s="111" t="str">
        <f>MID(E1082,4,2)</f>
        <v>CA</v>
      </c>
    </row>
    <row r="1083" spans="1:26" s="111" customFormat="1" x14ac:dyDescent="0.2">
      <c r="A1083" s="101">
        <v>46249</v>
      </c>
      <c r="B1083" s="91" t="s">
        <v>1300</v>
      </c>
      <c r="C1083" s="102" t="s">
        <v>1301</v>
      </c>
      <c r="D1083" s="103" t="s">
        <v>26</v>
      </c>
      <c r="E1083" s="91" t="s">
        <v>1302</v>
      </c>
      <c r="F1083" s="91" t="s">
        <v>1307</v>
      </c>
      <c r="G1083" s="91" t="s">
        <v>1308</v>
      </c>
      <c r="H1083" s="104" t="str">
        <f t="shared" si="67"/>
        <v>C6046J20</v>
      </c>
      <c r="I1083" s="104"/>
      <c r="J1083" s="105">
        <v>0.04</v>
      </c>
      <c r="K1083" s="106">
        <f>IF(D1083="CAESARSTONE LTD",VLOOKUP(H1083,'[2]GIA CA'!G:H,2,0),IF(OR(D1083="STONE FACINGS LIMITED",D1083="NORDIA SA",D1083="INVICTUS STONE COUNTERTOPS INC",D1083="QUARTZTOP LLC"),VLOOKUP(H1083,'[2] Giá ngoài Mỹ - SI-GR'!$B$5:$AZ$84,51,0),IF(OR(D1083="HYUNDAI L&amp;C CANADA INC",D1083="Hyundai L&amp; C USA LLC"),VLOOKUP(H1083,'[2]GIA HS'!A:D,4,0),IF(Y1083="Mỹ",VLOOKUP(H1083,'[2]giá mỹ từ 6.8.2025'!B:I,2,0),VLOOKUP(H1083,'[2]giá ngoài mỹ 6.8.2025 (final)'!B:BP,51,0)))))</f>
        <v>59</v>
      </c>
      <c r="L1083" s="106">
        <v>96</v>
      </c>
      <c r="M1083" s="106">
        <f t="shared" si="66"/>
        <v>37</v>
      </c>
      <c r="N1083" s="106">
        <v>96</v>
      </c>
      <c r="O1083" s="107">
        <v>3.84</v>
      </c>
      <c r="P1083" s="107">
        <v>26040</v>
      </c>
      <c r="Q1083" s="107">
        <v>99994</v>
      </c>
      <c r="R1083" s="102"/>
      <c r="S1083" s="108"/>
      <c r="T1083" s="109" t="s">
        <v>30</v>
      </c>
      <c r="U1083" s="109"/>
      <c r="V1083" s="102"/>
      <c r="W1083" s="109"/>
      <c r="X1083" s="109"/>
      <c r="Y1083" s="110" t="s">
        <v>132</v>
      </c>
      <c r="Z1083" s="111" t="str">
        <f>MID(E1083,4,2)</f>
        <v>CA</v>
      </c>
    </row>
    <row r="1084" spans="1:26" s="111" customFormat="1" x14ac:dyDescent="0.2">
      <c r="A1084" s="101">
        <v>46249</v>
      </c>
      <c r="B1084" s="91" t="s">
        <v>1300</v>
      </c>
      <c r="C1084" s="102" t="s">
        <v>1301</v>
      </c>
      <c r="D1084" s="103" t="s">
        <v>26</v>
      </c>
      <c r="E1084" s="91" t="s">
        <v>1302</v>
      </c>
      <c r="F1084" s="91" t="s">
        <v>1309</v>
      </c>
      <c r="G1084" s="91" t="s">
        <v>1310</v>
      </c>
      <c r="H1084" s="104" t="str">
        <f t="shared" si="67"/>
        <v>C6131J20</v>
      </c>
      <c r="I1084" s="104"/>
      <c r="J1084" s="105">
        <v>0.04</v>
      </c>
      <c r="K1084" s="106">
        <f>IF(D1084="CAESARSTONE LTD",VLOOKUP(H1084,'[2]GIA CA'!G:H,2,0),IF(OR(D1084="STONE FACINGS LIMITED",D1084="NORDIA SA",D1084="INVICTUS STONE COUNTERTOPS INC",D1084="QUARTZTOP LLC"),VLOOKUP(H1084,'[2] Giá ngoài Mỹ - SI-GR'!$B$5:$AZ$84,51,0),IF(OR(D1084="HYUNDAI L&amp;C CANADA INC",D1084="Hyundai L&amp; C USA LLC"),VLOOKUP(H1084,'[2]GIA HS'!A:D,4,0),IF(Y1084="Mỹ",VLOOKUP(H1084,'[2]giá mỹ từ 6.8.2025'!B:I,2,0),VLOOKUP(H1084,'[2]giá ngoài mỹ 6.8.2025 (final)'!B:BP,51,0)))))</f>
        <v>59</v>
      </c>
      <c r="L1084" s="106">
        <v>96</v>
      </c>
      <c r="M1084" s="106">
        <f t="shared" si="66"/>
        <v>37</v>
      </c>
      <c r="N1084" s="106">
        <v>96</v>
      </c>
      <c r="O1084" s="107">
        <v>3.84</v>
      </c>
      <c r="P1084" s="107">
        <v>26040</v>
      </c>
      <c r="Q1084" s="107">
        <v>99994</v>
      </c>
      <c r="R1084" s="102"/>
      <c r="S1084" s="108"/>
      <c r="T1084" s="109" t="s">
        <v>30</v>
      </c>
      <c r="U1084" s="109"/>
      <c r="V1084" s="102"/>
      <c r="W1084" s="109"/>
      <c r="X1084" s="109"/>
      <c r="Y1084" s="110" t="s">
        <v>132</v>
      </c>
      <c r="Z1084" s="111" t="str">
        <f>MID(E1084,4,2)</f>
        <v>CA</v>
      </c>
    </row>
    <row r="1085" spans="1:26" s="111" customFormat="1" x14ac:dyDescent="0.2">
      <c r="A1085" s="101">
        <v>46249</v>
      </c>
      <c r="B1085" s="91" t="s">
        <v>1311</v>
      </c>
      <c r="C1085" s="102" t="s">
        <v>1312</v>
      </c>
      <c r="D1085" s="103" t="s">
        <v>26</v>
      </c>
      <c r="E1085" s="91" t="s">
        <v>1313</v>
      </c>
      <c r="F1085" s="91" t="s">
        <v>895</v>
      </c>
      <c r="G1085" s="91" t="s">
        <v>896</v>
      </c>
      <c r="H1085" s="104" t="str">
        <f t="shared" si="67"/>
        <v>C4143J30</v>
      </c>
      <c r="I1085" s="104"/>
      <c r="J1085" s="105">
        <v>228.69</v>
      </c>
      <c r="K1085" s="106">
        <f>IF(D1085="CAESARSTONE LTD",VLOOKUP(H1085,'[2]GIA CA'!G:H,2,0),IF(OR(D1085="STONE FACINGS LIMITED",D1085="NORDIA SA",D1085="INVICTUS STONE COUNTERTOPS INC",D1085="QUARTZTOP LLC"),VLOOKUP(H1085,'[2] Giá ngoài Mỹ - SI-GR'!$B$5:$AZ$84,51,0),IF(OR(D1085="HYUNDAI L&amp;C CANADA INC",D1085="Hyundai L&amp; C USA LLC"),VLOOKUP(H1085,'[2]GIA HS'!A:D,4,0),IF(Y1085="Mỹ",VLOOKUP(H1085,'[2]giá mỹ từ 6.8.2025'!B:I,2,0),VLOOKUP(H1085,'[2]giá ngoài mỹ 6.8.2025 (final)'!B:BP,51,0)))))</f>
        <v>71.3</v>
      </c>
      <c r="L1085" s="106">
        <v>75</v>
      </c>
      <c r="M1085" s="106">
        <f t="shared" si="66"/>
        <v>3.7000000000000028</v>
      </c>
      <c r="N1085" s="106">
        <v>75</v>
      </c>
      <c r="O1085" s="107">
        <v>17151.75</v>
      </c>
      <c r="P1085" s="107">
        <v>26040</v>
      </c>
      <c r="Q1085" s="107">
        <v>446631570</v>
      </c>
      <c r="R1085" s="102" t="s">
        <v>30</v>
      </c>
      <c r="S1085" s="108"/>
      <c r="T1085" s="109"/>
      <c r="U1085" s="109"/>
      <c r="V1085" s="102"/>
      <c r="W1085" s="109"/>
      <c r="X1085" s="109"/>
      <c r="Y1085" s="110" t="s">
        <v>31</v>
      </c>
      <c r="Z1085" s="111" t="str">
        <f>MID(E1085,4,2)</f>
        <v>CA</v>
      </c>
    </row>
    <row r="1086" spans="1:26" s="111" customFormat="1" x14ac:dyDescent="0.2">
      <c r="A1086" s="101">
        <v>46249</v>
      </c>
      <c r="B1086" s="91" t="s">
        <v>1311</v>
      </c>
      <c r="C1086" s="102" t="s">
        <v>1312</v>
      </c>
      <c r="D1086" s="103" t="s">
        <v>26</v>
      </c>
      <c r="E1086" s="91" t="s">
        <v>1313</v>
      </c>
      <c r="F1086" s="91" t="s">
        <v>88</v>
      </c>
      <c r="G1086" s="91" t="s">
        <v>89</v>
      </c>
      <c r="H1086" s="104" t="str">
        <f t="shared" si="67"/>
        <v>F5131J20</v>
      </c>
      <c r="I1086" s="104"/>
      <c r="J1086" s="105">
        <v>108.9</v>
      </c>
      <c r="K1086" s="106">
        <f>IF(D1086="CAESARSTONE LTD",VLOOKUP(H1086,'[2]GIA CA'!G:H,2,0),IF(OR(D1086="STONE FACINGS LIMITED",D1086="NORDIA SA",D1086="INVICTUS STONE COUNTERTOPS INC",D1086="QUARTZTOP LLC"),VLOOKUP(H1086,'[2] Giá ngoài Mỹ - SI-GR'!$B$5:$AZ$84,51,0),IF(OR(D1086="HYUNDAI L&amp;C CANADA INC",D1086="Hyundai L&amp; C USA LLC"),VLOOKUP(H1086,'[2]GIA HS'!A:D,4,0),IF(Y1086="Mỹ",VLOOKUP(H1086,'[2]giá mỹ từ 6.8.2025'!B:I,2,0),VLOOKUP(H1086,'[2]giá ngoài mỹ 6.8.2025 (final)'!B:BP,51,0)))))</f>
        <v>60</v>
      </c>
      <c r="L1086" s="106">
        <v>63</v>
      </c>
      <c r="M1086" s="106">
        <f t="shared" si="66"/>
        <v>3</v>
      </c>
      <c r="N1086" s="106">
        <v>63</v>
      </c>
      <c r="O1086" s="107">
        <v>6860.8</v>
      </c>
      <c r="P1086" s="107">
        <v>26040</v>
      </c>
      <c r="Q1086" s="107">
        <v>178655232</v>
      </c>
      <c r="R1086" s="102" t="s">
        <v>30</v>
      </c>
      <c r="S1086" s="108"/>
      <c r="T1086" s="109"/>
      <c r="U1086" s="109"/>
      <c r="V1086" s="102"/>
      <c r="W1086" s="109"/>
      <c r="X1086" s="109"/>
      <c r="Y1086" s="110" t="s">
        <v>31</v>
      </c>
      <c r="Z1086" s="111" t="str">
        <f>MID(E1086,4,2)</f>
        <v>CA</v>
      </c>
    </row>
    <row r="1087" spans="1:26" s="111" customFormat="1" x14ac:dyDescent="0.2">
      <c r="A1087" s="101">
        <v>46249</v>
      </c>
      <c r="B1087" s="91" t="s">
        <v>1311</v>
      </c>
      <c r="C1087" s="102" t="s">
        <v>1312</v>
      </c>
      <c r="D1087" s="103" t="s">
        <v>26</v>
      </c>
      <c r="E1087" s="91" t="s">
        <v>1313</v>
      </c>
      <c r="F1087" s="91" t="s">
        <v>895</v>
      </c>
      <c r="G1087" s="91" t="s">
        <v>896</v>
      </c>
      <c r="H1087" s="104" t="str">
        <f t="shared" si="67"/>
        <v>C4143J30</v>
      </c>
      <c r="I1087" s="104"/>
      <c r="J1087" s="105">
        <v>266.81</v>
      </c>
      <c r="K1087" s="106">
        <f>IF(D1087="CAESARSTONE LTD",VLOOKUP(H1087,'[2]GIA CA'!G:H,2,0),IF(OR(D1087="STONE FACINGS LIMITED",D1087="NORDIA SA",D1087="INVICTUS STONE COUNTERTOPS INC",D1087="QUARTZTOP LLC"),VLOOKUP(H1087,'[2] Giá ngoài Mỹ - SI-GR'!$B$5:$AZ$84,51,0),IF(OR(D1087="HYUNDAI L&amp;C CANADA INC",D1087="Hyundai L&amp; C USA LLC"),VLOOKUP(H1087,'[2]GIA HS'!A:D,4,0),IF(Y1087="Mỹ",VLOOKUP(H1087,'[2]giá mỹ từ 6.8.2025'!B:I,2,0),VLOOKUP(H1087,'[2]giá ngoài mỹ 6.8.2025 (final)'!B:BP,51,0)))))</f>
        <v>71.3</v>
      </c>
      <c r="L1087" s="106">
        <v>75</v>
      </c>
      <c r="M1087" s="106">
        <f t="shared" si="66"/>
        <v>3.7000000000000028</v>
      </c>
      <c r="N1087" s="106">
        <v>75</v>
      </c>
      <c r="O1087" s="107">
        <v>20010.75</v>
      </c>
      <c r="P1087" s="107">
        <v>26040</v>
      </c>
      <c r="Q1087" s="107">
        <v>521079930</v>
      </c>
      <c r="R1087" s="102" t="s">
        <v>30</v>
      </c>
      <c r="S1087" s="108"/>
      <c r="T1087" s="109"/>
      <c r="U1087" s="109"/>
      <c r="V1087" s="102"/>
      <c r="W1087" s="109"/>
      <c r="X1087" s="109"/>
      <c r="Y1087" s="110" t="s">
        <v>31</v>
      </c>
      <c r="Z1087" s="111" t="str">
        <f>MID(E1087,4,2)</f>
        <v>CA</v>
      </c>
    </row>
    <row r="1088" spans="1:26" s="111" customFormat="1" x14ac:dyDescent="0.2">
      <c r="A1088" s="101">
        <v>46249</v>
      </c>
      <c r="B1088" s="91" t="s">
        <v>1311</v>
      </c>
      <c r="C1088" s="102" t="s">
        <v>1312</v>
      </c>
      <c r="D1088" s="103" t="s">
        <v>26</v>
      </c>
      <c r="E1088" s="91" t="s">
        <v>1313</v>
      </c>
      <c r="F1088" s="91" t="s">
        <v>239</v>
      </c>
      <c r="G1088" s="91" t="s">
        <v>240</v>
      </c>
      <c r="H1088" s="104" t="str">
        <f t="shared" si="67"/>
        <v>F5144J30</v>
      </c>
      <c r="I1088" s="104"/>
      <c r="J1088" s="105">
        <v>38.119999999999997</v>
      </c>
      <c r="K1088" s="106">
        <f>IF(D1088="CAESARSTONE LTD",VLOOKUP(H1088,'[2]GIA CA'!G:H,2,0),IF(OR(D1088="STONE FACINGS LIMITED",D1088="NORDIA SA",D1088="INVICTUS STONE COUNTERTOPS INC",D1088="QUARTZTOP LLC"),VLOOKUP(H1088,'[2] Giá ngoài Mỹ - SI-GR'!$B$5:$AZ$84,51,0),IF(OR(D1088="HYUNDAI L&amp;C CANADA INC",D1088="Hyundai L&amp; C USA LLC"),VLOOKUP(H1088,'[2]GIA HS'!A:D,4,0),IF(Y1088="Mỹ",VLOOKUP(H1088,'[2]giá mỹ từ 6.8.2025'!B:I,2,0),VLOOKUP(H1088,'[2]giá ngoài mỹ 6.8.2025 (final)'!B:BP,51,0)))))</f>
        <v>77.5</v>
      </c>
      <c r="L1088" s="106">
        <v>78.790000000000006</v>
      </c>
      <c r="M1088" s="106">
        <f t="shared" si="66"/>
        <v>1.2900000000000063</v>
      </c>
      <c r="N1088" s="106">
        <v>78.790000000000006</v>
      </c>
      <c r="O1088" s="107">
        <v>3003.43</v>
      </c>
      <c r="P1088" s="107">
        <v>26040</v>
      </c>
      <c r="Q1088" s="107">
        <v>78209317</v>
      </c>
      <c r="R1088" s="102" t="s">
        <v>30</v>
      </c>
      <c r="S1088" s="108"/>
      <c r="T1088" s="109"/>
      <c r="U1088" s="109"/>
      <c r="V1088" s="102"/>
      <c r="W1088" s="109"/>
      <c r="X1088" s="109"/>
      <c r="Y1088" s="110" t="s">
        <v>31</v>
      </c>
      <c r="Z1088" s="111" t="str">
        <f>MID(E1088,4,2)</f>
        <v>CA</v>
      </c>
    </row>
    <row r="1089" spans="1:26" s="111" customFormat="1" x14ac:dyDescent="0.2">
      <c r="A1089" s="101">
        <v>46249</v>
      </c>
      <c r="B1089" s="91" t="s">
        <v>1314</v>
      </c>
      <c r="C1089" s="102" t="s">
        <v>1315</v>
      </c>
      <c r="D1089" s="103" t="s">
        <v>26</v>
      </c>
      <c r="E1089" s="91" t="s">
        <v>1316</v>
      </c>
      <c r="F1089" s="91" t="s">
        <v>336</v>
      </c>
      <c r="G1089" s="91" t="s">
        <v>337</v>
      </c>
      <c r="H1089" s="104" t="str">
        <f t="shared" si="67"/>
        <v>C6046J20</v>
      </c>
      <c r="I1089" s="104"/>
      <c r="J1089" s="105">
        <v>0.06</v>
      </c>
      <c r="K1089" s="106">
        <f>IF(D1089="CAESARSTONE LTD",VLOOKUP(H1089,'[2]GIA CA'!G:H,2,0),IF(OR(D1089="STONE FACINGS LIMITED",D1089="NORDIA SA",D1089="INVICTUS STONE COUNTERTOPS INC",D1089="QUARTZTOP LLC"),VLOOKUP(H1089,'[2] Giá ngoài Mỹ - SI-GR'!$B$5:$AZ$84,51,0),IF(OR(D1089="HYUNDAI L&amp;C CANADA INC",D1089="Hyundai L&amp; C USA LLC"),VLOOKUP(H1089,'[2]GIA HS'!A:D,4,0),IF(Y1089="Mỹ",VLOOKUP(H1089,'[2]giá mỹ từ 6.8.2025'!B:I,2,0),VLOOKUP(H1089,'[2]giá ngoài mỹ 6.8.2025 (final)'!B:BP,51,0)))))</f>
        <v>59</v>
      </c>
      <c r="L1089" s="106">
        <v>98.67</v>
      </c>
      <c r="M1089" s="106">
        <f t="shared" si="66"/>
        <v>39.67</v>
      </c>
      <c r="N1089" s="106">
        <v>98.67</v>
      </c>
      <c r="O1089" s="107">
        <v>5.92</v>
      </c>
      <c r="P1089" s="107">
        <v>26040</v>
      </c>
      <c r="Q1089" s="107">
        <v>154157</v>
      </c>
      <c r="R1089" s="102"/>
      <c r="S1089" s="108"/>
      <c r="T1089" s="109" t="s">
        <v>30</v>
      </c>
      <c r="U1089" s="109"/>
      <c r="V1089" s="102"/>
      <c r="W1089" s="109"/>
      <c r="X1089" s="109"/>
      <c r="Y1089" s="110" t="s">
        <v>31</v>
      </c>
      <c r="Z1089" s="111" t="str">
        <f>MID(E1089,4,2)</f>
        <v>CA</v>
      </c>
    </row>
    <row r="1090" spans="1:26" s="111" customFormat="1" x14ac:dyDescent="0.2">
      <c r="A1090" s="101">
        <v>46249</v>
      </c>
      <c r="B1090" s="91" t="s">
        <v>1314</v>
      </c>
      <c r="C1090" s="102" t="s">
        <v>1315</v>
      </c>
      <c r="D1090" s="103" t="s">
        <v>26</v>
      </c>
      <c r="E1090" s="91" t="s">
        <v>1316</v>
      </c>
      <c r="F1090" s="91" t="s">
        <v>190</v>
      </c>
      <c r="G1090" s="91" t="s">
        <v>191</v>
      </c>
      <c r="H1090" s="104" t="str">
        <f t="shared" si="67"/>
        <v>C6313J20</v>
      </c>
      <c r="I1090" s="104"/>
      <c r="J1090" s="105">
        <v>0.06</v>
      </c>
      <c r="K1090" s="106">
        <f>IF(D1090="CAESARSTONE LTD",VLOOKUP(H1090,'[2]GIA CA'!G:H,2,0),IF(OR(D1090="STONE FACINGS LIMITED",D1090="NORDIA SA",D1090="INVICTUS STONE COUNTERTOPS INC",D1090="QUARTZTOP LLC"),VLOOKUP(H1090,'[2] Giá ngoài Mỹ - SI-GR'!$B$5:$AZ$84,51,0),IF(OR(D1090="HYUNDAI L&amp;C CANADA INC",D1090="Hyundai L&amp; C USA LLC"),VLOOKUP(H1090,'[2]GIA HS'!A:D,4,0),IF(Y1090="Mỹ",VLOOKUP(H1090,'[2]giá mỹ từ 6.8.2025'!B:I,2,0),VLOOKUP(H1090,'[2]giá ngoài mỹ 6.8.2025 (final)'!B:BP,51,0)))))</f>
        <v>59</v>
      </c>
      <c r="L1090" s="106">
        <v>98.67</v>
      </c>
      <c r="M1090" s="106">
        <f t="shared" si="66"/>
        <v>39.67</v>
      </c>
      <c r="N1090" s="106">
        <v>98.67</v>
      </c>
      <c r="O1090" s="107">
        <v>5.92</v>
      </c>
      <c r="P1090" s="107">
        <v>26040</v>
      </c>
      <c r="Q1090" s="107">
        <v>154157</v>
      </c>
      <c r="R1090" s="102"/>
      <c r="S1090" s="108"/>
      <c r="T1090" s="109" t="s">
        <v>30</v>
      </c>
      <c r="U1090" s="109"/>
      <c r="V1090" s="102"/>
      <c r="W1090" s="109"/>
      <c r="X1090" s="109"/>
      <c r="Y1090" s="110" t="s">
        <v>31</v>
      </c>
      <c r="Z1090" s="111" t="str">
        <f>MID(E1090,4,2)</f>
        <v>CA</v>
      </c>
    </row>
    <row r="1091" spans="1:26" s="111" customFormat="1" x14ac:dyDescent="0.2">
      <c r="A1091" s="101">
        <v>46249</v>
      </c>
      <c r="B1091" s="91" t="s">
        <v>1317</v>
      </c>
      <c r="C1091" s="102" t="s">
        <v>1318</v>
      </c>
      <c r="D1091" s="103" t="s">
        <v>26</v>
      </c>
      <c r="E1091" s="91" t="s">
        <v>1319</v>
      </c>
      <c r="F1091" s="91" t="s">
        <v>1320</v>
      </c>
      <c r="G1091" s="91" t="s">
        <v>1321</v>
      </c>
      <c r="H1091" s="104" t="str">
        <f t="shared" si="67"/>
        <v>C5115J20</v>
      </c>
      <c r="I1091" s="104"/>
      <c r="J1091" s="105">
        <v>0.63</v>
      </c>
      <c r="K1091" s="106">
        <f>IF(D1091="CAESARSTONE LTD",VLOOKUP(H1091,'[2]GIA CA'!G:H,2,0),IF(OR(D1091="STONE FACINGS LIMITED",D1091="NORDIA SA",D1091="INVICTUS STONE COUNTERTOPS INC",D1091="QUARTZTOP LLC"),VLOOKUP(H1091,'[2] Giá ngoài Mỹ - SI-GR'!$B$5:$AZ$84,51,0),IF(OR(D1091="HYUNDAI L&amp;C CANADA INC",D1091="Hyundai L&amp; C USA LLC"),VLOOKUP(H1091,'[2]GIA HS'!A:D,4,0),IF(Y1091="Mỹ",VLOOKUP(H1091,'[2]giá mỹ từ 6.8.2025'!B:I,2,0),VLOOKUP(H1091,'[2]giá ngoài mỹ 6.8.2025 (final)'!B:BP,51,0)))))</f>
        <v>65</v>
      </c>
      <c r="L1091" s="106">
        <v>128.25</v>
      </c>
      <c r="M1091" s="106">
        <f t="shared" si="66"/>
        <v>63.25</v>
      </c>
      <c r="N1091" s="106">
        <v>128.25</v>
      </c>
      <c r="O1091" s="107">
        <v>80.8</v>
      </c>
      <c r="P1091" s="107">
        <v>26040</v>
      </c>
      <c r="Q1091" s="107">
        <v>2104032</v>
      </c>
      <c r="R1091" s="102"/>
      <c r="S1091" s="108"/>
      <c r="T1091" s="109" t="s">
        <v>30</v>
      </c>
      <c r="U1091" s="109"/>
      <c r="V1091" s="102"/>
      <c r="W1091" s="109"/>
      <c r="X1091" s="109"/>
      <c r="Y1091" s="110" t="s">
        <v>803</v>
      </c>
      <c r="Z1091" s="111" t="str">
        <f>MID(E1091,4,2)</f>
        <v>CA</v>
      </c>
    </row>
    <row r="1092" spans="1:26" s="111" customFormat="1" x14ac:dyDescent="0.2">
      <c r="A1092" s="101">
        <v>46249</v>
      </c>
      <c r="B1092" s="91" t="s">
        <v>1317</v>
      </c>
      <c r="C1092" s="102" t="s">
        <v>1318</v>
      </c>
      <c r="D1092" s="103" t="s">
        <v>26</v>
      </c>
      <c r="E1092" s="91" t="s">
        <v>1319</v>
      </c>
      <c r="F1092" s="91" t="s">
        <v>1322</v>
      </c>
      <c r="G1092" s="91" t="s">
        <v>1323</v>
      </c>
      <c r="H1092" s="104" t="str">
        <f t="shared" si="67"/>
        <v>C5116J20</v>
      </c>
      <c r="I1092" s="104"/>
      <c r="J1092" s="105">
        <v>0.94</v>
      </c>
      <c r="K1092" s="106">
        <f>IF(D1092="CAESARSTONE LTD",VLOOKUP(H1092,'[2]GIA CA'!G:H,2,0),IF(OR(D1092="STONE FACINGS LIMITED",D1092="NORDIA SA",D1092="INVICTUS STONE COUNTERTOPS INC",D1092="QUARTZTOP LLC"),VLOOKUP(H1092,'[2] Giá ngoài Mỹ - SI-GR'!$B$5:$AZ$84,51,0),IF(OR(D1092="HYUNDAI L&amp;C CANADA INC",D1092="Hyundai L&amp; C USA LLC"),VLOOKUP(H1092,'[2]GIA HS'!A:D,4,0),IF(Y1092="Mỹ",VLOOKUP(H1092,'[2]giá mỹ từ 6.8.2025'!B:I,2,0),VLOOKUP(H1092,'[2]giá ngoài mỹ 6.8.2025 (final)'!B:BP,51,0)))))</f>
        <v>65</v>
      </c>
      <c r="L1092" s="106">
        <v>128.94</v>
      </c>
      <c r="M1092" s="106">
        <f t="shared" si="66"/>
        <v>63.94</v>
      </c>
      <c r="N1092" s="106">
        <v>128.94</v>
      </c>
      <c r="O1092" s="107">
        <v>121.2</v>
      </c>
      <c r="P1092" s="107">
        <v>26040</v>
      </c>
      <c r="Q1092" s="107">
        <v>3156048</v>
      </c>
      <c r="R1092" s="102"/>
      <c r="S1092" s="108"/>
      <c r="T1092" s="109" t="s">
        <v>30</v>
      </c>
      <c r="U1092" s="109"/>
      <c r="V1092" s="102"/>
      <c r="W1092" s="109"/>
      <c r="X1092" s="109"/>
      <c r="Y1092" s="110" t="s">
        <v>803</v>
      </c>
      <c r="Z1092" s="111" t="str">
        <f>MID(E1092,4,2)</f>
        <v>CA</v>
      </c>
    </row>
    <row r="1093" spans="1:26" s="111" customFormat="1" x14ac:dyDescent="0.2">
      <c r="A1093" s="101">
        <v>46249</v>
      </c>
      <c r="B1093" s="91" t="s">
        <v>1317</v>
      </c>
      <c r="C1093" s="102" t="s">
        <v>1318</v>
      </c>
      <c r="D1093" s="103" t="s">
        <v>26</v>
      </c>
      <c r="E1093" s="91" t="s">
        <v>1319</v>
      </c>
      <c r="F1093" s="91" t="s">
        <v>714</v>
      </c>
      <c r="G1093" s="91" t="s">
        <v>715</v>
      </c>
      <c r="H1093" s="104" t="str">
        <f t="shared" si="67"/>
        <v>F4004J20</v>
      </c>
      <c r="I1093" s="104"/>
      <c r="J1093" s="105">
        <v>0.64</v>
      </c>
      <c r="K1093" s="106">
        <f>IF(D1093="CAESARSTONE LTD",VLOOKUP(H1093,'[2]GIA CA'!G:H,2,0),IF(OR(D1093="STONE FACINGS LIMITED",D1093="NORDIA SA",D1093="INVICTUS STONE COUNTERTOPS INC",D1093="QUARTZTOP LLC"),VLOOKUP(H1093,'[2] Giá ngoài Mỹ - SI-GR'!$B$5:$AZ$84,51,0),IF(OR(D1093="HYUNDAI L&amp;C CANADA INC",D1093="Hyundai L&amp; C USA LLC"),VLOOKUP(H1093,'[2]GIA HS'!A:D,4,0),IF(Y1093="Mỹ",VLOOKUP(H1093,'[2]giá mỹ từ 6.8.2025'!B:I,2,0),VLOOKUP(H1093,'[2]giá ngoài mỹ 6.8.2025 (final)'!B:BP,51,0)))))</f>
        <v>58</v>
      </c>
      <c r="L1093" s="106">
        <v>95.16</v>
      </c>
      <c r="M1093" s="106">
        <f t="shared" si="66"/>
        <v>37.159999999999997</v>
      </c>
      <c r="N1093" s="106">
        <v>95.16</v>
      </c>
      <c r="O1093" s="107">
        <v>60.9</v>
      </c>
      <c r="P1093" s="107">
        <v>26040</v>
      </c>
      <c r="Q1093" s="107">
        <v>1585836</v>
      </c>
      <c r="R1093" s="102"/>
      <c r="S1093" s="108"/>
      <c r="T1093" s="109" t="s">
        <v>30</v>
      </c>
      <c r="U1093" s="109"/>
      <c r="V1093" s="102"/>
      <c r="W1093" s="109"/>
      <c r="X1093" s="109"/>
      <c r="Y1093" s="110" t="s">
        <v>803</v>
      </c>
      <c r="Z1093" s="111" t="str">
        <f>MID(E1093,4,2)</f>
        <v>CA</v>
      </c>
    </row>
    <row r="1094" spans="1:26" s="111" customFormat="1" x14ac:dyDescent="0.2">
      <c r="A1094" s="101">
        <v>46249</v>
      </c>
      <c r="B1094" s="91" t="s">
        <v>1317</v>
      </c>
      <c r="C1094" s="102" t="s">
        <v>1318</v>
      </c>
      <c r="D1094" s="103" t="s">
        <v>26</v>
      </c>
      <c r="E1094" s="91" t="s">
        <v>1319</v>
      </c>
      <c r="F1094" s="91" t="s">
        <v>1324</v>
      </c>
      <c r="G1094" s="91" t="s">
        <v>1325</v>
      </c>
      <c r="H1094" s="104" t="str">
        <f t="shared" si="67"/>
        <v>F4033J20</v>
      </c>
      <c r="I1094" s="104"/>
      <c r="J1094" s="105">
        <v>1.25</v>
      </c>
      <c r="K1094" s="106">
        <f t="shared" ref="K1094:K1095" si="68">+L1094</f>
        <v>94.72</v>
      </c>
      <c r="L1094" s="106">
        <v>94.72</v>
      </c>
      <c r="M1094" s="106">
        <f t="shared" si="66"/>
        <v>0</v>
      </c>
      <c r="N1094" s="106">
        <v>94.72</v>
      </c>
      <c r="O1094" s="107">
        <v>118.4</v>
      </c>
      <c r="P1094" s="107">
        <v>26040</v>
      </c>
      <c r="Q1094" s="107">
        <v>3083136</v>
      </c>
      <c r="R1094" s="102"/>
      <c r="S1094" s="108"/>
      <c r="T1094" s="109" t="s">
        <v>30</v>
      </c>
      <c r="U1094" s="109"/>
      <c r="V1094" s="102"/>
      <c r="W1094" s="109"/>
      <c r="X1094" s="109"/>
      <c r="Y1094" s="110" t="s">
        <v>803</v>
      </c>
      <c r="Z1094" s="111" t="str">
        <f>MID(E1094,4,2)</f>
        <v>CA</v>
      </c>
    </row>
    <row r="1095" spans="1:26" s="111" customFormat="1" x14ac:dyDescent="0.2">
      <c r="A1095" s="101">
        <v>46249</v>
      </c>
      <c r="B1095" s="91" t="s">
        <v>1317</v>
      </c>
      <c r="C1095" s="102" t="s">
        <v>1318</v>
      </c>
      <c r="D1095" s="103" t="s">
        <v>26</v>
      </c>
      <c r="E1095" s="91" t="s">
        <v>1319</v>
      </c>
      <c r="F1095" s="91" t="s">
        <v>1326</v>
      </c>
      <c r="G1095" s="91" t="s">
        <v>1327</v>
      </c>
      <c r="H1095" s="104" t="str">
        <f t="shared" si="67"/>
        <v>F4033J20</v>
      </c>
      <c r="I1095" s="104"/>
      <c r="J1095" s="105">
        <v>0.32</v>
      </c>
      <c r="K1095" s="106">
        <f t="shared" si="68"/>
        <v>95.16</v>
      </c>
      <c r="L1095" s="106">
        <v>95.16</v>
      </c>
      <c r="M1095" s="106">
        <f t="shared" si="66"/>
        <v>0</v>
      </c>
      <c r="N1095" s="106">
        <v>95.16</v>
      </c>
      <c r="O1095" s="107">
        <v>30.45</v>
      </c>
      <c r="P1095" s="107">
        <v>26040</v>
      </c>
      <c r="Q1095" s="107">
        <v>792918</v>
      </c>
      <c r="R1095" s="102"/>
      <c r="S1095" s="108"/>
      <c r="T1095" s="109" t="s">
        <v>30</v>
      </c>
      <c r="U1095" s="109"/>
      <c r="V1095" s="102"/>
      <c r="W1095" s="109"/>
      <c r="X1095" s="109"/>
      <c r="Y1095" s="110" t="s">
        <v>803</v>
      </c>
      <c r="Z1095" s="111" t="str">
        <f>MID(E1095,4,2)</f>
        <v>CA</v>
      </c>
    </row>
    <row r="1096" spans="1:26" s="111" customFormat="1" x14ac:dyDescent="0.2">
      <c r="A1096" s="101">
        <v>46249</v>
      </c>
      <c r="B1096" s="91" t="s">
        <v>1317</v>
      </c>
      <c r="C1096" s="102" t="s">
        <v>1318</v>
      </c>
      <c r="D1096" s="103" t="s">
        <v>26</v>
      </c>
      <c r="E1096" s="91" t="s">
        <v>1319</v>
      </c>
      <c r="F1096" s="91" t="s">
        <v>306</v>
      </c>
      <c r="G1096" s="91" t="s">
        <v>307</v>
      </c>
      <c r="H1096" s="104" t="str">
        <f t="shared" si="67"/>
        <v>F5105J20</v>
      </c>
      <c r="I1096" s="104"/>
      <c r="J1096" s="105">
        <v>0.94</v>
      </c>
      <c r="K1096" s="106">
        <f>IF(D1096="CAESARSTONE LTD",VLOOKUP(H1096,'[2]GIA CA'!G:H,2,0),IF(OR(D1096="STONE FACINGS LIMITED",D1096="NORDIA SA",D1096="INVICTUS STONE COUNTERTOPS INC",D1096="QUARTZTOP LLC"),VLOOKUP(H1096,'[2] Giá ngoài Mỹ - SI-GR'!$B$5:$AZ$84,51,0),IF(OR(D1096="HYUNDAI L&amp;C CANADA INC",D1096="Hyundai L&amp; C USA LLC"),VLOOKUP(H1096,'[2]GIA HS'!A:D,4,0),IF(Y1096="Mỹ",VLOOKUP(H1096,'[2]giá mỹ từ 6.8.2025'!B:I,2,0),VLOOKUP(H1096,'[2]giá ngoài mỹ 6.8.2025 (final)'!B:BP,51,0)))))</f>
        <v>68</v>
      </c>
      <c r="L1096" s="106">
        <v>129.49</v>
      </c>
      <c r="M1096" s="106">
        <f t="shared" si="66"/>
        <v>61.490000000000009</v>
      </c>
      <c r="N1096" s="106">
        <v>129.49</v>
      </c>
      <c r="O1096" s="107">
        <v>121.72</v>
      </c>
      <c r="P1096" s="107">
        <v>26040</v>
      </c>
      <c r="Q1096" s="107">
        <v>3169589</v>
      </c>
      <c r="R1096" s="102"/>
      <c r="S1096" s="108"/>
      <c r="T1096" s="109" t="s">
        <v>30</v>
      </c>
      <c r="U1096" s="109"/>
      <c r="V1096" s="102"/>
      <c r="W1096" s="109"/>
      <c r="X1096" s="109"/>
      <c r="Y1096" s="110" t="s">
        <v>803</v>
      </c>
      <c r="Z1096" s="111" t="str">
        <f>MID(E1096,4,2)</f>
        <v>CA</v>
      </c>
    </row>
    <row r="1097" spans="1:26" s="111" customFormat="1" x14ac:dyDescent="0.2">
      <c r="A1097" s="101">
        <v>46249</v>
      </c>
      <c r="B1097" s="91" t="s">
        <v>1317</v>
      </c>
      <c r="C1097" s="102" t="s">
        <v>1318</v>
      </c>
      <c r="D1097" s="103" t="s">
        <v>26</v>
      </c>
      <c r="E1097" s="91" t="s">
        <v>1319</v>
      </c>
      <c r="F1097" s="91" t="s">
        <v>306</v>
      </c>
      <c r="G1097" s="91" t="s">
        <v>307</v>
      </c>
      <c r="H1097" s="104" t="str">
        <f t="shared" si="67"/>
        <v>F5105J20</v>
      </c>
      <c r="I1097" s="104"/>
      <c r="J1097" s="105">
        <v>1.56</v>
      </c>
      <c r="K1097" s="106">
        <f>IF(D1097="CAESARSTONE LTD",VLOOKUP(H1097,'[2]GIA CA'!G:H,2,0),IF(OR(D1097="STONE FACINGS LIMITED",D1097="NORDIA SA",D1097="INVICTUS STONE COUNTERTOPS INC",D1097="QUARTZTOP LLC"),VLOOKUP(H1097,'[2] Giá ngoài Mỹ - SI-GR'!$B$5:$AZ$84,51,0),IF(OR(D1097="HYUNDAI L&amp;C CANADA INC",D1097="Hyundai L&amp; C USA LLC"),VLOOKUP(H1097,'[2]GIA HS'!A:D,4,0),IF(Y1097="Mỹ",VLOOKUP(H1097,'[2]giá mỹ từ 6.8.2025'!B:I,2,0),VLOOKUP(H1097,'[2]giá ngoài mỹ 6.8.2025 (final)'!B:BP,51,0)))))</f>
        <v>68</v>
      </c>
      <c r="L1097" s="106">
        <v>129.49</v>
      </c>
      <c r="M1097" s="106">
        <f t="shared" si="66"/>
        <v>61.490000000000009</v>
      </c>
      <c r="N1097" s="106">
        <v>129.49</v>
      </c>
      <c r="O1097" s="107">
        <v>202</v>
      </c>
      <c r="P1097" s="107">
        <v>26040</v>
      </c>
      <c r="Q1097" s="107">
        <v>5260080</v>
      </c>
      <c r="R1097" s="102"/>
      <c r="S1097" s="108"/>
      <c r="T1097" s="109" t="s">
        <v>30</v>
      </c>
      <c r="U1097" s="109"/>
      <c r="V1097" s="102"/>
      <c r="W1097" s="109"/>
      <c r="X1097" s="109"/>
      <c r="Y1097" s="110" t="s">
        <v>803</v>
      </c>
      <c r="Z1097" s="111" t="str">
        <f>MID(E1097,4,2)</f>
        <v>CA</v>
      </c>
    </row>
    <row r="1098" spans="1:26" s="111" customFormat="1" x14ac:dyDescent="0.2">
      <c r="A1098" s="101">
        <v>46249</v>
      </c>
      <c r="B1098" s="91" t="s">
        <v>1317</v>
      </c>
      <c r="C1098" s="102" t="s">
        <v>1318</v>
      </c>
      <c r="D1098" s="103" t="s">
        <v>26</v>
      </c>
      <c r="E1098" s="91" t="s">
        <v>1319</v>
      </c>
      <c r="F1098" s="91" t="s">
        <v>304</v>
      </c>
      <c r="G1098" s="91" t="s">
        <v>305</v>
      </c>
      <c r="H1098" s="104" t="str">
        <f t="shared" si="67"/>
        <v>F5105J20</v>
      </c>
      <c r="I1098" s="104"/>
      <c r="J1098" s="105">
        <v>0.4</v>
      </c>
      <c r="K1098" s="106">
        <f>IF(D1098="CAESARSTONE LTD",VLOOKUP(H1098,'[2]GIA CA'!G:H,2,0),IF(OR(D1098="STONE FACINGS LIMITED",D1098="NORDIA SA",D1098="INVICTUS STONE COUNTERTOPS INC",D1098="QUARTZTOP LLC"),VLOOKUP(H1098,'[2] Giá ngoài Mỹ - SI-GR'!$B$5:$AZ$84,51,0),IF(OR(D1098="HYUNDAI L&amp;C CANADA INC",D1098="Hyundai L&amp; C USA LLC"),VLOOKUP(H1098,'[2]GIA HS'!A:D,4,0),IF(Y1098="Mỹ",VLOOKUP(H1098,'[2]giá mỹ từ 6.8.2025'!B:I,2,0),VLOOKUP(H1098,'[2]giá ngoài mỹ 6.8.2025 (final)'!B:BP,51,0)))))</f>
        <v>68</v>
      </c>
      <c r="L1098" s="106">
        <v>131</v>
      </c>
      <c r="M1098" s="106">
        <f t="shared" si="66"/>
        <v>63</v>
      </c>
      <c r="N1098" s="106">
        <v>131</v>
      </c>
      <c r="O1098" s="107">
        <v>52.4</v>
      </c>
      <c r="P1098" s="107">
        <v>26040</v>
      </c>
      <c r="Q1098" s="107">
        <v>1364496</v>
      </c>
      <c r="R1098" s="102"/>
      <c r="S1098" s="108"/>
      <c r="T1098" s="109" t="s">
        <v>30</v>
      </c>
      <c r="U1098" s="109"/>
      <c r="V1098" s="102"/>
      <c r="W1098" s="109"/>
      <c r="X1098" s="109"/>
      <c r="Y1098" s="110" t="s">
        <v>803</v>
      </c>
      <c r="Z1098" s="111" t="str">
        <f>MID(E1098,4,2)</f>
        <v>CA</v>
      </c>
    </row>
    <row r="1099" spans="1:26" s="111" customFormat="1" x14ac:dyDescent="0.2">
      <c r="A1099" s="101">
        <v>46249</v>
      </c>
      <c r="B1099" s="91" t="s">
        <v>1317</v>
      </c>
      <c r="C1099" s="102" t="s">
        <v>1318</v>
      </c>
      <c r="D1099" s="103" t="s">
        <v>26</v>
      </c>
      <c r="E1099" s="91" t="s">
        <v>1319</v>
      </c>
      <c r="F1099" s="91" t="s">
        <v>1328</v>
      </c>
      <c r="G1099" s="91" t="s">
        <v>1329</v>
      </c>
      <c r="H1099" s="104" t="str">
        <f t="shared" si="67"/>
        <v>F5143J20</v>
      </c>
      <c r="I1099" s="104"/>
      <c r="J1099" s="105">
        <v>0.64</v>
      </c>
      <c r="K1099" s="106">
        <f>IF(D1099="CAESARSTONE LTD",VLOOKUP(H1099,'[2]GIA CA'!G:H,2,0),IF(OR(D1099="STONE FACINGS LIMITED",D1099="NORDIA SA",D1099="INVICTUS STONE COUNTERTOPS INC",D1099="QUARTZTOP LLC"),VLOOKUP(H1099,'[2] Giá ngoài Mỹ - SI-GR'!$B$5:$AZ$84,51,0),IF(OR(D1099="HYUNDAI L&amp;C CANADA INC",D1099="Hyundai L&amp; C USA LLC"),VLOOKUP(H1099,'[2]GIA HS'!A:D,4,0),IF(Y1099="Mỹ",VLOOKUP(H1099,'[2]giá mỹ từ 6.8.2025'!B:I,2,0),VLOOKUP(H1099,'[2]giá ngoài mỹ 6.8.2025 (final)'!B:BP,51,0)))))</f>
        <v>62</v>
      </c>
      <c r="L1099" s="106">
        <v>95.16</v>
      </c>
      <c r="M1099" s="106">
        <f t="shared" si="66"/>
        <v>33.159999999999997</v>
      </c>
      <c r="N1099" s="106">
        <v>95.16</v>
      </c>
      <c r="O1099" s="107">
        <v>60.9</v>
      </c>
      <c r="P1099" s="107">
        <v>26040</v>
      </c>
      <c r="Q1099" s="107">
        <v>1585836</v>
      </c>
      <c r="R1099" s="102"/>
      <c r="S1099" s="108"/>
      <c r="T1099" s="109" t="s">
        <v>30</v>
      </c>
      <c r="U1099" s="109"/>
      <c r="V1099" s="102"/>
      <c r="W1099" s="109"/>
      <c r="X1099" s="109"/>
      <c r="Y1099" s="110" t="s">
        <v>803</v>
      </c>
      <c r="Z1099" s="111" t="str">
        <f>MID(E1099,4,2)</f>
        <v>CA</v>
      </c>
    </row>
    <row r="1100" spans="1:26" s="111" customFormat="1" x14ac:dyDescent="0.2">
      <c r="A1100" s="101">
        <v>46249</v>
      </c>
      <c r="B1100" s="91" t="s">
        <v>1317</v>
      </c>
      <c r="C1100" s="102" t="s">
        <v>1318</v>
      </c>
      <c r="D1100" s="103" t="s">
        <v>26</v>
      </c>
      <c r="E1100" s="91" t="s">
        <v>1319</v>
      </c>
      <c r="F1100" s="91" t="s">
        <v>1039</v>
      </c>
      <c r="G1100" s="91" t="s">
        <v>1040</v>
      </c>
      <c r="H1100" s="104" t="str">
        <f t="shared" si="67"/>
        <v>F6131J20</v>
      </c>
      <c r="I1100" s="104"/>
      <c r="J1100" s="105">
        <v>1.25</v>
      </c>
      <c r="K1100" s="106">
        <f>IF(D1100="CAESARSTONE LTD",VLOOKUP(H1100,'[2]GIA CA'!G:H,2,0),IF(OR(D1100="STONE FACINGS LIMITED",D1100="NORDIA SA",D1100="INVICTUS STONE COUNTERTOPS INC",D1100="QUARTZTOP LLC"),VLOOKUP(H1100,'[2] Giá ngoài Mỹ - SI-GR'!$B$5:$AZ$84,51,0),IF(OR(D1100="HYUNDAI L&amp;C CANADA INC",D1100="Hyundai L&amp; C USA LLC"),VLOOKUP(H1100,'[2]GIA HS'!A:D,4,0),IF(Y1100="Mỹ",VLOOKUP(H1100,'[2]giá mỹ từ 6.8.2025'!B:I,2,0),VLOOKUP(H1100,'[2]giá ngoài mỹ 6.8.2025 (final)'!B:BP,51,0)))))</f>
        <v>62</v>
      </c>
      <c r="L1100" s="106">
        <v>94.72</v>
      </c>
      <c r="M1100" s="106">
        <f t="shared" si="66"/>
        <v>32.72</v>
      </c>
      <c r="N1100" s="106">
        <v>94.72</v>
      </c>
      <c r="O1100" s="107">
        <v>118.4</v>
      </c>
      <c r="P1100" s="107">
        <v>26040</v>
      </c>
      <c r="Q1100" s="107">
        <v>3083136</v>
      </c>
      <c r="R1100" s="102"/>
      <c r="S1100" s="108"/>
      <c r="T1100" s="109" t="s">
        <v>30</v>
      </c>
      <c r="U1100" s="109"/>
      <c r="V1100" s="102"/>
      <c r="W1100" s="109"/>
      <c r="X1100" s="109"/>
      <c r="Y1100" s="110" t="s">
        <v>803</v>
      </c>
      <c r="Z1100" s="111" t="str">
        <f>MID(E1100,4,2)</f>
        <v>CA</v>
      </c>
    </row>
    <row r="1101" spans="1:26" s="111" customFormat="1" x14ac:dyDescent="0.2">
      <c r="A1101" s="101">
        <v>46249</v>
      </c>
      <c r="B1101" s="91" t="s">
        <v>1317</v>
      </c>
      <c r="C1101" s="102" t="s">
        <v>1318</v>
      </c>
      <c r="D1101" s="103" t="s">
        <v>26</v>
      </c>
      <c r="E1101" s="91" t="s">
        <v>1319</v>
      </c>
      <c r="F1101" s="91" t="s">
        <v>1330</v>
      </c>
      <c r="G1101" s="91" t="s">
        <v>1331</v>
      </c>
      <c r="H1101" s="104" t="str">
        <f t="shared" si="67"/>
        <v>F6131J20</v>
      </c>
      <c r="I1101" s="104"/>
      <c r="J1101" s="105">
        <v>0.2</v>
      </c>
      <c r="K1101" s="106">
        <f>IF(D1101="CAESARSTONE LTD",VLOOKUP(H1101,'[2]GIA CA'!G:H,2,0),IF(OR(D1101="STONE FACINGS LIMITED",D1101="NORDIA SA",D1101="INVICTUS STONE COUNTERTOPS INC",D1101="QUARTZTOP LLC"),VLOOKUP(H1101,'[2] Giá ngoài Mỹ - SI-GR'!$B$5:$AZ$84,51,0),IF(OR(D1101="HYUNDAI L&amp;C CANADA INC",D1101="Hyundai L&amp; C USA LLC"),VLOOKUP(H1101,'[2]GIA HS'!A:D,4,0),IF(Y1101="Mỹ",VLOOKUP(H1101,'[2]giá mỹ từ 6.8.2025'!B:I,2,0),VLOOKUP(H1101,'[2]giá ngoài mỹ 6.8.2025 (final)'!B:BP,51,0)))))</f>
        <v>62</v>
      </c>
      <c r="L1101" s="106">
        <v>96</v>
      </c>
      <c r="M1101" s="106">
        <f t="shared" ref="M1101:M1164" si="69">L1101-K1101</f>
        <v>34</v>
      </c>
      <c r="N1101" s="106">
        <v>96</v>
      </c>
      <c r="O1101" s="107">
        <v>19.2</v>
      </c>
      <c r="P1101" s="107">
        <v>26040</v>
      </c>
      <c r="Q1101" s="107">
        <v>499968</v>
      </c>
      <c r="R1101" s="102"/>
      <c r="S1101" s="108"/>
      <c r="T1101" s="109" t="s">
        <v>30</v>
      </c>
      <c r="U1101" s="109"/>
      <c r="V1101" s="102"/>
      <c r="W1101" s="109"/>
      <c r="X1101" s="109"/>
      <c r="Y1101" s="110" t="s">
        <v>803</v>
      </c>
      <c r="Z1101" s="111" t="str">
        <f>MID(E1101,4,2)</f>
        <v>CA</v>
      </c>
    </row>
    <row r="1102" spans="1:26" s="111" customFormat="1" x14ac:dyDescent="0.2">
      <c r="A1102" s="101">
        <v>46249</v>
      </c>
      <c r="B1102" s="91" t="s">
        <v>1317</v>
      </c>
      <c r="C1102" s="102" t="s">
        <v>1318</v>
      </c>
      <c r="D1102" s="103" t="s">
        <v>26</v>
      </c>
      <c r="E1102" s="91" t="s">
        <v>1319</v>
      </c>
      <c r="F1102" s="91" t="s">
        <v>1332</v>
      </c>
      <c r="G1102" s="91" t="s">
        <v>1333</v>
      </c>
      <c r="H1102" s="104" t="str">
        <f t="shared" ref="H1102:H1165" si="70">IF(LEN(G1102)=13,LEFT(G1102,5)&amp;MID(G1102,SEARCH("-J",G1102)+1,3),LEFT(G1102,5)&amp;"J20")</f>
        <v>F6134J20</v>
      </c>
      <c r="I1102" s="104"/>
      <c r="J1102" s="105">
        <v>1.25</v>
      </c>
      <c r="K1102" s="106">
        <f>IF(D1102="CAESARSTONE LTD",VLOOKUP(H1102,'[2]GIA CA'!G:H,2,0),IF(OR(D1102="STONE FACINGS LIMITED",D1102="NORDIA SA",D1102="INVICTUS STONE COUNTERTOPS INC",D1102="QUARTZTOP LLC"),VLOOKUP(H1102,'[2] Giá ngoài Mỹ - SI-GR'!$B$5:$AZ$84,51,0),IF(OR(D1102="HYUNDAI L&amp;C CANADA INC",D1102="Hyundai L&amp; C USA LLC"),VLOOKUP(H1102,'[2]GIA HS'!A:D,4,0),IF(Y1102="Mỹ",VLOOKUP(H1102,'[2]giá mỹ từ 6.8.2025'!B:I,2,0),VLOOKUP(H1102,'[2]giá ngoài mỹ 6.8.2025 (final)'!B:BP,51,0)))))</f>
        <v>62</v>
      </c>
      <c r="L1102" s="106">
        <v>94.72</v>
      </c>
      <c r="M1102" s="106">
        <f t="shared" si="69"/>
        <v>32.72</v>
      </c>
      <c r="N1102" s="106">
        <v>94.72</v>
      </c>
      <c r="O1102" s="107">
        <v>118.4</v>
      </c>
      <c r="P1102" s="107">
        <v>26040</v>
      </c>
      <c r="Q1102" s="107">
        <v>3083136</v>
      </c>
      <c r="R1102" s="102"/>
      <c r="S1102" s="108"/>
      <c r="T1102" s="109" t="s">
        <v>30</v>
      </c>
      <c r="U1102" s="109"/>
      <c r="V1102" s="102"/>
      <c r="W1102" s="109"/>
      <c r="X1102" s="109"/>
      <c r="Y1102" s="110" t="s">
        <v>803</v>
      </c>
      <c r="Z1102" s="111" t="str">
        <f>MID(E1102,4,2)</f>
        <v>CA</v>
      </c>
    </row>
    <row r="1103" spans="1:26" s="111" customFormat="1" x14ac:dyDescent="0.2">
      <c r="A1103" s="101">
        <v>46249</v>
      </c>
      <c r="B1103" s="91" t="s">
        <v>1317</v>
      </c>
      <c r="C1103" s="102" t="s">
        <v>1318</v>
      </c>
      <c r="D1103" s="103" t="s">
        <v>26</v>
      </c>
      <c r="E1103" s="91" t="s">
        <v>1319</v>
      </c>
      <c r="F1103" s="91" t="s">
        <v>1014</v>
      </c>
      <c r="G1103" s="91" t="s">
        <v>896</v>
      </c>
      <c r="H1103" s="104" t="str">
        <f t="shared" si="70"/>
        <v>C4143J30</v>
      </c>
      <c r="I1103" s="104"/>
      <c r="J1103" s="105">
        <v>16.329999999999998</v>
      </c>
      <c r="K1103" s="106">
        <f>IF(D1103="CAESARSTONE LTD",VLOOKUP(H1103,'[2]GIA CA'!G:H,2,0),IF(OR(D1103="STONE FACINGS LIMITED",D1103="NORDIA SA",D1103="INVICTUS STONE COUNTERTOPS INC",D1103="QUARTZTOP LLC"),VLOOKUP(H1103,'[2] Giá ngoài Mỹ - SI-GR'!$B$5:$AZ$84,51,0),IF(OR(D1103="HYUNDAI L&amp;C CANADA INC",D1103="Hyundai L&amp; C USA LLC"),VLOOKUP(H1103,'[2]GIA HS'!A:D,4,0),IF(Y1103="Mỹ",VLOOKUP(H1103,'[2]giá mỹ từ 6.8.2025'!B:I,2,0),VLOOKUP(H1103,'[2]giá ngoài mỹ 6.8.2025 (final)'!B:BP,51,0)))))</f>
        <v>71.3</v>
      </c>
      <c r="L1103" s="106">
        <v>74.8</v>
      </c>
      <c r="M1103" s="106">
        <f t="shared" si="69"/>
        <v>3.5</v>
      </c>
      <c r="N1103" s="106">
        <v>74.8</v>
      </c>
      <c r="O1103" s="107">
        <v>1221.5</v>
      </c>
      <c r="P1103" s="107">
        <v>26040</v>
      </c>
      <c r="Q1103" s="107">
        <v>31807860</v>
      </c>
      <c r="R1103" s="102" t="s">
        <v>30</v>
      </c>
      <c r="S1103" s="108"/>
      <c r="T1103" s="109"/>
      <c r="U1103" s="109"/>
      <c r="V1103" s="102"/>
      <c r="W1103" s="109"/>
      <c r="X1103" s="109"/>
      <c r="Y1103" s="110" t="s">
        <v>803</v>
      </c>
      <c r="Z1103" s="111" t="str">
        <f>MID(E1103,4,2)</f>
        <v>CA</v>
      </c>
    </row>
    <row r="1104" spans="1:26" s="111" customFormat="1" x14ac:dyDescent="0.2">
      <c r="A1104" s="101">
        <v>46249</v>
      </c>
      <c r="B1104" s="91" t="s">
        <v>1317</v>
      </c>
      <c r="C1104" s="102" t="s">
        <v>1318</v>
      </c>
      <c r="D1104" s="103" t="s">
        <v>26</v>
      </c>
      <c r="E1104" s="91" t="s">
        <v>1319</v>
      </c>
      <c r="F1104" s="91" t="s">
        <v>895</v>
      </c>
      <c r="G1104" s="91" t="s">
        <v>896</v>
      </c>
      <c r="H1104" s="104" t="str">
        <f t="shared" si="70"/>
        <v>C4143J30</v>
      </c>
      <c r="I1104" s="104"/>
      <c r="J1104" s="105">
        <v>136.13</v>
      </c>
      <c r="K1104" s="106">
        <f>IF(D1104="CAESARSTONE LTD",VLOOKUP(H1104,'[2]GIA CA'!G:H,2,0),IF(OR(D1104="STONE FACINGS LIMITED",D1104="NORDIA SA",D1104="INVICTUS STONE COUNTERTOPS INC",D1104="QUARTZTOP LLC"),VLOOKUP(H1104,'[2] Giá ngoài Mỹ - SI-GR'!$B$5:$AZ$84,51,0),IF(OR(D1104="HYUNDAI L&amp;C CANADA INC",D1104="Hyundai L&amp; C USA LLC"),VLOOKUP(H1104,'[2]GIA HS'!A:D,4,0),IF(Y1104="Mỹ",VLOOKUP(H1104,'[2]giá mỹ từ 6.8.2025'!B:I,2,0),VLOOKUP(H1104,'[2]giá ngoài mỹ 6.8.2025 (final)'!B:BP,51,0)))))</f>
        <v>71.3</v>
      </c>
      <c r="L1104" s="106">
        <v>74.8</v>
      </c>
      <c r="M1104" s="106">
        <f t="shared" si="69"/>
        <v>3.5</v>
      </c>
      <c r="N1104" s="106">
        <v>74.8</v>
      </c>
      <c r="O1104" s="107">
        <v>10182.620000000001</v>
      </c>
      <c r="P1104" s="107">
        <v>26040</v>
      </c>
      <c r="Q1104" s="107">
        <v>265155425</v>
      </c>
      <c r="R1104" s="102" t="s">
        <v>30</v>
      </c>
      <c r="S1104" s="108"/>
      <c r="T1104" s="109"/>
      <c r="U1104" s="109"/>
      <c r="V1104" s="102"/>
      <c r="W1104" s="109"/>
      <c r="X1104" s="109"/>
      <c r="Y1104" s="110" t="s">
        <v>803</v>
      </c>
      <c r="Z1104" s="111" t="str">
        <f>MID(E1104,4,2)</f>
        <v>CA</v>
      </c>
    </row>
    <row r="1105" spans="1:26" s="111" customFormat="1" x14ac:dyDescent="0.2">
      <c r="A1105" s="101">
        <v>46249</v>
      </c>
      <c r="B1105" s="91" t="s">
        <v>1317</v>
      </c>
      <c r="C1105" s="102" t="s">
        <v>1318</v>
      </c>
      <c r="D1105" s="103" t="s">
        <v>26</v>
      </c>
      <c r="E1105" s="91" t="s">
        <v>1319</v>
      </c>
      <c r="F1105" s="91" t="s">
        <v>975</v>
      </c>
      <c r="G1105" s="91" t="s">
        <v>976</v>
      </c>
      <c r="H1105" s="104" t="str">
        <f t="shared" si="70"/>
        <v>C5000J20</v>
      </c>
      <c r="I1105" s="104"/>
      <c r="J1105" s="105">
        <v>49.01</v>
      </c>
      <c r="K1105" s="106">
        <f>IF(D1105="CAESARSTONE LTD",VLOOKUP(H1105,'[2]GIA CA'!G:H,2,0),IF(OR(D1105="STONE FACINGS LIMITED",D1105="NORDIA SA",D1105="INVICTUS STONE COUNTERTOPS INC",D1105="QUARTZTOP LLC"),VLOOKUP(H1105,'[2] Giá ngoài Mỹ - SI-GR'!$B$5:$AZ$84,51,0),IF(OR(D1105="HYUNDAI L&amp;C CANADA INC",D1105="Hyundai L&amp; C USA LLC"),VLOOKUP(H1105,'[2]GIA HS'!A:D,4,0),IF(Y1105="Mỹ",VLOOKUP(H1105,'[2]giá mỹ từ 6.8.2025'!B:I,2,0),VLOOKUP(H1105,'[2]giá ngoài mỹ 6.8.2025 (final)'!B:BP,51,0)))))</f>
        <v>55</v>
      </c>
      <c r="L1105" s="106">
        <v>59.9</v>
      </c>
      <c r="M1105" s="106">
        <f t="shared" si="69"/>
        <v>4.8999999999999986</v>
      </c>
      <c r="N1105" s="106">
        <v>59.9</v>
      </c>
      <c r="O1105" s="107">
        <v>2935.65</v>
      </c>
      <c r="P1105" s="107">
        <v>26040</v>
      </c>
      <c r="Q1105" s="107">
        <v>76444326</v>
      </c>
      <c r="R1105" s="102" t="s">
        <v>30</v>
      </c>
      <c r="S1105" s="108"/>
      <c r="T1105" s="109"/>
      <c r="U1105" s="109"/>
      <c r="V1105" s="102"/>
      <c r="W1105" s="109"/>
      <c r="X1105" s="109"/>
      <c r="Y1105" s="110" t="s">
        <v>803</v>
      </c>
      <c r="Z1105" s="111" t="str">
        <f>MID(E1105,4,2)</f>
        <v>CA</v>
      </c>
    </row>
    <row r="1106" spans="1:26" s="111" customFormat="1" x14ac:dyDescent="0.2">
      <c r="A1106" s="101">
        <v>46249</v>
      </c>
      <c r="B1106" s="91" t="s">
        <v>1317</v>
      </c>
      <c r="C1106" s="102" t="s">
        <v>1318</v>
      </c>
      <c r="D1106" s="103" t="s">
        <v>26</v>
      </c>
      <c r="E1106" s="91" t="s">
        <v>1319</v>
      </c>
      <c r="F1106" s="91" t="s">
        <v>975</v>
      </c>
      <c r="G1106" s="91" t="s">
        <v>976</v>
      </c>
      <c r="H1106" s="104" t="str">
        <f t="shared" si="70"/>
        <v>C5000J20</v>
      </c>
      <c r="I1106" s="104"/>
      <c r="J1106" s="105">
        <v>108.9</v>
      </c>
      <c r="K1106" s="106">
        <f>IF(D1106="CAESARSTONE LTD",VLOOKUP(H1106,'[2]GIA CA'!G:H,2,0),IF(OR(D1106="STONE FACINGS LIMITED",D1106="NORDIA SA",D1106="INVICTUS STONE COUNTERTOPS INC",D1106="QUARTZTOP LLC"),VLOOKUP(H1106,'[2] Giá ngoài Mỹ - SI-GR'!$B$5:$AZ$84,51,0),IF(OR(D1106="HYUNDAI L&amp;C CANADA INC",D1106="Hyundai L&amp; C USA LLC"),VLOOKUP(H1106,'[2]GIA HS'!A:D,4,0),IF(Y1106="Mỹ",VLOOKUP(H1106,'[2]giá mỹ từ 6.8.2025'!B:I,2,0),VLOOKUP(H1106,'[2]giá ngoài mỹ 6.8.2025 (final)'!B:BP,51,0)))))</f>
        <v>55</v>
      </c>
      <c r="L1106" s="106">
        <v>59.9</v>
      </c>
      <c r="M1106" s="106">
        <f t="shared" si="69"/>
        <v>4.8999999999999986</v>
      </c>
      <c r="N1106" s="106">
        <v>59.9</v>
      </c>
      <c r="O1106" s="107">
        <v>6522.99</v>
      </c>
      <c r="P1106" s="107">
        <v>26040</v>
      </c>
      <c r="Q1106" s="107">
        <v>169858660</v>
      </c>
      <c r="R1106" s="102" t="s">
        <v>30</v>
      </c>
      <c r="S1106" s="108"/>
      <c r="T1106" s="109"/>
      <c r="U1106" s="109"/>
      <c r="V1106" s="102"/>
      <c r="W1106" s="109"/>
      <c r="X1106" s="109"/>
      <c r="Y1106" s="110" t="s">
        <v>803</v>
      </c>
      <c r="Z1106" s="111" t="str">
        <f>MID(E1106,4,2)</f>
        <v>CA</v>
      </c>
    </row>
    <row r="1107" spans="1:26" s="111" customFormat="1" x14ac:dyDescent="0.2">
      <c r="A1107" s="101">
        <v>46249</v>
      </c>
      <c r="B1107" s="91" t="s">
        <v>1317</v>
      </c>
      <c r="C1107" s="102" t="s">
        <v>1318</v>
      </c>
      <c r="D1107" s="103" t="s">
        <v>26</v>
      </c>
      <c r="E1107" s="91" t="s">
        <v>1319</v>
      </c>
      <c r="F1107" s="91" t="s">
        <v>953</v>
      </c>
      <c r="G1107" s="91" t="s">
        <v>954</v>
      </c>
      <c r="H1107" s="104" t="str">
        <f t="shared" si="70"/>
        <v>F5113J30</v>
      </c>
      <c r="I1107" s="104"/>
      <c r="J1107" s="105">
        <v>10.89</v>
      </c>
      <c r="K1107" s="106">
        <f>IF(D1107="CAESARSTONE LTD",VLOOKUP(H1107,'[2]GIA CA'!G:H,2,0),IF(OR(D1107="STONE FACINGS LIMITED",D1107="NORDIA SA",D1107="INVICTUS STONE COUNTERTOPS INC",D1107="QUARTZTOP LLC"),VLOOKUP(H1107,'[2] Giá ngoài Mỹ - SI-GR'!$B$5:$AZ$84,51,0),IF(OR(D1107="HYUNDAI L&amp;C CANADA INC",D1107="Hyundai L&amp; C USA LLC"),VLOOKUP(H1107,'[2]GIA HS'!A:D,4,0),IF(Y1107="Mỹ",VLOOKUP(H1107,'[2]giá mỹ từ 6.8.2025'!B:I,2,0),VLOOKUP(H1107,'[2]giá ngoài mỹ 6.8.2025 (final)'!B:BP,51,0)))))</f>
        <v>77.5</v>
      </c>
      <c r="L1107" s="106">
        <v>81.38</v>
      </c>
      <c r="M1107" s="106">
        <f t="shared" si="69"/>
        <v>3.8799999999999955</v>
      </c>
      <c r="N1107" s="106">
        <v>81.38</v>
      </c>
      <c r="O1107" s="107">
        <v>886.18</v>
      </c>
      <c r="P1107" s="107">
        <v>26040</v>
      </c>
      <c r="Q1107" s="107">
        <v>23076127</v>
      </c>
      <c r="R1107" s="102" t="s">
        <v>30</v>
      </c>
      <c r="S1107" s="108"/>
      <c r="T1107" s="109"/>
      <c r="U1107" s="109"/>
      <c r="V1107" s="102"/>
      <c r="W1107" s="109"/>
      <c r="X1107" s="109"/>
      <c r="Y1107" s="110" t="s">
        <v>803</v>
      </c>
      <c r="Z1107" s="111" t="str">
        <f>MID(E1107,4,2)</f>
        <v>CA</v>
      </c>
    </row>
    <row r="1108" spans="1:26" s="111" customFormat="1" x14ac:dyDescent="0.2">
      <c r="A1108" s="101">
        <v>46249</v>
      </c>
      <c r="B1108" s="91" t="s">
        <v>1317</v>
      </c>
      <c r="C1108" s="102" t="s">
        <v>1318</v>
      </c>
      <c r="D1108" s="103" t="s">
        <v>26</v>
      </c>
      <c r="E1108" s="91" t="s">
        <v>1319</v>
      </c>
      <c r="F1108" s="91" t="s">
        <v>953</v>
      </c>
      <c r="G1108" s="91" t="s">
        <v>954</v>
      </c>
      <c r="H1108" s="104" t="str">
        <f t="shared" si="70"/>
        <v>F5113J30</v>
      </c>
      <c r="I1108" s="104"/>
      <c r="J1108" s="105">
        <v>27.23</v>
      </c>
      <c r="K1108" s="106">
        <f>IF(D1108="CAESARSTONE LTD",VLOOKUP(H1108,'[2]GIA CA'!G:H,2,0),IF(OR(D1108="STONE FACINGS LIMITED",D1108="NORDIA SA",D1108="INVICTUS STONE COUNTERTOPS INC",D1108="QUARTZTOP LLC"),VLOOKUP(H1108,'[2] Giá ngoài Mỹ - SI-GR'!$B$5:$AZ$84,51,0),IF(OR(D1108="HYUNDAI L&amp;C CANADA INC",D1108="Hyundai L&amp; C USA LLC"),VLOOKUP(H1108,'[2]GIA HS'!A:D,4,0),IF(Y1108="Mỹ",VLOOKUP(H1108,'[2]giá mỹ từ 6.8.2025'!B:I,2,0),VLOOKUP(H1108,'[2]giá ngoài mỹ 6.8.2025 (final)'!B:BP,51,0)))))</f>
        <v>77.5</v>
      </c>
      <c r="L1108" s="106">
        <v>81.38</v>
      </c>
      <c r="M1108" s="106">
        <f t="shared" si="69"/>
        <v>3.8799999999999955</v>
      </c>
      <c r="N1108" s="106">
        <v>81.38</v>
      </c>
      <c r="O1108" s="107">
        <v>2215.84</v>
      </c>
      <c r="P1108" s="107">
        <v>26040</v>
      </c>
      <c r="Q1108" s="107">
        <v>57700474</v>
      </c>
      <c r="R1108" s="102" t="s">
        <v>30</v>
      </c>
      <c r="S1108" s="108"/>
      <c r="T1108" s="109"/>
      <c r="U1108" s="109"/>
      <c r="V1108" s="102"/>
      <c r="W1108" s="109"/>
      <c r="X1108" s="109"/>
      <c r="Y1108" s="110" t="s">
        <v>803</v>
      </c>
      <c r="Z1108" s="111" t="str">
        <f>MID(E1108,4,2)</f>
        <v>CA</v>
      </c>
    </row>
    <row r="1109" spans="1:26" s="111" customFormat="1" x14ac:dyDescent="0.2">
      <c r="A1109" s="101">
        <v>46249</v>
      </c>
      <c r="B1109" s="91" t="s">
        <v>1334</v>
      </c>
      <c r="C1109" s="102" t="s">
        <v>1335</v>
      </c>
      <c r="D1109" s="103" t="s">
        <v>47</v>
      </c>
      <c r="E1109" s="91" t="s">
        <v>1336</v>
      </c>
      <c r="F1109" s="91" t="s">
        <v>479</v>
      </c>
      <c r="G1109" s="91" t="s">
        <v>480</v>
      </c>
      <c r="H1109" s="104" t="str">
        <f t="shared" si="70"/>
        <v>C4342J30</v>
      </c>
      <c r="I1109" s="104"/>
      <c r="J1109" s="105">
        <v>381.15</v>
      </c>
      <c r="K1109" s="106">
        <f>IF(D1109="CAESARSTONE LTD",VLOOKUP(H1109,'[2]GIA CA'!G:H,2,0),IF(OR(D1109="STONE FACINGS LIMITED",D1109="NORDIA SA",D1109="INVICTUS STONE COUNTERTOPS INC",D1109="QUARTZTOP LLC"),VLOOKUP(H1109,'[2] Giá ngoài Mỹ - SI-GR'!$B$5:$AZ$84,51,0),IF(OR(D1109="HYUNDAI L&amp;C CANADA INC",D1109="Hyundai L&amp; C USA LLC"),VLOOKUP(H1109,'[2]GIA HS'!A:D,4,0),IF(Y1109="Mỹ",VLOOKUP(H1109,'[2]giá mỹ từ 6.8.2025'!B:I,2,0),VLOOKUP(H1109,'[2]giá ngoài mỹ 6.8.2025 (final)'!B:BP,51,0)))))</f>
        <v>79</v>
      </c>
      <c r="L1109" s="106">
        <v>83.09</v>
      </c>
      <c r="M1109" s="106">
        <f t="shared" si="69"/>
        <v>4.0900000000000034</v>
      </c>
      <c r="N1109" s="106">
        <v>83.09</v>
      </c>
      <c r="O1109" s="107">
        <v>31669.4</v>
      </c>
      <c r="P1109" s="107">
        <v>26040</v>
      </c>
      <c r="Q1109" s="107">
        <v>824671176</v>
      </c>
      <c r="R1109" s="102" t="s">
        <v>30</v>
      </c>
      <c r="S1109" s="108"/>
      <c r="T1109" s="109"/>
      <c r="U1109" s="109"/>
      <c r="V1109" s="102"/>
      <c r="W1109" s="109"/>
      <c r="X1109" s="109"/>
      <c r="Y1109" s="110" t="s">
        <v>31</v>
      </c>
      <c r="Z1109" s="111" t="str">
        <f>MID(E1109,4,2)</f>
        <v>AT</v>
      </c>
    </row>
    <row r="1110" spans="1:26" s="111" customFormat="1" x14ac:dyDescent="0.2">
      <c r="A1110" s="101">
        <v>46249</v>
      </c>
      <c r="B1110" s="91" t="s">
        <v>1337</v>
      </c>
      <c r="C1110" s="102" t="s">
        <v>1338</v>
      </c>
      <c r="D1110" s="103" t="s">
        <v>26</v>
      </c>
      <c r="E1110" s="91" t="s">
        <v>1339</v>
      </c>
      <c r="F1110" s="91" t="s">
        <v>895</v>
      </c>
      <c r="G1110" s="91" t="s">
        <v>896</v>
      </c>
      <c r="H1110" s="104" t="str">
        <f t="shared" si="70"/>
        <v>C4143J30</v>
      </c>
      <c r="I1110" s="104"/>
      <c r="J1110" s="105">
        <v>294.02999999999997</v>
      </c>
      <c r="K1110" s="106">
        <f>IF(D1110="CAESARSTONE LTD",VLOOKUP(H1110,'[2]GIA CA'!G:H,2,0),IF(OR(D1110="STONE FACINGS LIMITED",D1110="NORDIA SA",D1110="INVICTUS STONE COUNTERTOPS INC",D1110="QUARTZTOP LLC"),VLOOKUP(H1110,'[2] Giá ngoài Mỹ - SI-GR'!$B$5:$AZ$84,51,0),IF(OR(D1110="HYUNDAI L&amp;C CANADA INC",D1110="Hyundai L&amp; C USA LLC"),VLOOKUP(H1110,'[2]GIA HS'!A:D,4,0),IF(Y1110="Mỹ",VLOOKUP(H1110,'[2]giá mỹ từ 6.8.2025'!B:I,2,0),VLOOKUP(H1110,'[2]giá ngoài mỹ 6.8.2025 (final)'!B:BP,51,0)))))</f>
        <v>71.3</v>
      </c>
      <c r="L1110" s="106">
        <v>74.8</v>
      </c>
      <c r="M1110" s="106">
        <f t="shared" si="69"/>
        <v>3.5</v>
      </c>
      <c r="N1110" s="106">
        <v>74.8</v>
      </c>
      <c r="O1110" s="107">
        <v>21993.66</v>
      </c>
      <c r="P1110" s="107">
        <v>26040</v>
      </c>
      <c r="Q1110" s="107">
        <v>572714906</v>
      </c>
      <c r="R1110" s="102" t="s">
        <v>30</v>
      </c>
      <c r="S1110" s="108"/>
      <c r="T1110" s="109"/>
      <c r="U1110" s="109"/>
      <c r="V1110" s="102"/>
      <c r="W1110" s="109"/>
      <c r="X1110" s="109"/>
      <c r="Y1110" s="110" t="s">
        <v>803</v>
      </c>
      <c r="Z1110" s="111" t="str">
        <f>MID(E1110,4,2)</f>
        <v>CA</v>
      </c>
    </row>
    <row r="1111" spans="1:26" s="111" customFormat="1" x14ac:dyDescent="0.2">
      <c r="A1111" s="101">
        <v>46249</v>
      </c>
      <c r="B1111" s="91" t="s">
        <v>1340</v>
      </c>
      <c r="C1111" s="102" t="s">
        <v>1341</v>
      </c>
      <c r="D1111" s="103" t="s">
        <v>26</v>
      </c>
      <c r="E1111" s="91" t="s">
        <v>1342</v>
      </c>
      <c r="F1111" s="91" t="s">
        <v>1343</v>
      </c>
      <c r="G1111" s="91" t="s">
        <v>1344</v>
      </c>
      <c r="H1111" s="104" t="str">
        <f t="shared" si="70"/>
        <v>F6134J20</v>
      </c>
      <c r="I1111" s="104"/>
      <c r="J1111" s="105">
        <v>479.16</v>
      </c>
      <c r="K1111" s="106">
        <f>IF(D1111="CAESARSTONE LTD",VLOOKUP(H1111,'[2]GIA CA'!G:H,2,0),IF(OR(D1111="STONE FACINGS LIMITED",D1111="NORDIA SA",D1111="INVICTUS STONE COUNTERTOPS INC",D1111="QUARTZTOP LLC"),VLOOKUP(H1111,'[2] Giá ngoài Mỹ - SI-GR'!$B$5:$AZ$84,51,0),IF(OR(D1111="HYUNDAI L&amp;C CANADA INC",D1111="Hyundai L&amp; C USA LLC"),VLOOKUP(H1111,'[2]GIA HS'!A:D,4,0),IF(Y1111="Mỹ",VLOOKUP(H1111,'[2]giá mỹ từ 6.8.2025'!B:I,2,0),VLOOKUP(H1111,'[2]giá ngoài mỹ 6.8.2025 (final)'!B:BP,51,0)))))</f>
        <v>62</v>
      </c>
      <c r="L1111" s="106">
        <v>65.099999999999994</v>
      </c>
      <c r="M1111" s="106">
        <f t="shared" si="69"/>
        <v>3.0999999999999943</v>
      </c>
      <c r="N1111" s="106">
        <v>65.099999999999994</v>
      </c>
      <c r="O1111" s="107">
        <v>31193.360000000001</v>
      </c>
      <c r="P1111" s="107">
        <v>26040</v>
      </c>
      <c r="Q1111" s="107">
        <v>812275094</v>
      </c>
      <c r="R1111" s="102" t="s">
        <v>30</v>
      </c>
      <c r="S1111" s="108"/>
      <c r="T1111" s="109"/>
      <c r="U1111" s="109"/>
      <c r="V1111" s="102"/>
      <c r="W1111" s="109"/>
      <c r="X1111" s="109"/>
      <c r="Y1111" s="110" t="s">
        <v>1345</v>
      </c>
      <c r="Z1111" s="111" t="str">
        <f>MID(E1111,4,2)</f>
        <v>CA</v>
      </c>
    </row>
    <row r="1112" spans="1:26" s="111" customFormat="1" x14ac:dyDescent="0.2">
      <c r="A1112" s="101">
        <v>46249</v>
      </c>
      <c r="B1112" s="91" t="s">
        <v>1346</v>
      </c>
      <c r="C1112" s="102" t="s">
        <v>1347</v>
      </c>
      <c r="D1112" s="103" t="s">
        <v>47</v>
      </c>
      <c r="E1112" s="91" t="s">
        <v>1348</v>
      </c>
      <c r="F1112" s="91" t="s">
        <v>643</v>
      </c>
      <c r="G1112" s="91" t="s">
        <v>642</v>
      </c>
      <c r="H1112" s="104" t="str">
        <f t="shared" si="70"/>
        <v>C2104J30</v>
      </c>
      <c r="I1112" s="104"/>
      <c r="J1112" s="105">
        <v>370.26</v>
      </c>
      <c r="K1112" s="106">
        <f>IF(D1112="CAESARSTONE LTD",VLOOKUP(H1112,'[2]GIA CA'!G:H,2,0),IF(OR(D1112="STONE FACINGS LIMITED",D1112="NORDIA SA",D1112="INVICTUS STONE COUNTERTOPS INC",D1112="QUARTZTOP LLC"),VLOOKUP(H1112,'[2] Giá ngoài Mỹ - SI-GR'!$B$5:$AZ$84,51,0),IF(OR(D1112="HYUNDAI L&amp;C CANADA INC",D1112="Hyundai L&amp; C USA LLC"),VLOOKUP(H1112,'[2]GIA HS'!A:D,4,0),IF(Y1112="Mỹ",VLOOKUP(H1112,'[2]giá mỹ từ 6.8.2025'!B:I,2,0),VLOOKUP(H1112,'[2]giá ngoài mỹ 6.8.2025 (final)'!B:BP,51,0)))))</f>
        <v>72</v>
      </c>
      <c r="L1112" s="106">
        <v>75.08</v>
      </c>
      <c r="M1112" s="106">
        <f t="shared" si="69"/>
        <v>3.0799999999999983</v>
      </c>
      <c r="N1112" s="106">
        <v>75.08</v>
      </c>
      <c r="O1112" s="107">
        <v>27799.08</v>
      </c>
      <c r="P1112" s="107">
        <v>26040</v>
      </c>
      <c r="Q1112" s="107">
        <v>723888043</v>
      </c>
      <c r="R1112" s="102" t="s">
        <v>30</v>
      </c>
      <c r="S1112" s="108"/>
      <c r="T1112" s="109"/>
      <c r="U1112" s="109"/>
      <c r="V1112" s="102"/>
      <c r="W1112" s="109"/>
      <c r="X1112" s="109"/>
      <c r="Y1112" s="110" t="s">
        <v>31</v>
      </c>
      <c r="Z1112" s="111" t="str">
        <f>MID(E1112,4,2)</f>
        <v>AT</v>
      </c>
    </row>
    <row r="1113" spans="1:26" s="111" customFormat="1" x14ac:dyDescent="0.2">
      <c r="A1113" s="101">
        <v>46249</v>
      </c>
      <c r="B1113" s="91" t="s">
        <v>1349</v>
      </c>
      <c r="C1113" s="102" t="s">
        <v>1350</v>
      </c>
      <c r="D1113" s="103" t="s">
        <v>1351</v>
      </c>
      <c r="E1113" s="91" t="s">
        <v>1352</v>
      </c>
      <c r="F1113" s="91" t="s">
        <v>62</v>
      </c>
      <c r="G1113" s="91" t="s">
        <v>63</v>
      </c>
      <c r="H1113" s="104" t="str">
        <f t="shared" si="70"/>
        <v>C4255J30</v>
      </c>
      <c r="I1113" s="104"/>
      <c r="J1113" s="105">
        <v>266.8</v>
      </c>
      <c r="K1113" s="106">
        <f>IF(D1113="CAESARSTONE LTD",VLOOKUP(H1113,'[2]GIA CA'!G:H,2,0),IF(OR(D1113="STONE FACINGS LIMITED",D1113="NORDIA SA",D1113="INVICTUS STONE COUNTERTOPS INC",D1113="QUARTZTOP LLC"),VLOOKUP(H1113,'[2] Giá ngoài Mỹ - SI-GR'!$B$5:$AZ$84,51,0),IF(OR(D1113="HYUNDAI L&amp;C CANADA INC",D1113="Hyundai L&amp; C USA LLC"),VLOOKUP(H1113,'[2]GIA HS'!A:D,4,0),IF(Y1113="Mỹ",VLOOKUP(H1113,'[2]giá mỹ từ 6.8.2025'!B:I,2,0),VLOOKUP(H1113,'[2]giá ngoài mỹ 6.8.2025 (final)'!B:BP,51,0)))))</f>
        <v>82</v>
      </c>
      <c r="L1113" s="106">
        <v>86.1</v>
      </c>
      <c r="M1113" s="106">
        <f t="shared" si="69"/>
        <v>4.0999999999999943</v>
      </c>
      <c r="N1113" s="106">
        <v>86.1</v>
      </c>
      <c r="O1113" s="107">
        <v>22971.48</v>
      </c>
      <c r="P1113" s="107">
        <v>26040</v>
      </c>
      <c r="Q1113" s="107">
        <v>598177339</v>
      </c>
      <c r="R1113" s="102" t="s">
        <v>30</v>
      </c>
      <c r="S1113" s="108"/>
      <c r="T1113" s="109"/>
      <c r="U1113" s="109"/>
      <c r="V1113" s="102"/>
      <c r="W1113" s="109"/>
      <c r="X1113" s="109"/>
      <c r="Y1113" s="110" t="s">
        <v>803</v>
      </c>
      <c r="Z1113" s="111" t="str">
        <f>MID(E1113,4,2)</f>
        <v>HS</v>
      </c>
    </row>
    <row r="1114" spans="1:26" s="111" customFormat="1" x14ac:dyDescent="0.2">
      <c r="A1114" s="101">
        <v>46249</v>
      </c>
      <c r="B1114" s="91" t="s">
        <v>1349</v>
      </c>
      <c r="C1114" s="102" t="s">
        <v>1350</v>
      </c>
      <c r="D1114" s="103" t="s">
        <v>1351</v>
      </c>
      <c r="E1114" s="91" t="s">
        <v>1352</v>
      </c>
      <c r="F1114" s="91" t="s">
        <v>64</v>
      </c>
      <c r="G1114" s="91" t="s">
        <v>63</v>
      </c>
      <c r="H1114" s="104" t="str">
        <f t="shared" si="70"/>
        <v>C4255J30</v>
      </c>
      <c r="I1114" s="104"/>
      <c r="J1114" s="105">
        <v>5.45</v>
      </c>
      <c r="K1114" s="106">
        <f>IF(D1114="CAESARSTONE LTD",VLOOKUP(H1114,'[2]GIA CA'!G:H,2,0),IF(OR(D1114="STONE FACINGS LIMITED",D1114="NORDIA SA",D1114="INVICTUS STONE COUNTERTOPS INC",D1114="QUARTZTOP LLC"),VLOOKUP(H1114,'[2] Giá ngoài Mỹ - SI-GR'!$B$5:$AZ$84,51,0),IF(OR(D1114="HYUNDAI L&amp;C CANADA INC",D1114="Hyundai L&amp; C USA LLC"),VLOOKUP(H1114,'[2]GIA HS'!A:D,4,0),IF(Y1114="Mỹ",VLOOKUP(H1114,'[2]giá mỹ từ 6.8.2025'!B:I,2,0),VLOOKUP(H1114,'[2]giá ngoài mỹ 6.8.2025 (final)'!B:BP,51,0)))))</f>
        <v>82</v>
      </c>
      <c r="L1114" s="106">
        <v>86.1</v>
      </c>
      <c r="M1114" s="106">
        <f t="shared" si="69"/>
        <v>4.0999999999999943</v>
      </c>
      <c r="N1114" s="106">
        <v>86.1</v>
      </c>
      <c r="O1114" s="107">
        <v>469.25</v>
      </c>
      <c r="P1114" s="107">
        <v>26040</v>
      </c>
      <c r="Q1114" s="107">
        <v>12219270</v>
      </c>
      <c r="R1114" s="102" t="s">
        <v>30</v>
      </c>
      <c r="S1114" s="108"/>
      <c r="T1114" s="109"/>
      <c r="U1114" s="109"/>
      <c r="V1114" s="102"/>
      <c r="W1114" s="109"/>
      <c r="X1114" s="109"/>
      <c r="Y1114" s="110" t="s">
        <v>803</v>
      </c>
      <c r="Z1114" s="111" t="str">
        <f>MID(E1114,4,2)</f>
        <v>HS</v>
      </c>
    </row>
    <row r="1115" spans="1:26" s="111" customFormat="1" x14ac:dyDescent="0.2">
      <c r="A1115" s="101">
        <v>46249</v>
      </c>
      <c r="B1115" s="91" t="s">
        <v>1353</v>
      </c>
      <c r="C1115" s="102" t="s">
        <v>1354</v>
      </c>
      <c r="D1115" s="103" t="s">
        <v>427</v>
      </c>
      <c r="E1115" s="91" t="s">
        <v>1355</v>
      </c>
      <c r="F1115" s="91" t="s">
        <v>1294</v>
      </c>
      <c r="G1115" s="91" t="s">
        <v>1295</v>
      </c>
      <c r="H1115" s="104" t="str">
        <f t="shared" si="70"/>
        <v>C5225J30</v>
      </c>
      <c r="I1115" s="104"/>
      <c r="J1115" s="105">
        <v>266.8</v>
      </c>
      <c r="K1115" s="106">
        <f>IF(D1115="CAESARSTONE LTD",VLOOKUP(H1115,'[2]GIA CA'!G:H,2,0),IF(OR(D1115="STONE FACINGS LIMITED",D1115="NORDIA SA",D1115="INVICTUS STONE COUNTERTOPS INC",D1115="QUARTZTOP LLC"),VLOOKUP(H1115,'[2] Giá ngoài Mỹ - SI-GR'!$B$5:$AZ$84,51,0),IF(OR(D1115="HYUNDAI L&amp;C CANADA INC",D1115="Hyundai L&amp; C USA LLC"),VLOOKUP(H1115,'[2]GIA HS'!A:D,4,0),IF(Y1115="Mỹ",VLOOKUP(H1115,'[2]giá mỹ từ 6.8.2025'!B:I,2,0),VLOOKUP(H1115,'[2]giá ngoài mỹ 6.8.2025 (final)'!B:BP,51,0)))))</f>
        <v>91</v>
      </c>
      <c r="L1115" s="106">
        <v>91</v>
      </c>
      <c r="M1115" s="106">
        <f t="shared" si="69"/>
        <v>0</v>
      </c>
      <c r="N1115" s="106">
        <v>87.14</v>
      </c>
      <c r="O1115" s="107">
        <v>23248.65</v>
      </c>
      <c r="P1115" s="107">
        <v>26040</v>
      </c>
      <c r="Q1115" s="107">
        <v>605394846</v>
      </c>
      <c r="R1115" s="102" t="s">
        <v>30</v>
      </c>
      <c r="S1115" s="108"/>
      <c r="T1115" s="109"/>
      <c r="U1115" s="109"/>
      <c r="V1115" s="102"/>
      <c r="W1115" s="109"/>
      <c r="X1115" s="109"/>
      <c r="Y1115" s="110" t="s">
        <v>31</v>
      </c>
      <c r="Z1115" s="111" t="str">
        <f>MID(E1115,4,2)</f>
        <v>JD</v>
      </c>
    </row>
    <row r="1116" spans="1:26" s="111" customFormat="1" x14ac:dyDescent="0.2">
      <c r="A1116" s="101">
        <v>46249</v>
      </c>
      <c r="B1116" s="91" t="s">
        <v>1353</v>
      </c>
      <c r="C1116" s="102" t="s">
        <v>1354</v>
      </c>
      <c r="D1116" s="103" t="s">
        <v>427</v>
      </c>
      <c r="E1116" s="91" t="s">
        <v>1355</v>
      </c>
      <c r="F1116" s="91" t="s">
        <v>1294</v>
      </c>
      <c r="G1116" s="91" t="s">
        <v>1295</v>
      </c>
      <c r="H1116" s="104" t="str">
        <f t="shared" si="70"/>
        <v>C5225J30</v>
      </c>
      <c r="I1116" s="104"/>
      <c r="J1116" s="105">
        <v>5.45</v>
      </c>
      <c r="K1116" s="106">
        <f>IF(D1116="CAESARSTONE LTD",VLOOKUP(H1116,'[2]GIA CA'!G:H,2,0),IF(OR(D1116="STONE FACINGS LIMITED",D1116="NORDIA SA",D1116="INVICTUS STONE COUNTERTOPS INC",D1116="QUARTZTOP LLC"),VLOOKUP(H1116,'[2] Giá ngoài Mỹ - SI-GR'!$B$5:$AZ$84,51,0),IF(OR(D1116="HYUNDAI L&amp;C CANADA INC",D1116="Hyundai L&amp; C USA LLC"),VLOOKUP(H1116,'[2]GIA HS'!A:D,4,0),IF(Y1116="Mỹ",VLOOKUP(H1116,'[2]giá mỹ từ 6.8.2025'!B:I,2,0),VLOOKUP(H1116,'[2]giá ngoài mỹ 6.8.2025 (final)'!B:BP,51,0)))))</f>
        <v>91</v>
      </c>
      <c r="L1116" s="106">
        <v>91</v>
      </c>
      <c r="M1116" s="106">
        <f t="shared" si="69"/>
        <v>0</v>
      </c>
      <c r="N1116" s="106">
        <v>87.14</v>
      </c>
      <c r="O1116" s="107">
        <v>474.91</v>
      </c>
      <c r="P1116" s="107">
        <v>26040</v>
      </c>
      <c r="Q1116" s="107">
        <v>12366656</v>
      </c>
      <c r="R1116" s="102" t="s">
        <v>30</v>
      </c>
      <c r="S1116" s="108"/>
      <c r="T1116" s="109"/>
      <c r="U1116" s="109"/>
      <c r="V1116" s="102"/>
      <c r="W1116" s="109"/>
      <c r="X1116" s="109"/>
      <c r="Y1116" s="110" t="s">
        <v>31</v>
      </c>
      <c r="Z1116" s="111" t="str">
        <f>MID(E1116,4,2)</f>
        <v>JD</v>
      </c>
    </row>
    <row r="1117" spans="1:26" s="111" customFormat="1" x14ac:dyDescent="0.2">
      <c r="A1117" s="101">
        <v>46249</v>
      </c>
      <c r="B1117" s="91" t="s">
        <v>1353</v>
      </c>
      <c r="C1117" s="102" t="s">
        <v>1354</v>
      </c>
      <c r="D1117" s="103" t="s">
        <v>427</v>
      </c>
      <c r="E1117" s="91" t="s">
        <v>1355</v>
      </c>
      <c r="F1117" s="91" t="s">
        <v>1296</v>
      </c>
      <c r="G1117" s="91" t="s">
        <v>1295</v>
      </c>
      <c r="H1117" s="104" t="str">
        <f t="shared" si="70"/>
        <v>C5225J30</v>
      </c>
      <c r="I1117" s="104"/>
      <c r="J1117" s="105">
        <v>21.78</v>
      </c>
      <c r="K1117" s="106">
        <f>IF(D1117="CAESARSTONE LTD",VLOOKUP(H1117,'[2]GIA CA'!G:H,2,0),IF(OR(D1117="STONE FACINGS LIMITED",D1117="NORDIA SA",D1117="INVICTUS STONE COUNTERTOPS INC",D1117="QUARTZTOP LLC"),VLOOKUP(H1117,'[2] Giá ngoài Mỹ - SI-GR'!$B$5:$AZ$84,51,0),IF(OR(D1117="HYUNDAI L&amp;C CANADA INC",D1117="Hyundai L&amp; C USA LLC"),VLOOKUP(H1117,'[2]GIA HS'!A:D,4,0),IF(Y1117="Mỹ",VLOOKUP(H1117,'[2]giá mỹ từ 6.8.2025'!B:I,2,0),VLOOKUP(H1117,'[2]giá ngoài mỹ 6.8.2025 (final)'!B:BP,51,0)))))</f>
        <v>91</v>
      </c>
      <c r="L1117" s="106">
        <v>91</v>
      </c>
      <c r="M1117" s="106">
        <f t="shared" si="69"/>
        <v>0</v>
      </c>
      <c r="N1117" s="106">
        <v>87.14</v>
      </c>
      <c r="O1117" s="107">
        <v>1897.89</v>
      </c>
      <c r="P1117" s="107">
        <v>26040</v>
      </c>
      <c r="Q1117" s="107">
        <v>49421056</v>
      </c>
      <c r="R1117" s="102" t="s">
        <v>30</v>
      </c>
      <c r="S1117" s="108"/>
      <c r="T1117" s="109"/>
      <c r="U1117" s="109"/>
      <c r="V1117" s="102"/>
      <c r="W1117" s="109"/>
      <c r="X1117" s="109"/>
      <c r="Y1117" s="110" t="s">
        <v>31</v>
      </c>
      <c r="Z1117" s="111" t="str">
        <f>MID(E1117,4,2)</f>
        <v>JD</v>
      </c>
    </row>
    <row r="1118" spans="1:26" s="111" customFormat="1" x14ac:dyDescent="0.2">
      <c r="A1118" s="101">
        <v>46249</v>
      </c>
      <c r="B1118" s="91" t="s">
        <v>1353</v>
      </c>
      <c r="C1118" s="102" t="s">
        <v>1354</v>
      </c>
      <c r="D1118" s="103" t="s">
        <v>427</v>
      </c>
      <c r="E1118" s="91" t="s">
        <v>1355</v>
      </c>
      <c r="F1118" s="91" t="s">
        <v>1356</v>
      </c>
      <c r="G1118" s="91" t="s">
        <v>1357</v>
      </c>
      <c r="H1118" s="104" t="str">
        <f t="shared" si="70"/>
        <v>C4204J20</v>
      </c>
      <c r="I1118" s="104"/>
      <c r="J1118" s="105">
        <v>2.9</v>
      </c>
      <c r="K1118" s="106">
        <f>IF(D1118="CAESARSTONE LTD",VLOOKUP(H1118,'[2]GIA CA'!G:H,2,0),IF(OR(D1118="STONE FACINGS LIMITED",D1118="NORDIA SA",D1118="INVICTUS STONE COUNTERTOPS INC",D1118="QUARTZTOP LLC"),VLOOKUP(H1118,'[2] Giá ngoài Mỹ - SI-GR'!$B$5:$AZ$84,51,0),IF(OR(D1118="HYUNDAI L&amp;C CANADA INC",D1118="Hyundai L&amp; C USA LLC"),VLOOKUP(H1118,'[2]GIA HS'!A:D,4,0),IF(Y1118="Mỹ",VLOOKUP(H1118,'[2]giá mỹ từ 6.8.2025'!B:I,2,0),VLOOKUP(H1118,'[2]giá ngoài mỹ 6.8.2025 (final)'!B:BP,51,0)))))</f>
        <v>60</v>
      </c>
      <c r="L1118" s="106">
        <v>65</v>
      </c>
      <c r="M1118" s="106">
        <f t="shared" si="69"/>
        <v>5</v>
      </c>
      <c r="N1118" s="106">
        <v>65</v>
      </c>
      <c r="O1118" s="107">
        <v>188.5</v>
      </c>
      <c r="P1118" s="107">
        <v>26040</v>
      </c>
      <c r="Q1118" s="107">
        <v>4908540</v>
      </c>
      <c r="R1118" s="102"/>
      <c r="S1118" s="108"/>
      <c r="T1118" s="109" t="s">
        <v>30</v>
      </c>
      <c r="U1118" s="109"/>
      <c r="V1118" s="102"/>
      <c r="W1118" s="109"/>
      <c r="X1118" s="109"/>
      <c r="Y1118" s="110" t="s">
        <v>31</v>
      </c>
      <c r="Z1118" s="111" t="str">
        <f>MID(E1118,4,2)</f>
        <v>JD</v>
      </c>
    </row>
    <row r="1119" spans="1:26" s="111" customFormat="1" x14ac:dyDescent="0.2">
      <c r="A1119" s="101">
        <v>46249</v>
      </c>
      <c r="B1119" s="91" t="s">
        <v>1358</v>
      </c>
      <c r="C1119" s="102" t="s">
        <v>1359</v>
      </c>
      <c r="D1119" s="103" t="s">
        <v>47</v>
      </c>
      <c r="E1119" s="91" t="s">
        <v>1360</v>
      </c>
      <c r="F1119" s="91" t="s">
        <v>479</v>
      </c>
      <c r="G1119" s="91" t="s">
        <v>480</v>
      </c>
      <c r="H1119" s="104" t="str">
        <f t="shared" si="70"/>
        <v>C4342J30</v>
      </c>
      <c r="I1119" s="104"/>
      <c r="J1119" s="105">
        <v>381.15</v>
      </c>
      <c r="K1119" s="106">
        <f>IF(D1119="CAESARSTONE LTD",VLOOKUP(H1119,'[2]GIA CA'!G:H,2,0),IF(OR(D1119="STONE FACINGS LIMITED",D1119="NORDIA SA",D1119="INVICTUS STONE COUNTERTOPS INC",D1119="QUARTZTOP LLC"),VLOOKUP(H1119,'[2] Giá ngoài Mỹ - SI-GR'!$B$5:$AZ$84,51,0),IF(OR(D1119="HYUNDAI L&amp;C CANADA INC",D1119="Hyundai L&amp; C USA LLC"),VLOOKUP(H1119,'[2]GIA HS'!A:D,4,0),IF(Y1119="Mỹ",VLOOKUP(H1119,'[2]giá mỹ từ 6.8.2025'!B:I,2,0),VLOOKUP(H1119,'[2]giá ngoài mỹ 6.8.2025 (final)'!B:BP,51,0)))))</f>
        <v>79</v>
      </c>
      <c r="L1119" s="106">
        <v>83.09</v>
      </c>
      <c r="M1119" s="106">
        <f t="shared" si="69"/>
        <v>4.0900000000000034</v>
      </c>
      <c r="N1119" s="106">
        <v>83.09</v>
      </c>
      <c r="O1119" s="107">
        <v>31669.4</v>
      </c>
      <c r="P1119" s="107">
        <v>26040</v>
      </c>
      <c r="Q1119" s="107">
        <v>824671176</v>
      </c>
      <c r="R1119" s="102" t="s">
        <v>30</v>
      </c>
      <c r="S1119" s="108"/>
      <c r="T1119" s="109"/>
      <c r="U1119" s="109"/>
      <c r="V1119" s="102"/>
      <c r="W1119" s="109"/>
      <c r="X1119" s="109"/>
      <c r="Y1119" s="110" t="s">
        <v>31</v>
      </c>
      <c r="Z1119" s="111" t="str">
        <f>MID(E1119,4,2)</f>
        <v>AT</v>
      </c>
    </row>
    <row r="1120" spans="1:26" s="111" customFormat="1" x14ac:dyDescent="0.2">
      <c r="A1120" s="101">
        <v>46249</v>
      </c>
      <c r="B1120" s="91" t="s">
        <v>1361</v>
      </c>
      <c r="C1120" s="102" t="s">
        <v>1362</v>
      </c>
      <c r="D1120" s="103" t="s">
        <v>60</v>
      </c>
      <c r="E1120" s="91" t="s">
        <v>1363</v>
      </c>
      <c r="F1120" s="91" t="s">
        <v>1364</v>
      </c>
      <c r="G1120" s="91" t="s">
        <v>1365</v>
      </c>
      <c r="H1120" s="104" t="str">
        <f t="shared" si="70"/>
        <v>C4155J30</v>
      </c>
      <c r="I1120" s="104"/>
      <c r="J1120" s="105">
        <v>10.89</v>
      </c>
      <c r="K1120" s="106">
        <f>IF(D1120="CAESARSTONE LTD",VLOOKUP(H1120,'[2]GIA CA'!G:H,2,0),IF(OR(D1120="STONE FACINGS LIMITED",D1120="NORDIA SA",D1120="INVICTUS STONE COUNTERTOPS INC",D1120="QUARTZTOP LLC"),VLOOKUP(H1120,'[2] Giá ngoài Mỹ - SI-GR'!$B$5:$AZ$84,51,0),IF(OR(D1120="HYUNDAI L&amp;C CANADA INC",D1120="Hyundai L&amp; C USA LLC"),VLOOKUP(H1120,'[2]GIA HS'!A:D,4,0),IF(Y1120="Mỹ",VLOOKUP(H1120,'[2]giá mỹ từ 6.8.2025'!B:I,2,0),VLOOKUP(H1120,'[2]giá ngoài mỹ 6.8.2025 (final)'!B:BP,51,0)))))</f>
        <v>86</v>
      </c>
      <c r="L1120" s="106">
        <v>90.3</v>
      </c>
      <c r="M1120" s="106">
        <f t="shared" si="69"/>
        <v>4.2999999999999972</v>
      </c>
      <c r="N1120" s="106">
        <v>90.3</v>
      </c>
      <c r="O1120" s="107">
        <v>983.37</v>
      </c>
      <c r="P1120" s="107">
        <v>26040</v>
      </c>
      <c r="Q1120" s="107">
        <v>25606955</v>
      </c>
      <c r="R1120" s="102" t="s">
        <v>30</v>
      </c>
      <c r="S1120" s="108"/>
      <c r="T1120" s="109"/>
      <c r="U1120" s="109"/>
      <c r="V1120" s="102"/>
      <c r="W1120" s="109"/>
      <c r="X1120" s="109"/>
      <c r="Y1120" s="110" t="s">
        <v>31</v>
      </c>
      <c r="Z1120" s="111" t="str">
        <f>MID(E1120,4,2)</f>
        <v>HS</v>
      </c>
    </row>
    <row r="1121" spans="1:26" s="111" customFormat="1" x14ac:dyDescent="0.2">
      <c r="A1121" s="101">
        <v>46249</v>
      </c>
      <c r="B1121" s="91" t="s">
        <v>1361</v>
      </c>
      <c r="C1121" s="102" t="s">
        <v>1362</v>
      </c>
      <c r="D1121" s="103" t="s">
        <v>60</v>
      </c>
      <c r="E1121" s="91" t="s">
        <v>1363</v>
      </c>
      <c r="F1121" s="91" t="s">
        <v>1366</v>
      </c>
      <c r="G1121" s="91" t="s">
        <v>1365</v>
      </c>
      <c r="H1121" s="104" t="str">
        <f t="shared" si="70"/>
        <v>C4155J30</v>
      </c>
      <c r="I1121" s="104"/>
      <c r="J1121" s="105">
        <v>59.9</v>
      </c>
      <c r="K1121" s="106">
        <f>IF(D1121="CAESARSTONE LTD",VLOOKUP(H1121,'[2]GIA CA'!G:H,2,0),IF(OR(D1121="STONE FACINGS LIMITED",D1121="NORDIA SA",D1121="INVICTUS STONE COUNTERTOPS INC",D1121="QUARTZTOP LLC"),VLOOKUP(H1121,'[2] Giá ngoài Mỹ - SI-GR'!$B$5:$AZ$84,51,0),IF(OR(D1121="HYUNDAI L&amp;C CANADA INC",D1121="Hyundai L&amp; C USA LLC"),VLOOKUP(H1121,'[2]GIA HS'!A:D,4,0),IF(Y1121="Mỹ",VLOOKUP(H1121,'[2]giá mỹ từ 6.8.2025'!B:I,2,0),VLOOKUP(H1121,'[2]giá ngoài mỹ 6.8.2025 (final)'!B:BP,51,0)))))</f>
        <v>86</v>
      </c>
      <c r="L1121" s="106">
        <v>90.3</v>
      </c>
      <c r="M1121" s="106">
        <f t="shared" si="69"/>
        <v>4.2999999999999972</v>
      </c>
      <c r="N1121" s="106">
        <v>90.3</v>
      </c>
      <c r="O1121" s="107">
        <v>5408.97</v>
      </c>
      <c r="P1121" s="107">
        <v>26040</v>
      </c>
      <c r="Q1121" s="107">
        <v>140849579</v>
      </c>
      <c r="R1121" s="102" t="s">
        <v>30</v>
      </c>
      <c r="S1121" s="108"/>
      <c r="T1121" s="109"/>
      <c r="U1121" s="109"/>
      <c r="V1121" s="102"/>
      <c r="W1121" s="109"/>
      <c r="X1121" s="109"/>
      <c r="Y1121" s="110" t="s">
        <v>31</v>
      </c>
      <c r="Z1121" s="111" t="str">
        <f>MID(E1121,4,2)</f>
        <v>HS</v>
      </c>
    </row>
    <row r="1122" spans="1:26" s="111" customFormat="1" x14ac:dyDescent="0.2">
      <c r="A1122" s="101">
        <v>46249</v>
      </c>
      <c r="B1122" s="91" t="s">
        <v>1361</v>
      </c>
      <c r="C1122" s="102" t="s">
        <v>1362</v>
      </c>
      <c r="D1122" s="103" t="s">
        <v>60</v>
      </c>
      <c r="E1122" s="91" t="s">
        <v>1363</v>
      </c>
      <c r="F1122" s="91" t="s">
        <v>1367</v>
      </c>
      <c r="G1122" s="91" t="s">
        <v>1365</v>
      </c>
      <c r="H1122" s="104" t="str">
        <f t="shared" si="70"/>
        <v>C4155J30</v>
      </c>
      <c r="I1122" s="104"/>
      <c r="J1122" s="105">
        <v>16.329999999999998</v>
      </c>
      <c r="K1122" s="106">
        <f>IF(D1122="CAESARSTONE LTD",VLOOKUP(H1122,'[2]GIA CA'!G:H,2,0),IF(OR(D1122="STONE FACINGS LIMITED",D1122="NORDIA SA",D1122="INVICTUS STONE COUNTERTOPS INC",D1122="QUARTZTOP LLC"),VLOOKUP(H1122,'[2] Giá ngoài Mỹ - SI-GR'!$B$5:$AZ$84,51,0),IF(OR(D1122="HYUNDAI L&amp;C CANADA INC",D1122="Hyundai L&amp; C USA LLC"),VLOOKUP(H1122,'[2]GIA HS'!A:D,4,0),IF(Y1122="Mỹ",VLOOKUP(H1122,'[2]giá mỹ từ 6.8.2025'!B:I,2,0),VLOOKUP(H1122,'[2]giá ngoài mỹ 6.8.2025 (final)'!B:BP,51,0)))))</f>
        <v>86</v>
      </c>
      <c r="L1122" s="106">
        <v>90.3</v>
      </c>
      <c r="M1122" s="106">
        <f t="shared" si="69"/>
        <v>4.2999999999999972</v>
      </c>
      <c r="N1122" s="106">
        <v>90.3</v>
      </c>
      <c r="O1122" s="107">
        <v>1474.6</v>
      </c>
      <c r="P1122" s="107">
        <v>26040</v>
      </c>
      <c r="Q1122" s="107">
        <v>38398584</v>
      </c>
      <c r="R1122" s="102" t="s">
        <v>30</v>
      </c>
      <c r="S1122" s="108"/>
      <c r="T1122" s="109"/>
      <c r="U1122" s="109"/>
      <c r="V1122" s="102"/>
      <c r="W1122" s="109"/>
      <c r="X1122" s="109"/>
      <c r="Y1122" s="110" t="s">
        <v>31</v>
      </c>
      <c r="Z1122" s="111" t="str">
        <f>MID(E1122,4,2)</f>
        <v>HS</v>
      </c>
    </row>
    <row r="1123" spans="1:26" s="111" customFormat="1" x14ac:dyDescent="0.2">
      <c r="A1123" s="101">
        <v>46249</v>
      </c>
      <c r="B1123" s="91" t="s">
        <v>1361</v>
      </c>
      <c r="C1123" s="102" t="s">
        <v>1362</v>
      </c>
      <c r="D1123" s="103" t="s">
        <v>60</v>
      </c>
      <c r="E1123" s="91" t="s">
        <v>1363</v>
      </c>
      <c r="F1123" s="91" t="s">
        <v>1236</v>
      </c>
      <c r="G1123" s="91" t="s">
        <v>1235</v>
      </c>
      <c r="H1123" s="104" t="str">
        <f t="shared" si="70"/>
        <v>C4264J30</v>
      </c>
      <c r="I1123" s="104"/>
      <c r="J1123" s="105">
        <v>157.91</v>
      </c>
      <c r="K1123" s="106">
        <f>IF(D1123="CAESARSTONE LTD",VLOOKUP(H1123,'[2]GIA CA'!G:H,2,0),IF(OR(D1123="STONE FACINGS LIMITED",D1123="NORDIA SA",D1123="INVICTUS STONE COUNTERTOPS INC",D1123="QUARTZTOP LLC"),VLOOKUP(H1123,'[2] Giá ngoài Mỹ - SI-GR'!$B$5:$AZ$84,51,0),IF(OR(D1123="HYUNDAI L&amp;C CANADA INC",D1123="Hyundai L&amp; C USA LLC"),VLOOKUP(H1123,'[2]GIA HS'!A:D,4,0),IF(Y1123="Mỹ",VLOOKUP(H1123,'[2]giá mỹ từ 6.8.2025'!B:I,2,0),VLOOKUP(H1123,'[2]giá ngoài mỹ 6.8.2025 (final)'!B:BP,51,0)))))</f>
        <v>90</v>
      </c>
      <c r="L1123" s="106">
        <v>94.5</v>
      </c>
      <c r="M1123" s="106">
        <f t="shared" si="69"/>
        <v>4.5</v>
      </c>
      <c r="N1123" s="106">
        <v>94.5</v>
      </c>
      <c r="O1123" s="107">
        <v>14922.5</v>
      </c>
      <c r="P1123" s="107">
        <v>26040</v>
      </c>
      <c r="Q1123" s="107">
        <v>388581900</v>
      </c>
      <c r="R1123" s="102" t="s">
        <v>30</v>
      </c>
      <c r="S1123" s="108"/>
      <c r="T1123" s="109"/>
      <c r="U1123" s="109"/>
      <c r="V1123" s="102"/>
      <c r="W1123" s="109"/>
      <c r="X1123" s="109"/>
      <c r="Y1123" s="110" t="s">
        <v>31</v>
      </c>
      <c r="Z1123" s="111" t="str">
        <f>MID(E1123,4,2)</f>
        <v>HS</v>
      </c>
    </row>
    <row r="1124" spans="1:26" s="111" customFormat="1" x14ac:dyDescent="0.2">
      <c r="A1124" s="101">
        <v>46249</v>
      </c>
      <c r="B1124" s="91" t="s">
        <v>1361</v>
      </c>
      <c r="C1124" s="102" t="s">
        <v>1362</v>
      </c>
      <c r="D1124" s="103" t="s">
        <v>60</v>
      </c>
      <c r="E1124" s="91" t="s">
        <v>1363</v>
      </c>
      <c r="F1124" s="91" t="s">
        <v>1237</v>
      </c>
      <c r="G1124" s="91" t="s">
        <v>1235</v>
      </c>
      <c r="H1124" s="104" t="str">
        <f t="shared" si="70"/>
        <v>C4264J30</v>
      </c>
      <c r="I1124" s="104"/>
      <c r="J1124" s="105">
        <v>16.329999999999998</v>
      </c>
      <c r="K1124" s="106">
        <f>IF(D1124="CAESARSTONE LTD",VLOOKUP(H1124,'[2]GIA CA'!G:H,2,0),IF(OR(D1124="STONE FACINGS LIMITED",D1124="NORDIA SA",D1124="INVICTUS STONE COUNTERTOPS INC",D1124="QUARTZTOP LLC"),VLOOKUP(H1124,'[2] Giá ngoài Mỹ - SI-GR'!$B$5:$AZ$84,51,0),IF(OR(D1124="HYUNDAI L&amp;C CANADA INC",D1124="Hyundai L&amp; C USA LLC"),VLOOKUP(H1124,'[2]GIA HS'!A:D,4,0),IF(Y1124="Mỹ",VLOOKUP(H1124,'[2]giá mỹ từ 6.8.2025'!B:I,2,0),VLOOKUP(H1124,'[2]giá ngoài mỹ 6.8.2025 (final)'!B:BP,51,0)))))</f>
        <v>90</v>
      </c>
      <c r="L1124" s="106">
        <v>94.5</v>
      </c>
      <c r="M1124" s="106">
        <f t="shared" si="69"/>
        <v>4.5</v>
      </c>
      <c r="N1124" s="106">
        <v>94.5</v>
      </c>
      <c r="O1124" s="107">
        <v>1543.18</v>
      </c>
      <c r="P1124" s="107">
        <v>26040</v>
      </c>
      <c r="Q1124" s="107">
        <v>40184407</v>
      </c>
      <c r="R1124" s="102" t="s">
        <v>30</v>
      </c>
      <c r="S1124" s="108"/>
      <c r="T1124" s="109"/>
      <c r="U1124" s="109"/>
      <c r="V1124" s="102"/>
      <c r="W1124" s="109"/>
      <c r="X1124" s="109"/>
      <c r="Y1124" s="110" t="s">
        <v>31</v>
      </c>
      <c r="Z1124" s="111" t="str">
        <f>MID(E1124,4,2)</f>
        <v>HS</v>
      </c>
    </row>
    <row r="1125" spans="1:26" s="111" customFormat="1" x14ac:dyDescent="0.2">
      <c r="A1125" s="101">
        <v>46249</v>
      </c>
      <c r="B1125" s="91" t="s">
        <v>1368</v>
      </c>
      <c r="C1125" s="102" t="s">
        <v>1369</v>
      </c>
      <c r="D1125" s="103" t="s">
        <v>47</v>
      </c>
      <c r="E1125" s="91" t="s">
        <v>1370</v>
      </c>
      <c r="F1125" s="91" t="s">
        <v>643</v>
      </c>
      <c r="G1125" s="91" t="s">
        <v>642</v>
      </c>
      <c r="H1125" s="104" t="str">
        <f t="shared" si="70"/>
        <v>C2104J30</v>
      </c>
      <c r="I1125" s="104"/>
      <c r="J1125" s="105">
        <v>370.26</v>
      </c>
      <c r="K1125" s="106">
        <f>IF(D1125="CAESARSTONE LTD",VLOOKUP(H1125,'[2]GIA CA'!G:H,2,0),IF(OR(D1125="STONE FACINGS LIMITED",D1125="NORDIA SA",D1125="INVICTUS STONE COUNTERTOPS INC",D1125="QUARTZTOP LLC"),VLOOKUP(H1125,'[2] Giá ngoài Mỹ - SI-GR'!$B$5:$AZ$84,51,0),IF(OR(D1125="HYUNDAI L&amp;C CANADA INC",D1125="Hyundai L&amp; C USA LLC"),VLOOKUP(H1125,'[2]GIA HS'!A:D,4,0),IF(Y1125="Mỹ",VLOOKUP(H1125,'[2]giá mỹ từ 6.8.2025'!B:I,2,0),VLOOKUP(H1125,'[2]giá ngoài mỹ 6.8.2025 (final)'!B:BP,51,0)))))</f>
        <v>72</v>
      </c>
      <c r="L1125" s="106">
        <v>75.08</v>
      </c>
      <c r="M1125" s="106">
        <f t="shared" si="69"/>
        <v>3.0799999999999983</v>
      </c>
      <c r="N1125" s="106">
        <v>75.08</v>
      </c>
      <c r="O1125" s="107">
        <v>27799.08</v>
      </c>
      <c r="P1125" s="107">
        <v>26040</v>
      </c>
      <c r="Q1125" s="107">
        <v>723888043</v>
      </c>
      <c r="R1125" s="102" t="s">
        <v>30</v>
      </c>
      <c r="S1125" s="108"/>
      <c r="T1125" s="109"/>
      <c r="U1125" s="109"/>
      <c r="V1125" s="102"/>
      <c r="W1125" s="109"/>
      <c r="X1125" s="109"/>
      <c r="Y1125" s="110" t="s">
        <v>31</v>
      </c>
      <c r="Z1125" s="111" t="str">
        <f>MID(E1125,4,2)</f>
        <v>AT</v>
      </c>
    </row>
    <row r="1126" spans="1:26" s="111" customFormat="1" x14ac:dyDescent="0.2">
      <c r="A1126" s="101">
        <v>46249</v>
      </c>
      <c r="B1126" s="91" t="s">
        <v>1371</v>
      </c>
      <c r="C1126" s="102" t="s">
        <v>1372</v>
      </c>
      <c r="D1126" s="103" t="s">
        <v>47</v>
      </c>
      <c r="E1126" s="91" t="s">
        <v>1373</v>
      </c>
      <c r="F1126" s="91" t="s">
        <v>56</v>
      </c>
      <c r="G1126" s="91" t="s">
        <v>57</v>
      </c>
      <c r="H1126" s="104" t="str">
        <f t="shared" si="70"/>
        <v>C4342J20</v>
      </c>
      <c r="I1126" s="104"/>
      <c r="J1126" s="105">
        <v>473.72</v>
      </c>
      <c r="K1126" s="106">
        <f>IF(D1126="CAESARSTONE LTD",VLOOKUP(H1126,'[2]GIA CA'!G:H,2,0),IF(OR(D1126="STONE FACINGS LIMITED",D1126="NORDIA SA",D1126="INVICTUS STONE COUNTERTOPS INC",D1126="QUARTZTOP LLC"),VLOOKUP(H1126,'[2] Giá ngoài Mỹ - SI-GR'!$B$5:$AZ$84,51,0),IF(OR(D1126="HYUNDAI L&amp;C CANADA INC",D1126="Hyundai L&amp; C USA LLC"),VLOOKUP(H1126,'[2]GIA HS'!A:D,4,0),IF(Y1126="Mỹ",VLOOKUP(H1126,'[2]giá mỹ từ 6.8.2025'!B:I,2,0),VLOOKUP(H1126,'[2]giá ngoài mỹ 6.8.2025 (final)'!B:BP,51,0)))))</f>
        <v>64</v>
      </c>
      <c r="L1126" s="106">
        <v>70.349999999999994</v>
      </c>
      <c r="M1126" s="106">
        <f t="shared" si="69"/>
        <v>6.3499999999999943</v>
      </c>
      <c r="N1126" s="106">
        <v>70.349999999999994</v>
      </c>
      <c r="O1126" s="107">
        <v>33326.22</v>
      </c>
      <c r="P1126" s="107">
        <v>26040</v>
      </c>
      <c r="Q1126" s="107">
        <v>867814769</v>
      </c>
      <c r="R1126" s="102" t="s">
        <v>30</v>
      </c>
      <c r="S1126" s="108"/>
      <c r="T1126" s="109"/>
      <c r="U1126" s="109"/>
      <c r="V1126" s="102"/>
      <c r="W1126" s="109"/>
      <c r="X1126" s="109"/>
      <c r="Y1126" s="110" t="s">
        <v>31</v>
      </c>
      <c r="Z1126" s="111" t="str">
        <f>MID(E1126,4,2)</f>
        <v>AT</v>
      </c>
    </row>
    <row r="1127" spans="1:26" s="111" customFormat="1" x14ac:dyDescent="0.2">
      <c r="A1127" s="101">
        <v>46249</v>
      </c>
      <c r="B1127" s="91" t="s">
        <v>1374</v>
      </c>
      <c r="C1127" s="102" t="s">
        <v>1375</v>
      </c>
      <c r="D1127" s="103" t="s">
        <v>47</v>
      </c>
      <c r="E1127" s="91" t="s">
        <v>1376</v>
      </c>
      <c r="F1127" s="91" t="s">
        <v>643</v>
      </c>
      <c r="G1127" s="91" t="s">
        <v>642</v>
      </c>
      <c r="H1127" s="104" t="str">
        <f t="shared" si="70"/>
        <v>C2104J30</v>
      </c>
      <c r="I1127" s="104"/>
      <c r="J1127" s="105">
        <v>370.26</v>
      </c>
      <c r="K1127" s="106">
        <f>IF(D1127="CAESARSTONE LTD",VLOOKUP(H1127,'[2]GIA CA'!G:H,2,0),IF(OR(D1127="STONE FACINGS LIMITED",D1127="NORDIA SA",D1127="INVICTUS STONE COUNTERTOPS INC",D1127="QUARTZTOP LLC"),VLOOKUP(H1127,'[2] Giá ngoài Mỹ - SI-GR'!$B$5:$AZ$84,51,0),IF(OR(D1127="HYUNDAI L&amp;C CANADA INC",D1127="Hyundai L&amp; C USA LLC"),VLOOKUP(H1127,'[2]GIA HS'!A:D,4,0),IF(Y1127="Mỹ",VLOOKUP(H1127,'[2]giá mỹ từ 6.8.2025'!B:I,2,0),VLOOKUP(H1127,'[2]giá ngoài mỹ 6.8.2025 (final)'!B:BP,51,0)))))</f>
        <v>72</v>
      </c>
      <c r="L1127" s="106">
        <v>75.08</v>
      </c>
      <c r="M1127" s="106">
        <f t="shared" si="69"/>
        <v>3.0799999999999983</v>
      </c>
      <c r="N1127" s="106">
        <v>75.08</v>
      </c>
      <c r="O1127" s="107">
        <v>27799.08</v>
      </c>
      <c r="P1127" s="107">
        <v>26040</v>
      </c>
      <c r="Q1127" s="107">
        <v>723888043</v>
      </c>
      <c r="R1127" s="102" t="s">
        <v>30</v>
      </c>
      <c r="S1127" s="108"/>
      <c r="T1127" s="109"/>
      <c r="U1127" s="109"/>
      <c r="V1127" s="102"/>
      <c r="W1127" s="109"/>
      <c r="X1127" s="109"/>
      <c r="Y1127" s="110" t="s">
        <v>31</v>
      </c>
      <c r="Z1127" s="111" t="str">
        <f>MID(E1127,4,2)</f>
        <v>AT</v>
      </c>
    </row>
    <row r="1128" spans="1:26" s="111" customFormat="1" x14ac:dyDescent="0.2">
      <c r="A1128" s="101">
        <v>46249</v>
      </c>
      <c r="B1128" s="91" t="s">
        <v>1377</v>
      </c>
      <c r="C1128" s="102" t="s">
        <v>1378</v>
      </c>
      <c r="D1128" s="103" t="s">
        <v>47</v>
      </c>
      <c r="E1128" s="91" t="s">
        <v>1379</v>
      </c>
      <c r="F1128" s="91" t="s">
        <v>643</v>
      </c>
      <c r="G1128" s="91" t="s">
        <v>642</v>
      </c>
      <c r="H1128" s="104" t="str">
        <f t="shared" si="70"/>
        <v>C2104J30</v>
      </c>
      <c r="I1128" s="104"/>
      <c r="J1128" s="105">
        <v>370.26</v>
      </c>
      <c r="K1128" s="106">
        <f>IF(D1128="CAESARSTONE LTD",VLOOKUP(H1128,'[2]GIA CA'!G:H,2,0),IF(OR(D1128="STONE FACINGS LIMITED",D1128="NORDIA SA",D1128="INVICTUS STONE COUNTERTOPS INC",D1128="QUARTZTOP LLC"),VLOOKUP(H1128,'[2] Giá ngoài Mỹ - SI-GR'!$B$5:$AZ$84,51,0),IF(OR(D1128="HYUNDAI L&amp;C CANADA INC",D1128="Hyundai L&amp; C USA LLC"),VLOOKUP(H1128,'[2]GIA HS'!A:D,4,0),IF(Y1128="Mỹ",VLOOKUP(H1128,'[2]giá mỹ từ 6.8.2025'!B:I,2,0),VLOOKUP(H1128,'[2]giá ngoài mỹ 6.8.2025 (final)'!B:BP,51,0)))))</f>
        <v>72</v>
      </c>
      <c r="L1128" s="106">
        <v>75.08</v>
      </c>
      <c r="M1128" s="106">
        <f t="shared" si="69"/>
        <v>3.0799999999999983</v>
      </c>
      <c r="N1128" s="106">
        <v>75.08</v>
      </c>
      <c r="O1128" s="107">
        <v>27799.08</v>
      </c>
      <c r="P1128" s="107">
        <v>26040</v>
      </c>
      <c r="Q1128" s="107">
        <v>723888043</v>
      </c>
      <c r="R1128" s="102" t="s">
        <v>30</v>
      </c>
      <c r="S1128" s="108"/>
      <c r="T1128" s="109"/>
      <c r="U1128" s="109"/>
      <c r="V1128" s="102"/>
      <c r="W1128" s="109"/>
      <c r="X1128" s="109"/>
      <c r="Y1128" s="110" t="s">
        <v>31</v>
      </c>
      <c r="Z1128" s="111" t="str">
        <f>MID(E1128,4,2)</f>
        <v>AT</v>
      </c>
    </row>
    <row r="1129" spans="1:26" s="111" customFormat="1" x14ac:dyDescent="0.2">
      <c r="A1129" s="101">
        <v>46249</v>
      </c>
      <c r="B1129" s="91" t="s">
        <v>1380</v>
      </c>
      <c r="C1129" s="102" t="s">
        <v>1381</v>
      </c>
      <c r="D1129" s="103" t="s">
        <v>47</v>
      </c>
      <c r="E1129" s="91" t="s">
        <v>1382</v>
      </c>
      <c r="F1129" s="91" t="s">
        <v>56</v>
      </c>
      <c r="G1129" s="91" t="s">
        <v>57</v>
      </c>
      <c r="H1129" s="104" t="str">
        <f t="shared" si="70"/>
        <v>C4342J20</v>
      </c>
      <c r="I1129" s="104"/>
      <c r="J1129" s="105">
        <v>473.72</v>
      </c>
      <c r="K1129" s="106">
        <f>IF(D1129="CAESARSTONE LTD",VLOOKUP(H1129,'[2]GIA CA'!G:H,2,0),IF(OR(D1129="STONE FACINGS LIMITED",D1129="NORDIA SA",D1129="INVICTUS STONE COUNTERTOPS INC",D1129="QUARTZTOP LLC"),VLOOKUP(H1129,'[2] Giá ngoài Mỹ - SI-GR'!$B$5:$AZ$84,51,0),IF(OR(D1129="HYUNDAI L&amp;C CANADA INC",D1129="Hyundai L&amp; C USA LLC"),VLOOKUP(H1129,'[2]GIA HS'!A:D,4,0),IF(Y1129="Mỹ",VLOOKUP(H1129,'[2]giá mỹ từ 6.8.2025'!B:I,2,0),VLOOKUP(H1129,'[2]giá ngoài mỹ 6.8.2025 (final)'!B:BP,51,0)))))</f>
        <v>64</v>
      </c>
      <c r="L1129" s="106">
        <v>70.349999999999994</v>
      </c>
      <c r="M1129" s="106">
        <f t="shared" si="69"/>
        <v>6.3499999999999943</v>
      </c>
      <c r="N1129" s="106">
        <v>70.349999999999994</v>
      </c>
      <c r="O1129" s="107">
        <v>33326.22</v>
      </c>
      <c r="P1129" s="107">
        <v>26040</v>
      </c>
      <c r="Q1129" s="107">
        <v>867814769</v>
      </c>
      <c r="R1129" s="102" t="s">
        <v>30</v>
      </c>
      <c r="S1129" s="108"/>
      <c r="T1129" s="109"/>
      <c r="U1129" s="109"/>
      <c r="V1129" s="102"/>
      <c r="W1129" s="109"/>
      <c r="X1129" s="109"/>
      <c r="Y1129" s="110" t="s">
        <v>31</v>
      </c>
      <c r="Z1129" s="111" t="str">
        <f>MID(E1129,4,2)</f>
        <v>AT</v>
      </c>
    </row>
    <row r="1130" spans="1:26" s="111" customFormat="1" x14ac:dyDescent="0.2">
      <c r="A1130" s="101">
        <v>46251</v>
      </c>
      <c r="B1130" s="91" t="s">
        <v>1383</v>
      </c>
      <c r="C1130" s="102" t="s">
        <v>1384</v>
      </c>
      <c r="D1130" s="103" t="s">
        <v>26</v>
      </c>
      <c r="E1130" s="91" t="s">
        <v>1385</v>
      </c>
      <c r="F1130" s="91" t="s">
        <v>841</v>
      </c>
      <c r="G1130" s="91" t="s">
        <v>842</v>
      </c>
      <c r="H1130" s="104" t="str">
        <f t="shared" si="70"/>
        <v>C5116J20</v>
      </c>
      <c r="I1130" s="104"/>
      <c r="J1130" s="105">
        <v>0.64</v>
      </c>
      <c r="K1130" s="106">
        <f>IF(D1130="CAESARSTONE LTD",VLOOKUP(H1130,'[2]GIA CA'!G:H,2,0),IF(OR(D1130="STONE FACINGS LIMITED",D1130="NORDIA SA",D1130="INVICTUS STONE COUNTERTOPS INC",D1130="QUARTZTOP LLC"),VLOOKUP(H1130,'[2] Giá ngoài Mỹ - SI-GR'!$B$5:$AZ$84,51,0),IF(OR(D1130="HYUNDAI L&amp;C CANADA INC",D1130="Hyundai L&amp; C USA LLC"),VLOOKUP(H1130,'[2]GIA HS'!A:D,4,0),IF(Y1130="Mỹ",VLOOKUP(H1130,'[2]giá mỹ từ 6.8.2025'!B:I,2,0),VLOOKUP(H1130,'[2]giá ngoài mỹ 6.8.2025 (final)'!B:BP,51,0)))))</f>
        <v>65</v>
      </c>
      <c r="L1130" s="106">
        <v>130.16</v>
      </c>
      <c r="M1130" s="106">
        <f t="shared" si="69"/>
        <v>65.16</v>
      </c>
      <c r="N1130" s="106">
        <v>130.16</v>
      </c>
      <c r="O1130" s="107">
        <v>83.3</v>
      </c>
      <c r="P1130" s="107">
        <v>25870</v>
      </c>
      <c r="Q1130" s="107">
        <v>2154971</v>
      </c>
      <c r="R1130" s="102"/>
      <c r="S1130" s="108"/>
      <c r="T1130" s="109" t="s">
        <v>30</v>
      </c>
      <c r="U1130" s="109"/>
      <c r="V1130" s="102"/>
      <c r="W1130" s="109"/>
      <c r="X1130" s="109"/>
      <c r="Y1130" s="110" t="s">
        <v>803</v>
      </c>
      <c r="Z1130" s="111" t="str">
        <f>MID(E1130,4,2)</f>
        <v>CA</v>
      </c>
    </row>
    <row r="1131" spans="1:26" s="111" customFormat="1" x14ac:dyDescent="0.2">
      <c r="A1131" s="101">
        <v>46251</v>
      </c>
      <c r="B1131" s="91" t="s">
        <v>1383</v>
      </c>
      <c r="C1131" s="102" t="s">
        <v>1384</v>
      </c>
      <c r="D1131" s="103" t="s">
        <v>26</v>
      </c>
      <c r="E1131" s="91" t="s">
        <v>1385</v>
      </c>
      <c r="F1131" s="91" t="s">
        <v>714</v>
      </c>
      <c r="G1131" s="91" t="s">
        <v>715</v>
      </c>
      <c r="H1131" s="104" t="str">
        <f t="shared" si="70"/>
        <v>F4004J20</v>
      </c>
      <c r="I1131" s="104"/>
      <c r="J1131" s="105">
        <v>0.32</v>
      </c>
      <c r="K1131" s="106">
        <f>IF(D1131="CAESARSTONE LTD",VLOOKUP(H1131,'[2]GIA CA'!G:H,2,0),IF(OR(D1131="STONE FACINGS LIMITED",D1131="NORDIA SA",D1131="INVICTUS STONE COUNTERTOPS INC",D1131="QUARTZTOP LLC"),VLOOKUP(H1131,'[2] Giá ngoài Mỹ - SI-GR'!$B$5:$AZ$84,51,0),IF(OR(D1131="HYUNDAI L&amp;C CANADA INC",D1131="Hyundai L&amp; C USA LLC"),VLOOKUP(H1131,'[2]GIA HS'!A:D,4,0),IF(Y1131="Mỹ",VLOOKUP(H1131,'[2]giá mỹ từ 6.8.2025'!B:I,2,0),VLOOKUP(H1131,'[2]giá ngoài mỹ 6.8.2025 (final)'!B:BP,51,0)))))</f>
        <v>58</v>
      </c>
      <c r="L1131" s="106">
        <v>95.16</v>
      </c>
      <c r="M1131" s="106">
        <f t="shared" si="69"/>
        <v>37.159999999999997</v>
      </c>
      <c r="N1131" s="106">
        <v>95.16</v>
      </c>
      <c r="O1131" s="107">
        <v>30.45</v>
      </c>
      <c r="P1131" s="107">
        <v>25870</v>
      </c>
      <c r="Q1131" s="107">
        <v>787742</v>
      </c>
      <c r="R1131" s="102"/>
      <c r="S1131" s="108"/>
      <c r="T1131" s="109" t="s">
        <v>30</v>
      </c>
      <c r="U1131" s="109"/>
      <c r="V1131" s="102"/>
      <c r="W1131" s="109"/>
      <c r="X1131" s="109"/>
      <c r="Y1131" s="110" t="s">
        <v>803</v>
      </c>
      <c r="Z1131" s="111" t="str">
        <f>MID(E1131,4,2)</f>
        <v>CA</v>
      </c>
    </row>
    <row r="1132" spans="1:26" s="111" customFormat="1" x14ac:dyDescent="0.2">
      <c r="A1132" s="101">
        <v>46251</v>
      </c>
      <c r="B1132" s="91" t="s">
        <v>1383</v>
      </c>
      <c r="C1132" s="102" t="s">
        <v>1384</v>
      </c>
      <c r="D1132" s="103" t="s">
        <v>26</v>
      </c>
      <c r="E1132" s="91" t="s">
        <v>1385</v>
      </c>
      <c r="F1132" s="91" t="s">
        <v>1080</v>
      </c>
      <c r="G1132" s="91" t="s">
        <v>1081</v>
      </c>
      <c r="H1132" s="104" t="str">
        <f t="shared" si="70"/>
        <v>F4011J20</v>
      </c>
      <c r="I1132" s="104"/>
      <c r="J1132" s="105">
        <v>0.44</v>
      </c>
      <c r="K1132" s="106">
        <f t="shared" ref="K1132:K1133" si="71">+L1132</f>
        <v>95.45</v>
      </c>
      <c r="L1132" s="106">
        <v>95.45</v>
      </c>
      <c r="M1132" s="106">
        <f t="shared" si="69"/>
        <v>0</v>
      </c>
      <c r="N1132" s="106">
        <v>95.45</v>
      </c>
      <c r="O1132" s="107">
        <v>42</v>
      </c>
      <c r="P1132" s="107">
        <v>25870</v>
      </c>
      <c r="Q1132" s="107">
        <v>1086540</v>
      </c>
      <c r="R1132" s="102"/>
      <c r="S1132" s="108"/>
      <c r="T1132" s="109" t="s">
        <v>30</v>
      </c>
      <c r="U1132" s="109"/>
      <c r="V1132" s="102"/>
      <c r="W1132" s="109"/>
      <c r="X1132" s="109"/>
      <c r="Y1132" s="110" t="s">
        <v>803</v>
      </c>
      <c r="Z1132" s="111" t="str">
        <f>MID(E1132,4,2)</f>
        <v>CA</v>
      </c>
    </row>
    <row r="1133" spans="1:26" s="111" customFormat="1" x14ac:dyDescent="0.2">
      <c r="A1133" s="101">
        <v>46251</v>
      </c>
      <c r="B1133" s="91" t="s">
        <v>1383</v>
      </c>
      <c r="C1133" s="102" t="s">
        <v>1384</v>
      </c>
      <c r="D1133" s="103" t="s">
        <v>26</v>
      </c>
      <c r="E1133" s="91" t="s">
        <v>1385</v>
      </c>
      <c r="F1133" s="91" t="s">
        <v>1326</v>
      </c>
      <c r="G1133" s="91" t="s">
        <v>1327</v>
      </c>
      <c r="H1133" s="104" t="str">
        <f t="shared" si="70"/>
        <v>F4033J20</v>
      </c>
      <c r="I1133" s="104"/>
      <c r="J1133" s="105">
        <v>0.32</v>
      </c>
      <c r="K1133" s="106">
        <f t="shared" si="71"/>
        <v>95.16</v>
      </c>
      <c r="L1133" s="106">
        <v>95.16</v>
      </c>
      <c r="M1133" s="106">
        <f t="shared" si="69"/>
        <v>0</v>
      </c>
      <c r="N1133" s="106">
        <v>95.16</v>
      </c>
      <c r="O1133" s="107">
        <v>30.45</v>
      </c>
      <c r="P1133" s="107">
        <v>25870</v>
      </c>
      <c r="Q1133" s="107">
        <v>787742</v>
      </c>
      <c r="R1133" s="102"/>
      <c r="S1133" s="108"/>
      <c r="T1133" s="109" t="s">
        <v>30</v>
      </c>
      <c r="U1133" s="109"/>
      <c r="V1133" s="102"/>
      <c r="W1133" s="109"/>
      <c r="X1133" s="109"/>
      <c r="Y1133" s="110" t="s">
        <v>803</v>
      </c>
      <c r="Z1133" s="111" t="str">
        <f>MID(E1133,4,2)</f>
        <v>CA</v>
      </c>
    </row>
    <row r="1134" spans="1:26" s="111" customFormat="1" x14ac:dyDescent="0.2">
      <c r="A1134" s="101">
        <v>46251</v>
      </c>
      <c r="B1134" s="91" t="s">
        <v>1383</v>
      </c>
      <c r="C1134" s="102" t="s">
        <v>1384</v>
      </c>
      <c r="D1134" s="103" t="s">
        <v>26</v>
      </c>
      <c r="E1134" s="91" t="s">
        <v>1385</v>
      </c>
      <c r="F1134" s="91" t="s">
        <v>306</v>
      </c>
      <c r="G1134" s="91" t="s">
        <v>307</v>
      </c>
      <c r="H1134" s="104" t="str">
        <f t="shared" si="70"/>
        <v>F5105J20</v>
      </c>
      <c r="I1134" s="104"/>
      <c r="J1134" s="105">
        <v>2.5</v>
      </c>
      <c r="K1134" s="106">
        <f>IF(D1134="CAESARSTONE LTD",VLOOKUP(H1134,'[2]GIA CA'!G:H,2,0),IF(OR(D1134="STONE FACINGS LIMITED",D1134="NORDIA SA",D1134="INVICTUS STONE COUNTERTOPS INC",D1134="QUARTZTOP LLC"),VLOOKUP(H1134,'[2] Giá ngoài Mỹ - SI-GR'!$B$5:$AZ$84,51,0),IF(OR(D1134="HYUNDAI L&amp;C CANADA INC",D1134="Hyundai L&amp; C USA LLC"),VLOOKUP(H1134,'[2]GIA HS'!A:D,4,0),IF(Y1134="Mỹ",VLOOKUP(H1134,'[2]giá mỹ từ 6.8.2025'!B:I,2,0),VLOOKUP(H1134,'[2]giá ngoài mỹ 6.8.2025 (final)'!B:BP,51,0)))))</f>
        <v>68</v>
      </c>
      <c r="L1134" s="106">
        <v>129.28</v>
      </c>
      <c r="M1134" s="106">
        <f t="shared" si="69"/>
        <v>61.28</v>
      </c>
      <c r="N1134" s="106">
        <v>129.28</v>
      </c>
      <c r="O1134" s="107">
        <v>323.2</v>
      </c>
      <c r="P1134" s="107">
        <v>25870</v>
      </c>
      <c r="Q1134" s="107">
        <v>8361184</v>
      </c>
      <c r="R1134" s="102"/>
      <c r="S1134" s="108"/>
      <c r="T1134" s="109" t="s">
        <v>30</v>
      </c>
      <c r="U1134" s="109"/>
      <c r="V1134" s="102"/>
      <c r="W1134" s="109"/>
      <c r="X1134" s="109"/>
      <c r="Y1134" s="110" t="s">
        <v>803</v>
      </c>
      <c r="Z1134" s="111" t="str">
        <f>MID(E1134,4,2)</f>
        <v>CA</v>
      </c>
    </row>
    <row r="1135" spans="1:26" s="111" customFormat="1" x14ac:dyDescent="0.2">
      <c r="A1135" s="101">
        <v>46251</v>
      </c>
      <c r="B1135" s="91" t="s">
        <v>1383</v>
      </c>
      <c r="C1135" s="102" t="s">
        <v>1384</v>
      </c>
      <c r="D1135" s="103" t="s">
        <v>26</v>
      </c>
      <c r="E1135" s="91" t="s">
        <v>1385</v>
      </c>
      <c r="F1135" s="91" t="s">
        <v>304</v>
      </c>
      <c r="G1135" s="91" t="s">
        <v>305</v>
      </c>
      <c r="H1135" s="104" t="str">
        <f t="shared" si="70"/>
        <v>F5105J20</v>
      </c>
      <c r="I1135" s="104"/>
      <c r="J1135" s="105">
        <v>0.6</v>
      </c>
      <c r="K1135" s="106">
        <f>IF(D1135="CAESARSTONE LTD",VLOOKUP(H1135,'[2]GIA CA'!G:H,2,0),IF(OR(D1135="STONE FACINGS LIMITED",D1135="NORDIA SA",D1135="INVICTUS STONE COUNTERTOPS INC",D1135="QUARTZTOP LLC"),VLOOKUP(H1135,'[2] Giá ngoài Mỹ - SI-GR'!$B$5:$AZ$84,51,0),IF(OR(D1135="HYUNDAI L&amp;C CANADA INC",D1135="Hyundai L&amp; C USA LLC"),VLOOKUP(H1135,'[2]GIA HS'!A:D,4,0),IF(Y1135="Mỹ",VLOOKUP(H1135,'[2]giá mỹ từ 6.8.2025'!B:I,2,0),VLOOKUP(H1135,'[2]giá ngoài mỹ 6.8.2025 (final)'!B:BP,51,0)))))</f>
        <v>68</v>
      </c>
      <c r="L1135" s="106">
        <v>131</v>
      </c>
      <c r="M1135" s="106">
        <f t="shared" si="69"/>
        <v>63</v>
      </c>
      <c r="N1135" s="106">
        <v>131</v>
      </c>
      <c r="O1135" s="107">
        <v>78.599999999999994</v>
      </c>
      <c r="P1135" s="107">
        <v>25870</v>
      </c>
      <c r="Q1135" s="107">
        <v>2033382</v>
      </c>
      <c r="R1135" s="102"/>
      <c r="S1135" s="108"/>
      <c r="T1135" s="109" t="s">
        <v>30</v>
      </c>
      <c r="U1135" s="109"/>
      <c r="V1135" s="102"/>
      <c r="W1135" s="109"/>
      <c r="X1135" s="109"/>
      <c r="Y1135" s="110" t="s">
        <v>803</v>
      </c>
      <c r="Z1135" s="111" t="str">
        <f>MID(E1135,4,2)</f>
        <v>CA</v>
      </c>
    </row>
    <row r="1136" spans="1:26" s="111" customFormat="1" x14ac:dyDescent="0.2">
      <c r="A1136" s="101">
        <v>46251</v>
      </c>
      <c r="B1136" s="91" t="s">
        <v>1383</v>
      </c>
      <c r="C1136" s="102" t="s">
        <v>1384</v>
      </c>
      <c r="D1136" s="103" t="s">
        <v>26</v>
      </c>
      <c r="E1136" s="91" t="s">
        <v>1385</v>
      </c>
      <c r="F1136" s="91" t="s">
        <v>649</v>
      </c>
      <c r="G1136" s="91" t="s">
        <v>650</v>
      </c>
      <c r="H1136" s="104" t="str">
        <f t="shared" si="70"/>
        <v>F5113J20</v>
      </c>
      <c r="I1136" s="104"/>
      <c r="J1136" s="105">
        <v>0.44</v>
      </c>
      <c r="K1136" s="106">
        <f>IF(D1136="CAESARSTONE LTD",VLOOKUP(H1136,'[2]GIA CA'!G:H,2,0),IF(OR(D1136="STONE FACINGS LIMITED",D1136="NORDIA SA",D1136="INVICTUS STONE COUNTERTOPS INC",D1136="QUARTZTOP LLC"),VLOOKUP(H1136,'[2] Giá ngoài Mỹ - SI-GR'!$B$5:$AZ$84,51,0),IF(OR(D1136="HYUNDAI L&amp;C CANADA INC",D1136="Hyundai L&amp; C USA LLC"),VLOOKUP(H1136,'[2]GIA HS'!A:D,4,0),IF(Y1136="Mỹ",VLOOKUP(H1136,'[2]giá mỹ từ 6.8.2025'!B:I,2,0),VLOOKUP(H1136,'[2]giá ngoài mỹ 6.8.2025 (final)'!B:BP,51,0)))))</f>
        <v>62</v>
      </c>
      <c r="L1136" s="106">
        <v>131.25</v>
      </c>
      <c r="M1136" s="106">
        <f t="shared" si="69"/>
        <v>69.25</v>
      </c>
      <c r="N1136" s="106">
        <v>131.25</v>
      </c>
      <c r="O1136" s="107">
        <v>57.75</v>
      </c>
      <c r="P1136" s="107">
        <v>25870</v>
      </c>
      <c r="Q1136" s="107">
        <v>1493993</v>
      </c>
      <c r="R1136" s="102"/>
      <c r="S1136" s="108"/>
      <c r="T1136" s="109" t="s">
        <v>30</v>
      </c>
      <c r="U1136" s="109"/>
      <c r="V1136" s="102"/>
      <c r="W1136" s="109"/>
      <c r="X1136" s="109"/>
      <c r="Y1136" s="110" t="s">
        <v>803</v>
      </c>
      <c r="Z1136" s="111" t="str">
        <f>MID(E1136,4,2)</f>
        <v>CA</v>
      </c>
    </row>
    <row r="1137" spans="1:26" s="111" customFormat="1" x14ac:dyDescent="0.2">
      <c r="A1137" s="101">
        <v>46251</v>
      </c>
      <c r="B1137" s="91" t="s">
        <v>1383</v>
      </c>
      <c r="C1137" s="102" t="s">
        <v>1384</v>
      </c>
      <c r="D1137" s="103" t="s">
        <v>26</v>
      </c>
      <c r="E1137" s="91" t="s">
        <v>1385</v>
      </c>
      <c r="F1137" s="91" t="s">
        <v>1386</v>
      </c>
      <c r="G1137" s="91" t="s">
        <v>1387</v>
      </c>
      <c r="H1137" s="104" t="str">
        <f t="shared" si="70"/>
        <v>F5130J20</v>
      </c>
      <c r="I1137" s="104"/>
      <c r="J1137" s="105">
        <v>0.44</v>
      </c>
      <c r="K1137" s="106">
        <f>IF(D1137="CAESARSTONE LTD",VLOOKUP(H1137,'[2]GIA CA'!G:H,2,0),IF(OR(D1137="STONE FACINGS LIMITED",D1137="NORDIA SA",D1137="INVICTUS STONE COUNTERTOPS INC",D1137="QUARTZTOP LLC"),VLOOKUP(H1137,'[2] Giá ngoài Mỹ - SI-GR'!$B$5:$AZ$84,51,0),IF(OR(D1137="HYUNDAI L&amp;C CANADA INC",D1137="Hyundai L&amp; C USA LLC"),VLOOKUP(H1137,'[2]GIA HS'!A:D,4,0),IF(Y1137="Mỹ",VLOOKUP(H1137,'[2]giá mỹ từ 6.8.2025'!B:I,2,0),VLOOKUP(H1137,'[2]giá ngoài mỹ 6.8.2025 (final)'!B:BP,51,0)))))</f>
        <v>62</v>
      </c>
      <c r="L1137" s="106">
        <v>95.45</v>
      </c>
      <c r="M1137" s="106">
        <f t="shared" si="69"/>
        <v>33.450000000000003</v>
      </c>
      <c r="N1137" s="106">
        <v>95.45</v>
      </c>
      <c r="O1137" s="107">
        <v>42</v>
      </c>
      <c r="P1137" s="107">
        <v>25870</v>
      </c>
      <c r="Q1137" s="107">
        <v>1086540</v>
      </c>
      <c r="R1137" s="102"/>
      <c r="S1137" s="108"/>
      <c r="T1137" s="109" t="s">
        <v>30</v>
      </c>
      <c r="U1137" s="109"/>
      <c r="V1137" s="102"/>
      <c r="W1137" s="109"/>
      <c r="X1137" s="109"/>
      <c r="Y1137" s="110" t="s">
        <v>803</v>
      </c>
      <c r="Z1137" s="111" t="str">
        <f>MID(E1137,4,2)</f>
        <v>CA</v>
      </c>
    </row>
    <row r="1138" spans="1:26" s="111" customFormat="1" x14ac:dyDescent="0.2">
      <c r="A1138" s="101">
        <v>46251</v>
      </c>
      <c r="B1138" s="91" t="s">
        <v>1383</v>
      </c>
      <c r="C1138" s="102" t="s">
        <v>1384</v>
      </c>
      <c r="D1138" s="103" t="s">
        <v>26</v>
      </c>
      <c r="E1138" s="91" t="s">
        <v>1385</v>
      </c>
      <c r="F1138" s="91" t="s">
        <v>1388</v>
      </c>
      <c r="G1138" s="91" t="s">
        <v>1389</v>
      </c>
      <c r="H1138" s="104" t="str">
        <f t="shared" si="70"/>
        <v>F5132J20</v>
      </c>
      <c r="I1138" s="104"/>
      <c r="J1138" s="105">
        <v>0.44</v>
      </c>
      <c r="K1138" s="106">
        <f>IF(D1138="CAESARSTONE LTD",VLOOKUP(H1138,'[2]GIA CA'!G:H,2,0),IF(OR(D1138="STONE FACINGS LIMITED",D1138="NORDIA SA",D1138="INVICTUS STONE COUNTERTOPS INC",D1138="QUARTZTOP LLC"),VLOOKUP(H1138,'[2] Giá ngoài Mỹ - SI-GR'!$B$5:$AZ$84,51,0),IF(OR(D1138="HYUNDAI L&amp;C CANADA INC",D1138="Hyundai L&amp; C USA LLC"),VLOOKUP(H1138,'[2]GIA HS'!A:D,4,0),IF(Y1138="Mỹ",VLOOKUP(H1138,'[2]giá mỹ từ 6.8.2025'!B:I,2,0),VLOOKUP(H1138,'[2]giá ngoài mỹ 6.8.2025 (final)'!B:BP,51,0)))))</f>
        <v>62</v>
      </c>
      <c r="L1138" s="106">
        <v>131.25</v>
      </c>
      <c r="M1138" s="106">
        <f t="shared" si="69"/>
        <v>69.25</v>
      </c>
      <c r="N1138" s="106">
        <v>131.25</v>
      </c>
      <c r="O1138" s="107">
        <v>57.75</v>
      </c>
      <c r="P1138" s="107">
        <v>25870</v>
      </c>
      <c r="Q1138" s="107">
        <v>1493993</v>
      </c>
      <c r="R1138" s="102"/>
      <c r="S1138" s="108"/>
      <c r="T1138" s="109" t="s">
        <v>30</v>
      </c>
      <c r="U1138" s="109"/>
      <c r="V1138" s="102"/>
      <c r="W1138" s="109"/>
      <c r="X1138" s="109"/>
      <c r="Y1138" s="110" t="s">
        <v>803</v>
      </c>
      <c r="Z1138" s="111" t="str">
        <f>MID(E1138,4,2)</f>
        <v>CA</v>
      </c>
    </row>
    <row r="1139" spans="1:26" s="111" customFormat="1" x14ac:dyDescent="0.2">
      <c r="A1139" s="101">
        <v>46251</v>
      </c>
      <c r="B1139" s="91" t="s">
        <v>1383</v>
      </c>
      <c r="C1139" s="102" t="s">
        <v>1384</v>
      </c>
      <c r="D1139" s="103" t="s">
        <v>26</v>
      </c>
      <c r="E1139" s="91" t="s">
        <v>1385</v>
      </c>
      <c r="F1139" s="91" t="s">
        <v>1222</v>
      </c>
      <c r="G1139" s="91" t="s">
        <v>1223</v>
      </c>
      <c r="H1139" s="104" t="str">
        <f t="shared" si="70"/>
        <v>F5132J20</v>
      </c>
      <c r="I1139" s="104"/>
      <c r="J1139" s="105">
        <v>1.56</v>
      </c>
      <c r="K1139" s="106">
        <f>IF(D1139="CAESARSTONE LTD",VLOOKUP(H1139,'[2]GIA CA'!G:H,2,0),IF(OR(D1139="STONE FACINGS LIMITED",D1139="NORDIA SA",D1139="INVICTUS STONE COUNTERTOPS INC",D1139="QUARTZTOP LLC"),VLOOKUP(H1139,'[2] Giá ngoài Mỹ - SI-GR'!$B$5:$AZ$84,51,0),IF(OR(D1139="HYUNDAI L&amp;C CANADA INC",D1139="Hyundai L&amp; C USA LLC"),VLOOKUP(H1139,'[2]GIA HS'!A:D,4,0),IF(Y1139="Mỹ",VLOOKUP(H1139,'[2]giá mỹ từ 6.8.2025'!B:I,2,0),VLOOKUP(H1139,'[2]giá ngoài mỹ 6.8.2025 (final)'!B:BP,51,0)))))</f>
        <v>62</v>
      </c>
      <c r="L1139" s="106">
        <v>129.49</v>
      </c>
      <c r="M1139" s="106">
        <f t="shared" si="69"/>
        <v>67.490000000000009</v>
      </c>
      <c r="N1139" s="106">
        <v>129.49</v>
      </c>
      <c r="O1139" s="107">
        <v>202</v>
      </c>
      <c r="P1139" s="107">
        <v>25870</v>
      </c>
      <c r="Q1139" s="107">
        <v>5225740</v>
      </c>
      <c r="R1139" s="102"/>
      <c r="S1139" s="108"/>
      <c r="T1139" s="109" t="s">
        <v>30</v>
      </c>
      <c r="U1139" s="109"/>
      <c r="V1139" s="102"/>
      <c r="W1139" s="109"/>
      <c r="X1139" s="109"/>
      <c r="Y1139" s="110" t="s">
        <v>803</v>
      </c>
      <c r="Z1139" s="111" t="str">
        <f>MID(E1139,4,2)</f>
        <v>CA</v>
      </c>
    </row>
    <row r="1140" spans="1:26" s="111" customFormat="1" x14ac:dyDescent="0.2">
      <c r="A1140" s="101">
        <v>46251</v>
      </c>
      <c r="B1140" s="91" t="s">
        <v>1383</v>
      </c>
      <c r="C1140" s="102" t="s">
        <v>1384</v>
      </c>
      <c r="D1140" s="103" t="s">
        <v>26</v>
      </c>
      <c r="E1140" s="91" t="s">
        <v>1385</v>
      </c>
      <c r="F1140" s="91" t="s">
        <v>718</v>
      </c>
      <c r="G1140" s="91" t="s">
        <v>719</v>
      </c>
      <c r="H1140" s="104" t="str">
        <f t="shared" si="70"/>
        <v>F5140J20</v>
      </c>
      <c r="I1140" s="104"/>
      <c r="J1140" s="105">
        <v>1.56</v>
      </c>
      <c r="K1140" s="106">
        <f>IF(D1140="CAESARSTONE LTD",VLOOKUP(H1140,'[2]GIA CA'!G:H,2,0),IF(OR(D1140="STONE FACINGS LIMITED",D1140="NORDIA SA",D1140="INVICTUS STONE COUNTERTOPS INC",D1140="QUARTZTOP LLC"),VLOOKUP(H1140,'[2] Giá ngoài Mỹ - SI-GR'!$B$5:$AZ$84,51,0),IF(OR(D1140="HYUNDAI L&amp;C CANADA INC",D1140="Hyundai L&amp; C USA LLC"),VLOOKUP(H1140,'[2]GIA HS'!A:D,4,0),IF(Y1140="Mỹ",VLOOKUP(H1140,'[2]giá mỹ từ 6.8.2025'!B:I,2,0),VLOOKUP(H1140,'[2]giá ngoài mỹ 6.8.2025 (final)'!B:BP,51,0)))))</f>
        <v>62</v>
      </c>
      <c r="L1140" s="106">
        <v>94.87</v>
      </c>
      <c r="M1140" s="106">
        <f t="shared" si="69"/>
        <v>32.870000000000005</v>
      </c>
      <c r="N1140" s="106">
        <v>94.87</v>
      </c>
      <c r="O1140" s="107">
        <v>148</v>
      </c>
      <c r="P1140" s="107">
        <v>25870</v>
      </c>
      <c r="Q1140" s="107">
        <v>3828760</v>
      </c>
      <c r="R1140" s="102"/>
      <c r="S1140" s="108"/>
      <c r="T1140" s="109" t="s">
        <v>30</v>
      </c>
      <c r="U1140" s="109"/>
      <c r="V1140" s="102"/>
      <c r="W1140" s="109"/>
      <c r="X1140" s="109"/>
      <c r="Y1140" s="110" t="s">
        <v>803</v>
      </c>
      <c r="Z1140" s="111" t="str">
        <f>MID(E1140,4,2)</f>
        <v>CA</v>
      </c>
    </row>
    <row r="1141" spans="1:26" s="111" customFormat="1" x14ac:dyDescent="0.2">
      <c r="A1141" s="101">
        <v>46251</v>
      </c>
      <c r="B1141" s="91" t="s">
        <v>1383</v>
      </c>
      <c r="C1141" s="102" t="s">
        <v>1384</v>
      </c>
      <c r="D1141" s="103" t="s">
        <v>26</v>
      </c>
      <c r="E1141" s="91" t="s">
        <v>1385</v>
      </c>
      <c r="F1141" s="91" t="s">
        <v>324</v>
      </c>
      <c r="G1141" s="91" t="s">
        <v>325</v>
      </c>
      <c r="H1141" s="104" t="str">
        <f t="shared" si="70"/>
        <v>F5140J20</v>
      </c>
      <c r="I1141" s="104"/>
      <c r="J1141" s="105">
        <v>0.6</v>
      </c>
      <c r="K1141" s="106">
        <f>IF(D1141="CAESARSTONE LTD",VLOOKUP(H1141,'[2]GIA CA'!G:H,2,0),IF(OR(D1141="STONE FACINGS LIMITED",D1141="NORDIA SA",D1141="INVICTUS STONE COUNTERTOPS INC",D1141="QUARTZTOP LLC"),VLOOKUP(H1141,'[2] Giá ngoài Mỹ - SI-GR'!$B$5:$AZ$84,51,0),IF(OR(D1141="HYUNDAI L&amp;C CANADA INC",D1141="Hyundai L&amp; C USA LLC"),VLOOKUP(H1141,'[2]GIA HS'!A:D,4,0),IF(Y1141="Mỹ",VLOOKUP(H1141,'[2]giá mỹ từ 6.8.2025'!B:I,2,0),VLOOKUP(H1141,'[2]giá ngoài mỹ 6.8.2025 (final)'!B:BP,51,0)))))</f>
        <v>62</v>
      </c>
      <c r="L1141" s="106">
        <v>96</v>
      </c>
      <c r="M1141" s="106">
        <f t="shared" si="69"/>
        <v>34</v>
      </c>
      <c r="N1141" s="106">
        <v>96</v>
      </c>
      <c r="O1141" s="107">
        <v>57.6</v>
      </c>
      <c r="P1141" s="107">
        <v>25870</v>
      </c>
      <c r="Q1141" s="107">
        <v>1490112</v>
      </c>
      <c r="R1141" s="102"/>
      <c r="S1141" s="108"/>
      <c r="T1141" s="109" t="s">
        <v>30</v>
      </c>
      <c r="U1141" s="109"/>
      <c r="V1141" s="102"/>
      <c r="W1141" s="109"/>
      <c r="X1141" s="109"/>
      <c r="Y1141" s="110" t="s">
        <v>803</v>
      </c>
      <c r="Z1141" s="111" t="str">
        <f>MID(E1141,4,2)</f>
        <v>CA</v>
      </c>
    </row>
    <row r="1142" spans="1:26" s="111" customFormat="1" x14ac:dyDescent="0.2">
      <c r="A1142" s="101">
        <v>46251</v>
      </c>
      <c r="B1142" s="91" t="s">
        <v>1383</v>
      </c>
      <c r="C1142" s="102" t="s">
        <v>1384</v>
      </c>
      <c r="D1142" s="103" t="s">
        <v>26</v>
      </c>
      <c r="E1142" s="91" t="s">
        <v>1385</v>
      </c>
      <c r="F1142" s="91" t="s">
        <v>1390</v>
      </c>
      <c r="G1142" s="91" t="s">
        <v>1391</v>
      </c>
      <c r="H1142" s="104" t="str">
        <f t="shared" si="70"/>
        <v>F5143J20</v>
      </c>
      <c r="I1142" s="104"/>
      <c r="J1142" s="105">
        <v>0.44</v>
      </c>
      <c r="K1142" s="106">
        <f>IF(D1142="CAESARSTONE LTD",VLOOKUP(H1142,'[2]GIA CA'!G:H,2,0),IF(OR(D1142="STONE FACINGS LIMITED",D1142="NORDIA SA",D1142="INVICTUS STONE COUNTERTOPS INC",D1142="QUARTZTOP LLC"),VLOOKUP(H1142,'[2] Giá ngoài Mỹ - SI-GR'!$B$5:$AZ$84,51,0),IF(OR(D1142="HYUNDAI L&amp;C CANADA INC",D1142="Hyundai L&amp; C USA LLC"),VLOOKUP(H1142,'[2]GIA HS'!A:D,4,0),IF(Y1142="Mỹ",VLOOKUP(H1142,'[2]giá mỹ từ 6.8.2025'!B:I,2,0),VLOOKUP(H1142,'[2]giá ngoài mỹ 6.8.2025 (final)'!B:BP,51,0)))))</f>
        <v>62</v>
      </c>
      <c r="L1142" s="106">
        <v>95.45</v>
      </c>
      <c r="M1142" s="106">
        <f t="shared" si="69"/>
        <v>33.450000000000003</v>
      </c>
      <c r="N1142" s="106">
        <v>95.45</v>
      </c>
      <c r="O1142" s="107">
        <v>42</v>
      </c>
      <c r="P1142" s="107">
        <v>25870</v>
      </c>
      <c r="Q1142" s="107">
        <v>1086540</v>
      </c>
      <c r="R1142" s="102"/>
      <c r="S1142" s="108"/>
      <c r="T1142" s="109" t="s">
        <v>30</v>
      </c>
      <c r="U1142" s="109"/>
      <c r="V1142" s="102"/>
      <c r="W1142" s="109"/>
      <c r="X1142" s="109"/>
      <c r="Y1142" s="110" t="s">
        <v>803</v>
      </c>
      <c r="Z1142" s="111" t="str">
        <f>MID(E1142,4,2)</f>
        <v>CA</v>
      </c>
    </row>
    <row r="1143" spans="1:26" s="111" customFormat="1" x14ac:dyDescent="0.2">
      <c r="A1143" s="101">
        <v>46251</v>
      </c>
      <c r="B1143" s="91" t="s">
        <v>1383</v>
      </c>
      <c r="C1143" s="102" t="s">
        <v>1384</v>
      </c>
      <c r="D1143" s="103" t="s">
        <v>26</v>
      </c>
      <c r="E1143" s="91" t="s">
        <v>1385</v>
      </c>
      <c r="F1143" s="91" t="s">
        <v>1328</v>
      </c>
      <c r="G1143" s="91" t="s">
        <v>1329</v>
      </c>
      <c r="H1143" s="104" t="str">
        <f t="shared" si="70"/>
        <v>F5143J20</v>
      </c>
      <c r="I1143" s="104"/>
      <c r="J1143" s="105">
        <v>0.64</v>
      </c>
      <c r="K1143" s="106">
        <f>IF(D1143="CAESARSTONE LTD",VLOOKUP(H1143,'[2]GIA CA'!G:H,2,0),IF(OR(D1143="STONE FACINGS LIMITED",D1143="NORDIA SA",D1143="INVICTUS STONE COUNTERTOPS INC",D1143="QUARTZTOP LLC"),VLOOKUP(H1143,'[2] Giá ngoài Mỹ - SI-GR'!$B$5:$AZ$84,51,0),IF(OR(D1143="HYUNDAI L&amp;C CANADA INC",D1143="Hyundai L&amp; C USA LLC"),VLOOKUP(H1143,'[2]GIA HS'!A:D,4,0),IF(Y1143="Mỹ",VLOOKUP(H1143,'[2]giá mỹ từ 6.8.2025'!B:I,2,0),VLOOKUP(H1143,'[2]giá ngoài mỹ 6.8.2025 (final)'!B:BP,51,0)))))</f>
        <v>62</v>
      </c>
      <c r="L1143" s="106">
        <v>95.16</v>
      </c>
      <c r="M1143" s="106">
        <f t="shared" si="69"/>
        <v>33.159999999999997</v>
      </c>
      <c r="N1143" s="106">
        <v>95.16</v>
      </c>
      <c r="O1143" s="107">
        <v>60.9</v>
      </c>
      <c r="P1143" s="107">
        <v>25870</v>
      </c>
      <c r="Q1143" s="107">
        <v>1575483</v>
      </c>
      <c r="R1143" s="102"/>
      <c r="S1143" s="108"/>
      <c r="T1143" s="109" t="s">
        <v>30</v>
      </c>
      <c r="U1143" s="109"/>
      <c r="V1143" s="102"/>
      <c r="W1143" s="109"/>
      <c r="X1143" s="109"/>
      <c r="Y1143" s="110" t="s">
        <v>803</v>
      </c>
      <c r="Z1143" s="111" t="str">
        <f>MID(E1143,4,2)</f>
        <v>CA</v>
      </c>
    </row>
    <row r="1144" spans="1:26" s="111" customFormat="1" x14ac:dyDescent="0.2">
      <c r="A1144" s="101">
        <v>46251</v>
      </c>
      <c r="B1144" s="91" t="s">
        <v>1383</v>
      </c>
      <c r="C1144" s="102" t="s">
        <v>1384</v>
      </c>
      <c r="D1144" s="103" t="s">
        <v>26</v>
      </c>
      <c r="E1144" s="91" t="s">
        <v>1385</v>
      </c>
      <c r="F1144" s="91" t="s">
        <v>1392</v>
      </c>
      <c r="G1144" s="91" t="s">
        <v>1393</v>
      </c>
      <c r="H1144" s="104" t="str">
        <f t="shared" si="70"/>
        <v>F5144J20</v>
      </c>
      <c r="I1144" s="104"/>
      <c r="J1144" s="105">
        <v>0.64</v>
      </c>
      <c r="K1144" s="106">
        <f>IF(D1144="CAESARSTONE LTD",VLOOKUP(H1144,'[2]GIA CA'!G:H,2,0),IF(OR(D1144="STONE FACINGS LIMITED",D1144="NORDIA SA",D1144="INVICTUS STONE COUNTERTOPS INC",D1144="QUARTZTOP LLC"),VLOOKUP(H1144,'[2] Giá ngoài Mỹ - SI-GR'!$B$5:$AZ$84,51,0),IF(OR(D1144="HYUNDAI L&amp;C CANADA INC",D1144="Hyundai L&amp; C USA LLC"),VLOOKUP(H1144,'[2]GIA HS'!A:D,4,0),IF(Y1144="Mỹ",VLOOKUP(H1144,'[2]giá mỹ từ 6.8.2025'!B:I,2,0),VLOOKUP(H1144,'[2]giá ngoài mỹ 6.8.2025 (final)'!B:BP,51,0)))))</f>
        <v>62</v>
      </c>
      <c r="L1144" s="106">
        <v>95.16</v>
      </c>
      <c r="M1144" s="106">
        <f t="shared" si="69"/>
        <v>33.159999999999997</v>
      </c>
      <c r="N1144" s="106">
        <v>95.16</v>
      </c>
      <c r="O1144" s="107">
        <v>60.9</v>
      </c>
      <c r="P1144" s="107">
        <v>25870</v>
      </c>
      <c r="Q1144" s="107">
        <v>1575483</v>
      </c>
      <c r="R1144" s="102"/>
      <c r="S1144" s="108"/>
      <c r="T1144" s="109" t="s">
        <v>30</v>
      </c>
      <c r="U1144" s="109"/>
      <c r="V1144" s="102"/>
      <c r="W1144" s="109"/>
      <c r="X1144" s="109"/>
      <c r="Y1144" s="110" t="s">
        <v>803</v>
      </c>
      <c r="Z1144" s="111" t="str">
        <f>MID(E1144,4,2)</f>
        <v>CA</v>
      </c>
    </row>
    <row r="1145" spans="1:26" s="111" customFormat="1" x14ac:dyDescent="0.2">
      <c r="A1145" s="101">
        <v>46251</v>
      </c>
      <c r="B1145" s="91" t="s">
        <v>1383</v>
      </c>
      <c r="C1145" s="102" t="s">
        <v>1384</v>
      </c>
      <c r="D1145" s="103" t="s">
        <v>26</v>
      </c>
      <c r="E1145" s="91" t="s">
        <v>1385</v>
      </c>
      <c r="F1145" s="91" t="s">
        <v>861</v>
      </c>
      <c r="G1145" s="91" t="s">
        <v>862</v>
      </c>
      <c r="H1145" s="104" t="str">
        <f t="shared" si="70"/>
        <v>F5310J20</v>
      </c>
      <c r="I1145" s="104"/>
      <c r="J1145" s="105">
        <v>0.64</v>
      </c>
      <c r="K1145" s="106">
        <f>IF(D1145="CAESARSTONE LTD",VLOOKUP(H1145,'[2]GIA CA'!G:H,2,0),IF(OR(D1145="STONE FACINGS LIMITED",D1145="NORDIA SA",D1145="INVICTUS STONE COUNTERTOPS INC",D1145="QUARTZTOP LLC"),VLOOKUP(H1145,'[2] Giá ngoài Mỹ - SI-GR'!$B$5:$AZ$84,51,0),IF(OR(D1145="HYUNDAI L&amp;C CANADA INC",D1145="Hyundai L&amp; C USA LLC"),VLOOKUP(H1145,'[2]GIA HS'!A:D,4,0),IF(Y1145="Mỹ",VLOOKUP(H1145,'[2]giá mỹ từ 6.8.2025'!B:I,2,0),VLOOKUP(H1145,'[2]giá ngoài mỹ 6.8.2025 (final)'!B:BP,51,0)))))</f>
        <v>62</v>
      </c>
      <c r="L1145" s="106">
        <v>130.16</v>
      </c>
      <c r="M1145" s="106">
        <f t="shared" si="69"/>
        <v>68.16</v>
      </c>
      <c r="N1145" s="106">
        <v>130.16</v>
      </c>
      <c r="O1145" s="107">
        <v>83.3</v>
      </c>
      <c r="P1145" s="107">
        <v>25870</v>
      </c>
      <c r="Q1145" s="107">
        <v>2154971</v>
      </c>
      <c r="R1145" s="102"/>
      <c r="S1145" s="108"/>
      <c r="T1145" s="109" t="s">
        <v>30</v>
      </c>
      <c r="U1145" s="109"/>
      <c r="V1145" s="102"/>
      <c r="W1145" s="109"/>
      <c r="X1145" s="109"/>
      <c r="Y1145" s="110" t="s">
        <v>803</v>
      </c>
      <c r="Z1145" s="111" t="str">
        <f>MID(E1145,4,2)</f>
        <v>CA</v>
      </c>
    </row>
    <row r="1146" spans="1:26" s="111" customFormat="1" x14ac:dyDescent="0.2">
      <c r="A1146" s="101">
        <v>46251</v>
      </c>
      <c r="B1146" s="91" t="s">
        <v>1383</v>
      </c>
      <c r="C1146" s="102" t="s">
        <v>1384</v>
      </c>
      <c r="D1146" s="103" t="s">
        <v>26</v>
      </c>
      <c r="E1146" s="91" t="s">
        <v>1385</v>
      </c>
      <c r="F1146" s="91" t="s">
        <v>1039</v>
      </c>
      <c r="G1146" s="91" t="s">
        <v>1040</v>
      </c>
      <c r="H1146" s="104" t="str">
        <f t="shared" si="70"/>
        <v>F6131J20</v>
      </c>
      <c r="I1146" s="104"/>
      <c r="J1146" s="105">
        <v>1.56</v>
      </c>
      <c r="K1146" s="106">
        <f>IF(D1146="CAESARSTONE LTD",VLOOKUP(H1146,'[2]GIA CA'!G:H,2,0),IF(OR(D1146="STONE FACINGS LIMITED",D1146="NORDIA SA",D1146="INVICTUS STONE COUNTERTOPS INC",D1146="QUARTZTOP LLC"),VLOOKUP(H1146,'[2] Giá ngoài Mỹ - SI-GR'!$B$5:$AZ$84,51,0),IF(OR(D1146="HYUNDAI L&amp;C CANADA INC",D1146="Hyundai L&amp; C USA LLC"),VLOOKUP(H1146,'[2]GIA HS'!A:D,4,0),IF(Y1146="Mỹ",VLOOKUP(H1146,'[2]giá mỹ từ 6.8.2025'!B:I,2,0),VLOOKUP(H1146,'[2]giá ngoài mỹ 6.8.2025 (final)'!B:BP,51,0)))))</f>
        <v>62</v>
      </c>
      <c r="L1146" s="106">
        <v>94.87</v>
      </c>
      <c r="M1146" s="106">
        <f t="shared" si="69"/>
        <v>32.870000000000005</v>
      </c>
      <c r="N1146" s="106">
        <v>94.87</v>
      </c>
      <c r="O1146" s="107">
        <v>148</v>
      </c>
      <c r="P1146" s="107">
        <v>25870</v>
      </c>
      <c r="Q1146" s="107">
        <v>3828760</v>
      </c>
      <c r="R1146" s="102"/>
      <c r="S1146" s="108"/>
      <c r="T1146" s="109" t="s">
        <v>30</v>
      </c>
      <c r="U1146" s="109"/>
      <c r="V1146" s="102"/>
      <c r="W1146" s="109"/>
      <c r="X1146" s="109"/>
      <c r="Y1146" s="110" t="s">
        <v>803</v>
      </c>
      <c r="Z1146" s="111" t="str">
        <f>MID(E1146,4,2)</f>
        <v>CA</v>
      </c>
    </row>
    <row r="1147" spans="1:26" s="111" customFormat="1" x14ac:dyDescent="0.2">
      <c r="A1147" s="101">
        <v>46251</v>
      </c>
      <c r="B1147" s="91" t="s">
        <v>1383</v>
      </c>
      <c r="C1147" s="102" t="s">
        <v>1384</v>
      </c>
      <c r="D1147" s="103" t="s">
        <v>26</v>
      </c>
      <c r="E1147" s="91" t="s">
        <v>1385</v>
      </c>
      <c r="F1147" s="91" t="s">
        <v>1394</v>
      </c>
      <c r="G1147" s="91" t="s">
        <v>1395</v>
      </c>
      <c r="H1147" s="104" t="str">
        <f t="shared" si="70"/>
        <v>F8103J20</v>
      </c>
      <c r="I1147" s="104"/>
      <c r="J1147" s="105">
        <v>0.64</v>
      </c>
      <c r="K1147" s="106">
        <f>IF(D1147="CAESARSTONE LTD",VLOOKUP(H1147,'[2]GIA CA'!G:H,2,0),IF(OR(D1147="STONE FACINGS LIMITED",D1147="NORDIA SA",D1147="INVICTUS STONE COUNTERTOPS INC",D1147="QUARTZTOP LLC"),VLOOKUP(H1147,'[2] Giá ngoài Mỹ - SI-GR'!$B$5:$AZ$84,51,0),IF(OR(D1147="HYUNDAI L&amp;C CANADA INC",D1147="Hyundai L&amp; C USA LLC"),VLOOKUP(H1147,'[2]GIA HS'!A:D,4,0),IF(Y1147="Mỹ",VLOOKUP(H1147,'[2]giá mỹ từ 6.8.2025'!B:I,2,0),VLOOKUP(H1147,'[2]giá ngoài mỹ 6.8.2025 (final)'!B:BP,51,0)))))</f>
        <v>74</v>
      </c>
      <c r="L1147" s="106">
        <v>141.09</v>
      </c>
      <c r="M1147" s="106">
        <f t="shared" si="69"/>
        <v>67.09</v>
      </c>
      <c r="N1147" s="106">
        <v>141.09</v>
      </c>
      <c r="O1147" s="107">
        <v>90.3</v>
      </c>
      <c r="P1147" s="107">
        <v>25870</v>
      </c>
      <c r="Q1147" s="107">
        <v>2336061</v>
      </c>
      <c r="R1147" s="102"/>
      <c r="S1147" s="108"/>
      <c r="T1147" s="109" t="s">
        <v>30</v>
      </c>
      <c r="U1147" s="109"/>
      <c r="V1147" s="102"/>
      <c r="W1147" s="109"/>
      <c r="X1147" s="109"/>
      <c r="Y1147" s="110" t="s">
        <v>803</v>
      </c>
      <c r="Z1147" s="111" t="str">
        <f>MID(E1147,4,2)</f>
        <v>CA</v>
      </c>
    </row>
    <row r="1148" spans="1:26" s="111" customFormat="1" x14ac:dyDescent="0.2">
      <c r="A1148" s="101">
        <v>46251</v>
      </c>
      <c r="B1148" s="91" t="s">
        <v>1383</v>
      </c>
      <c r="C1148" s="102" t="s">
        <v>1384</v>
      </c>
      <c r="D1148" s="103" t="s">
        <v>26</v>
      </c>
      <c r="E1148" s="91" t="s">
        <v>1385</v>
      </c>
      <c r="F1148" s="91" t="s">
        <v>1396</v>
      </c>
      <c r="G1148" s="91" t="s">
        <v>1397</v>
      </c>
      <c r="H1148" s="104" t="str">
        <f t="shared" si="70"/>
        <v>F8251J20</v>
      </c>
      <c r="I1148" s="104"/>
      <c r="J1148" s="105">
        <v>0.64</v>
      </c>
      <c r="K1148" s="106">
        <f>IF(D1148="CAESARSTONE LTD",VLOOKUP(H1148,'[2]GIA CA'!G:H,2,0),IF(OR(D1148="STONE FACINGS LIMITED",D1148="NORDIA SA",D1148="INVICTUS STONE COUNTERTOPS INC",D1148="QUARTZTOP LLC"),VLOOKUP(H1148,'[2] Giá ngoài Mỹ - SI-GR'!$B$5:$AZ$84,51,0),IF(OR(D1148="HYUNDAI L&amp;C CANADA INC",D1148="Hyundai L&amp; C USA LLC"),VLOOKUP(H1148,'[2]GIA HS'!A:D,4,0),IF(Y1148="Mỹ",VLOOKUP(H1148,'[2]giá mỹ từ 6.8.2025'!B:I,2,0),VLOOKUP(H1148,'[2]giá ngoài mỹ 6.8.2025 (final)'!B:BP,51,0)))))</f>
        <v>74</v>
      </c>
      <c r="L1148" s="106">
        <v>95.16</v>
      </c>
      <c r="M1148" s="106">
        <f t="shared" si="69"/>
        <v>21.159999999999997</v>
      </c>
      <c r="N1148" s="106">
        <v>95.16</v>
      </c>
      <c r="O1148" s="107">
        <v>60.9</v>
      </c>
      <c r="P1148" s="107">
        <v>25870</v>
      </c>
      <c r="Q1148" s="107">
        <v>1575483</v>
      </c>
      <c r="R1148" s="102"/>
      <c r="S1148" s="108"/>
      <c r="T1148" s="109" t="s">
        <v>30</v>
      </c>
      <c r="U1148" s="109"/>
      <c r="V1148" s="102"/>
      <c r="W1148" s="109"/>
      <c r="X1148" s="109"/>
      <c r="Y1148" s="110" t="s">
        <v>803</v>
      </c>
      <c r="Z1148" s="111" t="str">
        <f>MID(E1148,4,2)</f>
        <v>CA</v>
      </c>
    </row>
    <row r="1149" spans="1:26" s="111" customFormat="1" x14ac:dyDescent="0.2">
      <c r="A1149" s="101">
        <v>46251</v>
      </c>
      <c r="B1149" s="91" t="s">
        <v>1383</v>
      </c>
      <c r="C1149" s="102" t="s">
        <v>1384</v>
      </c>
      <c r="D1149" s="103" t="s">
        <v>26</v>
      </c>
      <c r="E1149" s="91" t="s">
        <v>1385</v>
      </c>
      <c r="F1149" s="91" t="s">
        <v>322</v>
      </c>
      <c r="G1149" s="91" t="s">
        <v>323</v>
      </c>
      <c r="H1149" s="104" t="str">
        <f t="shared" si="70"/>
        <v>F8252J20</v>
      </c>
      <c r="I1149" s="104"/>
      <c r="J1149" s="105">
        <v>1.56</v>
      </c>
      <c r="K1149" s="106">
        <f>IF(D1149="CAESARSTONE LTD",VLOOKUP(H1149,'[2]GIA CA'!G:H,2,0),IF(OR(D1149="STONE FACINGS LIMITED",D1149="NORDIA SA",D1149="INVICTUS STONE COUNTERTOPS INC",D1149="QUARTZTOP LLC"),VLOOKUP(H1149,'[2] Giá ngoài Mỹ - SI-GR'!$B$5:$AZ$84,51,0),IF(OR(D1149="HYUNDAI L&amp;C CANADA INC",D1149="Hyundai L&amp; C USA LLC"),VLOOKUP(H1149,'[2]GIA HS'!A:D,4,0),IF(Y1149="Mỹ",VLOOKUP(H1149,'[2]giá mỹ từ 6.8.2025'!B:I,2,0),VLOOKUP(H1149,'[2]giá ngoài mỹ 6.8.2025 (final)'!B:BP,51,0)))))</f>
        <v>68</v>
      </c>
      <c r="L1149" s="106">
        <v>129.36000000000001</v>
      </c>
      <c r="M1149" s="106">
        <f t="shared" si="69"/>
        <v>61.360000000000014</v>
      </c>
      <c r="N1149" s="106">
        <v>129.36000000000001</v>
      </c>
      <c r="O1149" s="107">
        <v>201.8</v>
      </c>
      <c r="P1149" s="107">
        <v>25870</v>
      </c>
      <c r="Q1149" s="107">
        <v>5220566</v>
      </c>
      <c r="R1149" s="102"/>
      <c r="S1149" s="108"/>
      <c r="T1149" s="109" t="s">
        <v>30</v>
      </c>
      <c r="U1149" s="109"/>
      <c r="V1149" s="102"/>
      <c r="W1149" s="109"/>
      <c r="X1149" s="109"/>
      <c r="Y1149" s="110" t="s">
        <v>803</v>
      </c>
      <c r="Z1149" s="111" t="str">
        <f>MID(E1149,4,2)</f>
        <v>CA</v>
      </c>
    </row>
    <row r="1150" spans="1:26" s="111" customFormat="1" x14ac:dyDescent="0.2">
      <c r="A1150" s="101">
        <v>46251</v>
      </c>
      <c r="B1150" s="91" t="s">
        <v>1383</v>
      </c>
      <c r="C1150" s="102" t="s">
        <v>1384</v>
      </c>
      <c r="D1150" s="103" t="s">
        <v>26</v>
      </c>
      <c r="E1150" s="91" t="s">
        <v>1385</v>
      </c>
      <c r="F1150" s="91" t="s">
        <v>322</v>
      </c>
      <c r="G1150" s="91" t="s">
        <v>323</v>
      </c>
      <c r="H1150" s="104" t="str">
        <f t="shared" si="70"/>
        <v>F8252J20</v>
      </c>
      <c r="I1150" s="104"/>
      <c r="J1150" s="105">
        <v>2.5</v>
      </c>
      <c r="K1150" s="106">
        <f>IF(D1150="CAESARSTONE LTD",VLOOKUP(H1150,'[2]GIA CA'!G:H,2,0),IF(OR(D1150="STONE FACINGS LIMITED",D1150="NORDIA SA",D1150="INVICTUS STONE COUNTERTOPS INC",D1150="QUARTZTOP LLC"),VLOOKUP(H1150,'[2] Giá ngoài Mỹ - SI-GR'!$B$5:$AZ$84,51,0),IF(OR(D1150="HYUNDAI L&amp;C CANADA INC",D1150="Hyundai L&amp; C USA LLC"),VLOOKUP(H1150,'[2]GIA HS'!A:D,4,0),IF(Y1150="Mỹ",VLOOKUP(H1150,'[2]giá mỹ từ 6.8.2025'!B:I,2,0),VLOOKUP(H1150,'[2]giá ngoài mỹ 6.8.2025 (final)'!B:BP,51,0)))))</f>
        <v>68</v>
      </c>
      <c r="L1150" s="106">
        <v>129.36000000000001</v>
      </c>
      <c r="M1150" s="106">
        <f t="shared" si="69"/>
        <v>61.360000000000014</v>
      </c>
      <c r="N1150" s="106">
        <v>129.36000000000001</v>
      </c>
      <c r="O1150" s="107">
        <v>323.39999999999998</v>
      </c>
      <c r="P1150" s="107">
        <v>25870</v>
      </c>
      <c r="Q1150" s="107">
        <v>8366358</v>
      </c>
      <c r="R1150" s="102"/>
      <c r="S1150" s="108"/>
      <c r="T1150" s="109" t="s">
        <v>30</v>
      </c>
      <c r="U1150" s="109"/>
      <c r="V1150" s="102"/>
      <c r="W1150" s="109"/>
      <c r="X1150" s="109"/>
      <c r="Y1150" s="110" t="s">
        <v>803</v>
      </c>
      <c r="Z1150" s="111" t="str">
        <f>MID(E1150,4,2)</f>
        <v>CA</v>
      </c>
    </row>
    <row r="1151" spans="1:26" s="111" customFormat="1" x14ac:dyDescent="0.2">
      <c r="A1151" s="101">
        <v>46251</v>
      </c>
      <c r="B1151" s="91" t="s">
        <v>1383</v>
      </c>
      <c r="C1151" s="102" t="s">
        <v>1384</v>
      </c>
      <c r="D1151" s="103" t="s">
        <v>26</v>
      </c>
      <c r="E1151" s="91" t="s">
        <v>1385</v>
      </c>
      <c r="F1151" s="91" t="s">
        <v>1398</v>
      </c>
      <c r="G1151" s="91" t="s">
        <v>1399</v>
      </c>
      <c r="H1151" s="104" t="str">
        <f t="shared" si="70"/>
        <v>F8252J20</v>
      </c>
      <c r="I1151" s="104"/>
      <c r="J1151" s="105">
        <v>0.64</v>
      </c>
      <c r="K1151" s="106">
        <f>IF(D1151="CAESARSTONE LTD",VLOOKUP(H1151,'[2]GIA CA'!G:H,2,0),IF(OR(D1151="STONE FACINGS LIMITED",D1151="NORDIA SA",D1151="INVICTUS STONE COUNTERTOPS INC",D1151="QUARTZTOP LLC"),VLOOKUP(H1151,'[2] Giá ngoài Mỹ - SI-GR'!$B$5:$AZ$84,51,0),IF(OR(D1151="HYUNDAI L&amp;C CANADA INC",D1151="Hyundai L&amp; C USA LLC"),VLOOKUP(H1151,'[2]GIA HS'!A:D,4,0),IF(Y1151="Mỹ",VLOOKUP(H1151,'[2]giá mỹ từ 6.8.2025'!B:I,2,0),VLOOKUP(H1151,'[2]giá ngoài mỹ 6.8.2025 (final)'!B:BP,51,0)))))</f>
        <v>68</v>
      </c>
      <c r="L1151" s="106">
        <v>130.16</v>
      </c>
      <c r="M1151" s="106">
        <f t="shared" si="69"/>
        <v>62.16</v>
      </c>
      <c r="N1151" s="106">
        <v>130.16</v>
      </c>
      <c r="O1151" s="107">
        <v>83.3</v>
      </c>
      <c r="P1151" s="107">
        <v>25870</v>
      </c>
      <c r="Q1151" s="107">
        <v>2154971</v>
      </c>
      <c r="R1151" s="102"/>
      <c r="S1151" s="108"/>
      <c r="T1151" s="109" t="s">
        <v>30</v>
      </c>
      <c r="U1151" s="109"/>
      <c r="V1151" s="102"/>
      <c r="W1151" s="109"/>
      <c r="X1151" s="109"/>
      <c r="Y1151" s="110" t="s">
        <v>803</v>
      </c>
      <c r="Z1151" s="111" t="str">
        <f>MID(E1151,4,2)</f>
        <v>CA</v>
      </c>
    </row>
    <row r="1152" spans="1:26" s="111" customFormat="1" x14ac:dyDescent="0.2">
      <c r="A1152" s="101">
        <v>46251</v>
      </c>
      <c r="B1152" s="91" t="s">
        <v>1383</v>
      </c>
      <c r="C1152" s="102" t="s">
        <v>1384</v>
      </c>
      <c r="D1152" s="103" t="s">
        <v>26</v>
      </c>
      <c r="E1152" s="91" t="s">
        <v>1385</v>
      </c>
      <c r="F1152" s="91" t="s">
        <v>1259</v>
      </c>
      <c r="G1152" s="91" t="s">
        <v>1260</v>
      </c>
      <c r="H1152" s="104" t="str">
        <f t="shared" si="70"/>
        <v>C4143J20</v>
      </c>
      <c r="I1152" s="104"/>
      <c r="J1152" s="105">
        <v>435.6</v>
      </c>
      <c r="K1152" s="106">
        <f>IF(D1152="CAESARSTONE LTD",VLOOKUP(H1152,'[2]GIA CA'!G:H,2,0),IF(OR(D1152="STONE FACINGS LIMITED",D1152="NORDIA SA",D1152="INVICTUS STONE COUNTERTOPS INC",D1152="QUARTZTOP LLC"),VLOOKUP(H1152,'[2] Giá ngoài Mỹ - SI-GR'!$B$5:$AZ$84,51,0),IF(OR(D1152="HYUNDAI L&amp;C CANADA INC",D1152="Hyundai L&amp; C USA LLC"),VLOOKUP(H1152,'[2]GIA HS'!A:D,4,0),IF(Y1152="Mỹ",VLOOKUP(H1152,'[2]giá mỹ từ 6.8.2025'!B:I,2,0),VLOOKUP(H1152,'[2]giá ngoài mỹ 6.8.2025 (final)'!B:BP,51,0)))))</f>
        <v>57</v>
      </c>
      <c r="L1152" s="106">
        <v>59.9</v>
      </c>
      <c r="M1152" s="106">
        <f t="shared" si="69"/>
        <v>2.8999999999999986</v>
      </c>
      <c r="N1152" s="106">
        <v>59.9</v>
      </c>
      <c r="O1152" s="107">
        <v>26092.799999999999</v>
      </c>
      <c r="P1152" s="107">
        <v>25870</v>
      </c>
      <c r="Q1152" s="107">
        <v>675020736</v>
      </c>
      <c r="R1152" s="102" t="s">
        <v>30</v>
      </c>
      <c r="S1152" s="108"/>
      <c r="T1152" s="109"/>
      <c r="U1152" s="109"/>
      <c r="V1152" s="102"/>
      <c r="W1152" s="109"/>
      <c r="X1152" s="109"/>
      <c r="Y1152" s="110" t="s">
        <v>803</v>
      </c>
      <c r="Z1152" s="111" t="str">
        <f>MID(E1152,4,2)</f>
        <v>CA</v>
      </c>
    </row>
    <row r="1153" spans="1:26" s="111" customFormat="1" x14ac:dyDescent="0.2">
      <c r="A1153" s="101">
        <v>46251</v>
      </c>
      <c r="B1153" s="91" t="s">
        <v>1383</v>
      </c>
      <c r="C1153" s="102" t="s">
        <v>1384</v>
      </c>
      <c r="D1153" s="103" t="s">
        <v>26</v>
      </c>
      <c r="E1153" s="91" t="s">
        <v>1385</v>
      </c>
      <c r="F1153" s="91" t="s">
        <v>1259</v>
      </c>
      <c r="G1153" s="91" t="s">
        <v>1260</v>
      </c>
      <c r="H1153" s="104" t="str">
        <f t="shared" si="70"/>
        <v>C4143J20</v>
      </c>
      <c r="I1153" s="104"/>
      <c r="J1153" s="105">
        <v>435.6</v>
      </c>
      <c r="K1153" s="106">
        <f>IF(D1153="CAESARSTONE LTD",VLOOKUP(H1153,'[2]GIA CA'!G:H,2,0),IF(OR(D1153="STONE FACINGS LIMITED",D1153="NORDIA SA",D1153="INVICTUS STONE COUNTERTOPS INC",D1153="QUARTZTOP LLC"),VLOOKUP(H1153,'[2] Giá ngoài Mỹ - SI-GR'!$B$5:$AZ$84,51,0),IF(OR(D1153="HYUNDAI L&amp;C CANADA INC",D1153="Hyundai L&amp; C USA LLC"),VLOOKUP(H1153,'[2]GIA HS'!A:D,4,0),IF(Y1153="Mỹ",VLOOKUP(H1153,'[2]giá mỹ từ 6.8.2025'!B:I,2,0),VLOOKUP(H1153,'[2]giá ngoài mỹ 6.8.2025 (final)'!B:BP,51,0)))))</f>
        <v>57</v>
      </c>
      <c r="L1153" s="106">
        <v>59.9</v>
      </c>
      <c r="M1153" s="106">
        <f t="shared" si="69"/>
        <v>2.8999999999999986</v>
      </c>
      <c r="N1153" s="106">
        <v>59.9</v>
      </c>
      <c r="O1153" s="107">
        <v>26092.799999999999</v>
      </c>
      <c r="P1153" s="107">
        <v>25870</v>
      </c>
      <c r="Q1153" s="107">
        <v>675020736</v>
      </c>
      <c r="R1153" s="102" t="s">
        <v>30</v>
      </c>
      <c r="S1153" s="108"/>
      <c r="T1153" s="109"/>
      <c r="U1153" s="109"/>
      <c r="V1153" s="102"/>
      <c r="W1153" s="109"/>
      <c r="X1153" s="109"/>
      <c r="Y1153" s="110" t="s">
        <v>803</v>
      </c>
      <c r="Z1153" s="111" t="str">
        <f>MID(E1153,4,2)</f>
        <v>CA</v>
      </c>
    </row>
    <row r="1154" spans="1:26" s="111" customFormat="1" x14ac:dyDescent="0.2">
      <c r="A1154" s="101">
        <v>46251</v>
      </c>
      <c r="B1154" s="91" t="s">
        <v>1400</v>
      </c>
      <c r="C1154" s="102" t="s">
        <v>1401</v>
      </c>
      <c r="D1154" s="103" t="s">
        <v>26</v>
      </c>
      <c r="E1154" s="91" t="s">
        <v>1402</v>
      </c>
      <c r="F1154" s="91" t="s">
        <v>895</v>
      </c>
      <c r="G1154" s="91" t="s">
        <v>896</v>
      </c>
      <c r="H1154" s="104" t="str">
        <f t="shared" si="70"/>
        <v>C4143J30</v>
      </c>
      <c r="I1154" s="104"/>
      <c r="J1154" s="105">
        <v>163.35</v>
      </c>
      <c r="K1154" s="106">
        <f>IF(D1154="CAESARSTONE LTD",VLOOKUP(H1154,'[2]GIA CA'!G:H,2,0),IF(OR(D1154="STONE FACINGS LIMITED",D1154="NORDIA SA",D1154="INVICTUS STONE COUNTERTOPS INC",D1154="QUARTZTOP LLC"),VLOOKUP(H1154,'[2] Giá ngoài Mỹ - SI-GR'!$B$5:$AZ$84,51,0),IF(OR(D1154="HYUNDAI L&amp;C CANADA INC",D1154="Hyundai L&amp; C USA LLC"),VLOOKUP(H1154,'[2]GIA HS'!A:D,4,0),IF(Y1154="Mỹ",VLOOKUP(H1154,'[2]giá mỹ từ 6.8.2025'!B:I,2,0),VLOOKUP(H1154,'[2]giá ngoài mỹ 6.8.2025 (final)'!B:BP,51,0)))))</f>
        <v>71.3</v>
      </c>
      <c r="L1154" s="106">
        <v>74.8</v>
      </c>
      <c r="M1154" s="106">
        <f t="shared" si="69"/>
        <v>3.5</v>
      </c>
      <c r="N1154" s="106">
        <v>74.8</v>
      </c>
      <c r="O1154" s="107">
        <v>12218.7</v>
      </c>
      <c r="P1154" s="107">
        <v>25870</v>
      </c>
      <c r="Q1154" s="107">
        <v>316097769</v>
      </c>
      <c r="R1154" s="102" t="s">
        <v>30</v>
      </c>
      <c r="S1154" s="108"/>
      <c r="T1154" s="109"/>
      <c r="U1154" s="109"/>
      <c r="V1154" s="102"/>
      <c r="W1154" s="109"/>
      <c r="X1154" s="109"/>
      <c r="Y1154" s="110" t="s">
        <v>803</v>
      </c>
      <c r="Z1154" s="111" t="str">
        <f>MID(E1154,4,2)</f>
        <v>CA</v>
      </c>
    </row>
    <row r="1155" spans="1:26" s="111" customFormat="1" x14ac:dyDescent="0.2">
      <c r="A1155" s="101">
        <v>46251</v>
      </c>
      <c r="B1155" s="91" t="s">
        <v>1400</v>
      </c>
      <c r="C1155" s="102" t="s">
        <v>1401</v>
      </c>
      <c r="D1155" s="103" t="s">
        <v>26</v>
      </c>
      <c r="E1155" s="91" t="s">
        <v>1402</v>
      </c>
      <c r="F1155" s="91" t="s">
        <v>456</v>
      </c>
      <c r="G1155" s="91" t="s">
        <v>457</v>
      </c>
      <c r="H1155" s="104" t="str">
        <f t="shared" si="70"/>
        <v>F5131J30</v>
      </c>
      <c r="I1155" s="104"/>
      <c r="J1155" s="105">
        <v>152.46</v>
      </c>
      <c r="K1155" s="106">
        <f>IF(D1155="CAESARSTONE LTD",VLOOKUP(H1155,'[2]GIA CA'!G:H,2,0),IF(OR(D1155="STONE FACINGS LIMITED",D1155="NORDIA SA",D1155="INVICTUS STONE COUNTERTOPS INC",D1155="QUARTZTOP LLC"),VLOOKUP(H1155,'[2] Giá ngoài Mỹ - SI-GR'!$B$5:$AZ$84,51,0),IF(OR(D1155="HYUNDAI L&amp;C CANADA INC",D1155="Hyundai L&amp; C USA LLC"),VLOOKUP(H1155,'[2]GIA HS'!A:D,4,0),IF(Y1155="Mỹ",VLOOKUP(H1155,'[2]giá mỹ từ 6.8.2025'!B:I,2,0),VLOOKUP(H1155,'[2]giá ngoài mỹ 6.8.2025 (final)'!B:BP,51,0)))))</f>
        <v>75</v>
      </c>
      <c r="L1155" s="106">
        <v>78.8</v>
      </c>
      <c r="M1155" s="106">
        <f t="shared" si="69"/>
        <v>3.7999999999999972</v>
      </c>
      <c r="N1155" s="106">
        <v>78.8</v>
      </c>
      <c r="O1155" s="107">
        <v>12013.96</v>
      </c>
      <c r="P1155" s="107">
        <v>25870</v>
      </c>
      <c r="Q1155" s="107">
        <v>310801145</v>
      </c>
      <c r="R1155" s="102" t="s">
        <v>30</v>
      </c>
      <c r="S1155" s="108"/>
      <c r="T1155" s="109"/>
      <c r="U1155" s="109"/>
      <c r="V1155" s="102"/>
      <c r="W1155" s="109"/>
      <c r="X1155" s="109"/>
      <c r="Y1155" s="110" t="s">
        <v>803</v>
      </c>
      <c r="Z1155" s="111" t="str">
        <f>MID(E1155,4,2)</f>
        <v>CA</v>
      </c>
    </row>
    <row r="1156" spans="1:26" s="111" customFormat="1" x14ac:dyDescent="0.2">
      <c r="A1156" s="101">
        <v>46251</v>
      </c>
      <c r="B1156" s="91" t="s">
        <v>1403</v>
      </c>
      <c r="C1156" s="102" t="s">
        <v>1404</v>
      </c>
      <c r="D1156" s="103" t="s">
        <v>26</v>
      </c>
      <c r="E1156" s="91" t="s">
        <v>1405</v>
      </c>
      <c r="F1156" s="91" t="s">
        <v>79</v>
      </c>
      <c r="G1156" s="91" t="s">
        <v>80</v>
      </c>
      <c r="H1156" s="104" t="str">
        <f t="shared" si="70"/>
        <v>C6046J30</v>
      </c>
      <c r="I1156" s="104"/>
      <c r="J1156" s="105">
        <v>38.119999999999997</v>
      </c>
      <c r="K1156" s="106">
        <f>IF(D1156="CAESARSTONE LTD",VLOOKUP(H1156,'[2]GIA CA'!G:H,2,0),IF(OR(D1156="STONE FACINGS LIMITED",D1156="NORDIA SA",D1156="INVICTUS STONE COUNTERTOPS INC",D1156="QUARTZTOP LLC"),VLOOKUP(H1156,'[2] Giá ngoài Mỹ - SI-GR'!$B$5:$AZ$84,51,0),IF(OR(D1156="HYUNDAI L&amp;C CANADA INC",D1156="Hyundai L&amp; C USA LLC"),VLOOKUP(H1156,'[2]GIA HS'!A:D,4,0),IF(Y1156="Mỹ",VLOOKUP(H1156,'[2]giá mỹ từ 6.8.2025'!B:I,2,0),VLOOKUP(H1156,'[2]giá ngoài mỹ 6.8.2025 (final)'!B:BP,51,0)))))</f>
        <v>73.75</v>
      </c>
      <c r="L1156" s="106">
        <v>77.39</v>
      </c>
      <c r="M1156" s="106">
        <f t="shared" si="69"/>
        <v>3.6400000000000006</v>
      </c>
      <c r="N1156" s="106">
        <v>77.39</v>
      </c>
      <c r="O1156" s="107">
        <v>2950.08</v>
      </c>
      <c r="P1156" s="107">
        <v>25870</v>
      </c>
      <c r="Q1156" s="107">
        <v>76318570</v>
      </c>
      <c r="R1156" s="102" t="s">
        <v>30</v>
      </c>
      <c r="S1156" s="108"/>
      <c r="T1156" s="109"/>
      <c r="U1156" s="109"/>
      <c r="V1156" s="102"/>
      <c r="W1156" s="109"/>
      <c r="X1156" s="109"/>
      <c r="Y1156" s="110" t="s">
        <v>803</v>
      </c>
      <c r="Z1156" s="111" t="str">
        <f>MID(E1156,4,2)</f>
        <v>CA</v>
      </c>
    </row>
    <row r="1157" spans="1:26" s="111" customFormat="1" x14ac:dyDescent="0.2">
      <c r="A1157" s="101">
        <v>46251</v>
      </c>
      <c r="B1157" s="91" t="s">
        <v>1403</v>
      </c>
      <c r="C1157" s="102" t="s">
        <v>1404</v>
      </c>
      <c r="D1157" s="103" t="s">
        <v>26</v>
      </c>
      <c r="E1157" s="91" t="s">
        <v>1405</v>
      </c>
      <c r="F1157" s="91" t="s">
        <v>1406</v>
      </c>
      <c r="G1157" s="91" t="s">
        <v>954</v>
      </c>
      <c r="H1157" s="104" t="str">
        <f t="shared" si="70"/>
        <v>F5113J30</v>
      </c>
      <c r="I1157" s="104"/>
      <c r="J1157" s="105">
        <v>32.67</v>
      </c>
      <c r="K1157" s="106">
        <f>IF(D1157="CAESARSTONE LTD",VLOOKUP(H1157,'[2]GIA CA'!G:H,2,0),IF(OR(D1157="STONE FACINGS LIMITED",D1157="NORDIA SA",D1157="INVICTUS STONE COUNTERTOPS INC",D1157="QUARTZTOP LLC"),VLOOKUP(H1157,'[2] Giá ngoài Mỹ - SI-GR'!$B$5:$AZ$84,51,0),IF(OR(D1157="HYUNDAI L&amp;C CANADA INC",D1157="Hyundai L&amp; C USA LLC"),VLOOKUP(H1157,'[2]GIA HS'!A:D,4,0),IF(Y1157="Mỹ",VLOOKUP(H1157,'[2]giá mỹ từ 6.8.2025'!B:I,2,0),VLOOKUP(H1157,'[2]giá ngoài mỹ 6.8.2025 (final)'!B:BP,51,0)))))</f>
        <v>77.5</v>
      </c>
      <c r="L1157" s="106">
        <v>81.400000000000006</v>
      </c>
      <c r="M1157" s="106">
        <f t="shared" si="69"/>
        <v>3.9000000000000057</v>
      </c>
      <c r="N1157" s="106">
        <v>81.400000000000006</v>
      </c>
      <c r="O1157" s="107">
        <v>2659.22</v>
      </c>
      <c r="P1157" s="107">
        <v>25870</v>
      </c>
      <c r="Q1157" s="107">
        <v>68794021</v>
      </c>
      <c r="R1157" s="102" t="s">
        <v>30</v>
      </c>
      <c r="S1157" s="108"/>
      <c r="T1157" s="109"/>
      <c r="U1157" s="109"/>
      <c r="V1157" s="102"/>
      <c r="W1157" s="109"/>
      <c r="X1157" s="109"/>
      <c r="Y1157" s="110" t="s">
        <v>803</v>
      </c>
      <c r="Z1157" s="111" t="str">
        <f>MID(E1157,4,2)</f>
        <v>CA</v>
      </c>
    </row>
    <row r="1158" spans="1:26" s="111" customFormat="1" x14ac:dyDescent="0.2">
      <c r="A1158" s="101">
        <v>46251</v>
      </c>
      <c r="B1158" s="91" t="s">
        <v>1403</v>
      </c>
      <c r="C1158" s="102" t="s">
        <v>1404</v>
      </c>
      <c r="D1158" s="103" t="s">
        <v>26</v>
      </c>
      <c r="E1158" s="91" t="s">
        <v>1405</v>
      </c>
      <c r="F1158" s="91" t="s">
        <v>953</v>
      </c>
      <c r="G1158" s="91" t="s">
        <v>954</v>
      </c>
      <c r="H1158" s="104" t="str">
        <f t="shared" si="70"/>
        <v>F5113J30</v>
      </c>
      <c r="I1158" s="104"/>
      <c r="J1158" s="105">
        <v>98.01</v>
      </c>
      <c r="K1158" s="106">
        <f>IF(D1158="CAESARSTONE LTD",VLOOKUP(H1158,'[2]GIA CA'!G:H,2,0),IF(OR(D1158="STONE FACINGS LIMITED",D1158="NORDIA SA",D1158="INVICTUS STONE COUNTERTOPS INC",D1158="QUARTZTOP LLC"),VLOOKUP(H1158,'[2] Giá ngoài Mỹ - SI-GR'!$B$5:$AZ$84,51,0),IF(OR(D1158="HYUNDAI L&amp;C CANADA INC",D1158="Hyundai L&amp; C USA LLC"),VLOOKUP(H1158,'[2]GIA HS'!A:D,4,0),IF(Y1158="Mỹ",VLOOKUP(H1158,'[2]giá mỹ từ 6.8.2025'!B:I,2,0),VLOOKUP(H1158,'[2]giá ngoài mỹ 6.8.2025 (final)'!B:BP,51,0)))))</f>
        <v>77.5</v>
      </c>
      <c r="L1158" s="106">
        <v>81.400000000000006</v>
      </c>
      <c r="M1158" s="106">
        <f t="shared" si="69"/>
        <v>3.9000000000000057</v>
      </c>
      <c r="N1158" s="106">
        <v>81.400000000000006</v>
      </c>
      <c r="O1158" s="107">
        <v>7977.67</v>
      </c>
      <c r="P1158" s="107">
        <v>25870</v>
      </c>
      <c r="Q1158" s="107">
        <v>206382323</v>
      </c>
      <c r="R1158" s="102" t="s">
        <v>30</v>
      </c>
      <c r="S1158" s="108"/>
      <c r="T1158" s="109"/>
      <c r="U1158" s="109"/>
      <c r="V1158" s="102"/>
      <c r="W1158" s="109"/>
      <c r="X1158" s="109"/>
      <c r="Y1158" s="110" t="s">
        <v>803</v>
      </c>
      <c r="Z1158" s="111" t="str">
        <f>MID(E1158,4,2)</f>
        <v>CA</v>
      </c>
    </row>
    <row r="1159" spans="1:26" s="111" customFormat="1" x14ac:dyDescent="0.2">
      <c r="A1159" s="101">
        <v>46251</v>
      </c>
      <c r="B1159" s="91" t="s">
        <v>1403</v>
      </c>
      <c r="C1159" s="102" t="s">
        <v>1404</v>
      </c>
      <c r="D1159" s="103" t="s">
        <v>26</v>
      </c>
      <c r="E1159" s="91" t="s">
        <v>1405</v>
      </c>
      <c r="F1159" s="91" t="s">
        <v>955</v>
      </c>
      <c r="G1159" s="91" t="s">
        <v>954</v>
      </c>
      <c r="H1159" s="104" t="str">
        <f t="shared" si="70"/>
        <v>F5113J30</v>
      </c>
      <c r="I1159" s="104"/>
      <c r="J1159" s="105">
        <v>5.45</v>
      </c>
      <c r="K1159" s="106">
        <f>IF(D1159="CAESARSTONE LTD",VLOOKUP(H1159,'[2]GIA CA'!G:H,2,0),IF(OR(D1159="STONE FACINGS LIMITED",D1159="NORDIA SA",D1159="INVICTUS STONE COUNTERTOPS INC",D1159="QUARTZTOP LLC"),VLOOKUP(H1159,'[2] Giá ngoài Mỹ - SI-GR'!$B$5:$AZ$84,51,0),IF(OR(D1159="HYUNDAI L&amp;C CANADA INC",D1159="Hyundai L&amp; C USA LLC"),VLOOKUP(H1159,'[2]GIA HS'!A:D,4,0),IF(Y1159="Mỹ",VLOOKUP(H1159,'[2]giá mỹ từ 6.8.2025'!B:I,2,0),VLOOKUP(H1159,'[2]giá ngoài mỹ 6.8.2025 (final)'!B:BP,51,0)))))</f>
        <v>77.5</v>
      </c>
      <c r="L1159" s="106">
        <v>81.400000000000006</v>
      </c>
      <c r="M1159" s="106">
        <f t="shared" si="69"/>
        <v>3.9000000000000057</v>
      </c>
      <c r="N1159" s="106">
        <v>81.400000000000006</v>
      </c>
      <c r="O1159" s="107">
        <v>443.61</v>
      </c>
      <c r="P1159" s="107">
        <v>25870</v>
      </c>
      <c r="Q1159" s="107">
        <v>11476191</v>
      </c>
      <c r="R1159" s="102" t="s">
        <v>30</v>
      </c>
      <c r="S1159" s="108"/>
      <c r="T1159" s="109"/>
      <c r="U1159" s="109"/>
      <c r="V1159" s="102"/>
      <c r="W1159" s="109"/>
      <c r="X1159" s="109"/>
      <c r="Y1159" s="110" t="s">
        <v>803</v>
      </c>
      <c r="Z1159" s="111" t="str">
        <f>MID(E1159,4,2)</f>
        <v>CA</v>
      </c>
    </row>
    <row r="1160" spans="1:26" s="111" customFormat="1" x14ac:dyDescent="0.2">
      <c r="A1160" s="101">
        <v>46251</v>
      </c>
      <c r="B1160" s="91" t="s">
        <v>1403</v>
      </c>
      <c r="C1160" s="102" t="s">
        <v>1404</v>
      </c>
      <c r="D1160" s="103" t="s">
        <v>26</v>
      </c>
      <c r="E1160" s="91" t="s">
        <v>1405</v>
      </c>
      <c r="F1160" s="91" t="s">
        <v>1407</v>
      </c>
      <c r="G1160" s="91" t="s">
        <v>1408</v>
      </c>
      <c r="H1160" s="104" t="str">
        <f t="shared" si="70"/>
        <v>F5113J30</v>
      </c>
      <c r="I1160" s="104"/>
      <c r="J1160" s="105">
        <v>5.45</v>
      </c>
      <c r="K1160" s="106">
        <v>20</v>
      </c>
      <c r="L1160" s="106">
        <v>40.69</v>
      </c>
      <c r="M1160" s="106">
        <f t="shared" si="69"/>
        <v>20.689999999999998</v>
      </c>
      <c r="N1160" s="106">
        <v>40.69</v>
      </c>
      <c r="O1160" s="107">
        <v>221.75</v>
      </c>
      <c r="P1160" s="107">
        <v>25870</v>
      </c>
      <c r="Q1160" s="107">
        <v>5736673</v>
      </c>
      <c r="R1160" s="102" t="s">
        <v>30</v>
      </c>
      <c r="S1160" s="108"/>
      <c r="T1160" s="109"/>
      <c r="U1160" s="109"/>
      <c r="V1160" s="102"/>
      <c r="W1160" s="109"/>
      <c r="X1160" s="109"/>
      <c r="Y1160" s="110" t="s">
        <v>803</v>
      </c>
      <c r="Z1160" s="111" t="str">
        <f>MID(E1160,4,2)</f>
        <v>CA</v>
      </c>
    </row>
    <row r="1161" spans="1:26" s="111" customFormat="1" x14ac:dyDescent="0.2">
      <c r="A1161" s="101">
        <v>46251</v>
      </c>
      <c r="B1161" s="91" t="s">
        <v>1403</v>
      </c>
      <c r="C1161" s="102" t="s">
        <v>1404</v>
      </c>
      <c r="D1161" s="103" t="s">
        <v>26</v>
      </c>
      <c r="E1161" s="91" t="s">
        <v>1405</v>
      </c>
      <c r="F1161" s="91" t="s">
        <v>1409</v>
      </c>
      <c r="G1161" s="91" t="s">
        <v>1408</v>
      </c>
      <c r="H1161" s="104" t="str">
        <f t="shared" si="70"/>
        <v>F5113J30</v>
      </c>
      <c r="I1161" s="104"/>
      <c r="J1161" s="105">
        <v>10.89</v>
      </c>
      <c r="K1161" s="106">
        <v>20</v>
      </c>
      <c r="L1161" s="106">
        <v>40.69</v>
      </c>
      <c r="M1161" s="106">
        <f t="shared" si="69"/>
        <v>20.689999999999998</v>
      </c>
      <c r="N1161" s="106">
        <v>40.69</v>
      </c>
      <c r="O1161" s="107">
        <v>443.08</v>
      </c>
      <c r="P1161" s="107">
        <v>25870</v>
      </c>
      <c r="Q1161" s="107">
        <v>11462480</v>
      </c>
      <c r="R1161" s="102" t="s">
        <v>30</v>
      </c>
      <c r="S1161" s="108"/>
      <c r="T1161" s="109"/>
      <c r="U1161" s="109"/>
      <c r="V1161" s="102"/>
      <c r="W1161" s="109"/>
      <c r="X1161" s="109"/>
      <c r="Y1161" s="110" t="s">
        <v>803</v>
      </c>
      <c r="Z1161" s="111" t="str">
        <f>MID(E1161,4,2)</f>
        <v>CA</v>
      </c>
    </row>
    <row r="1162" spans="1:26" s="111" customFormat="1" x14ac:dyDescent="0.2">
      <c r="A1162" s="101">
        <v>46251</v>
      </c>
      <c r="B1162" s="91" t="s">
        <v>1403</v>
      </c>
      <c r="C1162" s="102" t="s">
        <v>1404</v>
      </c>
      <c r="D1162" s="103" t="s">
        <v>26</v>
      </c>
      <c r="E1162" s="91" t="s">
        <v>1405</v>
      </c>
      <c r="F1162" s="91" t="s">
        <v>385</v>
      </c>
      <c r="G1162" s="91" t="s">
        <v>386</v>
      </c>
      <c r="H1162" s="104" t="str">
        <f t="shared" si="70"/>
        <v>F5132J30</v>
      </c>
      <c r="I1162" s="104"/>
      <c r="J1162" s="105">
        <v>65.34</v>
      </c>
      <c r="K1162" s="106">
        <f>IF(D1162="CAESARSTONE LTD",VLOOKUP(H1162,'[2]GIA CA'!G:H,2,0),IF(OR(D1162="STONE FACINGS LIMITED",D1162="NORDIA SA",D1162="INVICTUS STONE COUNTERTOPS INC",D1162="QUARTZTOP LLC"),VLOOKUP(H1162,'[2] Giá ngoài Mỹ - SI-GR'!$B$5:$AZ$84,51,0),IF(OR(D1162="HYUNDAI L&amp;C CANADA INC",D1162="Hyundai L&amp; C USA LLC"),VLOOKUP(H1162,'[2]GIA HS'!A:D,4,0),IF(Y1162="Mỹ",VLOOKUP(H1162,'[2]giá mỹ từ 6.8.2025'!B:I,2,0),VLOOKUP(H1162,'[2]giá ngoài mỹ 6.8.2025 (final)'!B:BP,51,0)))))</f>
        <v>77.5</v>
      </c>
      <c r="L1162" s="106">
        <v>81.400000000000006</v>
      </c>
      <c r="M1162" s="106">
        <f t="shared" si="69"/>
        <v>3.9000000000000057</v>
      </c>
      <c r="N1162" s="106">
        <v>81.400000000000006</v>
      </c>
      <c r="O1162" s="107">
        <v>5318.64</v>
      </c>
      <c r="P1162" s="107">
        <v>25870</v>
      </c>
      <c r="Q1162" s="107">
        <v>137593217</v>
      </c>
      <c r="R1162" s="102" t="s">
        <v>30</v>
      </c>
      <c r="S1162" s="108"/>
      <c r="T1162" s="109"/>
      <c r="U1162" s="109"/>
      <c r="V1162" s="102"/>
      <c r="W1162" s="109"/>
      <c r="X1162" s="109"/>
      <c r="Y1162" s="110" t="s">
        <v>803</v>
      </c>
      <c r="Z1162" s="111" t="str">
        <f>MID(E1162,4,2)</f>
        <v>CA</v>
      </c>
    </row>
    <row r="1163" spans="1:26" s="111" customFormat="1" x14ac:dyDescent="0.2">
      <c r="A1163" s="101">
        <v>46251</v>
      </c>
      <c r="B1163" s="91" t="s">
        <v>1403</v>
      </c>
      <c r="C1163" s="102" t="s">
        <v>1404</v>
      </c>
      <c r="D1163" s="103" t="s">
        <v>26</v>
      </c>
      <c r="E1163" s="91" t="s">
        <v>1405</v>
      </c>
      <c r="F1163" s="91" t="s">
        <v>1410</v>
      </c>
      <c r="G1163" s="91" t="s">
        <v>386</v>
      </c>
      <c r="H1163" s="104" t="str">
        <f t="shared" si="70"/>
        <v>F5132J30</v>
      </c>
      <c r="I1163" s="104"/>
      <c r="J1163" s="105">
        <v>10.89</v>
      </c>
      <c r="K1163" s="106">
        <f>IF(D1163="CAESARSTONE LTD",VLOOKUP(H1163,'[2]GIA CA'!G:H,2,0),IF(OR(D1163="STONE FACINGS LIMITED",D1163="NORDIA SA",D1163="INVICTUS STONE COUNTERTOPS INC",D1163="QUARTZTOP LLC"),VLOOKUP(H1163,'[2] Giá ngoài Mỹ - SI-GR'!$B$5:$AZ$84,51,0),IF(OR(D1163="HYUNDAI L&amp;C CANADA INC",D1163="Hyundai L&amp; C USA LLC"),VLOOKUP(H1163,'[2]GIA HS'!A:D,4,0),IF(Y1163="Mỹ",VLOOKUP(H1163,'[2]giá mỹ từ 6.8.2025'!B:I,2,0),VLOOKUP(H1163,'[2]giá ngoài mỹ 6.8.2025 (final)'!B:BP,51,0)))))</f>
        <v>77.5</v>
      </c>
      <c r="L1163" s="106">
        <v>81.400000000000006</v>
      </c>
      <c r="M1163" s="106">
        <f t="shared" si="69"/>
        <v>3.9000000000000057</v>
      </c>
      <c r="N1163" s="106">
        <v>81.400000000000006</v>
      </c>
      <c r="O1163" s="107">
        <v>886.44</v>
      </c>
      <c r="P1163" s="107">
        <v>25870</v>
      </c>
      <c r="Q1163" s="107">
        <v>22932203</v>
      </c>
      <c r="R1163" s="102" t="s">
        <v>30</v>
      </c>
      <c r="S1163" s="108"/>
      <c r="T1163" s="109"/>
      <c r="U1163" s="109"/>
      <c r="V1163" s="102"/>
      <c r="W1163" s="109"/>
      <c r="X1163" s="109"/>
      <c r="Y1163" s="110" t="s">
        <v>803</v>
      </c>
      <c r="Z1163" s="111" t="str">
        <f>MID(E1163,4,2)</f>
        <v>CA</v>
      </c>
    </row>
    <row r="1164" spans="1:26" s="111" customFormat="1" x14ac:dyDescent="0.2">
      <c r="A1164" s="101">
        <v>46251</v>
      </c>
      <c r="B1164" s="91" t="s">
        <v>1403</v>
      </c>
      <c r="C1164" s="102" t="s">
        <v>1404</v>
      </c>
      <c r="D1164" s="103" t="s">
        <v>26</v>
      </c>
      <c r="E1164" s="91" t="s">
        <v>1405</v>
      </c>
      <c r="F1164" s="91" t="s">
        <v>1411</v>
      </c>
      <c r="G1164" s="91" t="s">
        <v>1412</v>
      </c>
      <c r="H1164" s="104" t="str">
        <f t="shared" si="70"/>
        <v>F5310J30</v>
      </c>
      <c r="I1164" s="104"/>
      <c r="J1164" s="105">
        <v>16.34</v>
      </c>
      <c r="K1164" s="106">
        <f>IF(D1164="CAESARSTONE LTD",VLOOKUP(H1164,'[2]GIA CA'!G:H,2,0),IF(OR(D1164="STONE FACINGS LIMITED",D1164="NORDIA SA",D1164="INVICTUS STONE COUNTERTOPS INC",D1164="QUARTZTOP LLC"),VLOOKUP(H1164,'[2] Giá ngoài Mỹ - SI-GR'!$B$5:$AZ$84,51,0),IF(OR(D1164="HYUNDAI L&amp;C CANADA INC",D1164="Hyundai L&amp; C USA LLC"),VLOOKUP(H1164,'[2]GIA HS'!A:D,4,0),IF(Y1164="Mỹ",VLOOKUP(H1164,'[2]giá mỹ từ 6.8.2025'!B:I,2,0),VLOOKUP(H1164,'[2]giá ngoài mỹ 6.8.2025 (final)'!B:BP,51,0)))))</f>
        <v>77.5</v>
      </c>
      <c r="L1164" s="106">
        <v>81.39</v>
      </c>
      <c r="M1164" s="106">
        <f t="shared" si="69"/>
        <v>3.8900000000000006</v>
      </c>
      <c r="N1164" s="106">
        <v>81.39</v>
      </c>
      <c r="O1164" s="107">
        <v>1329.89</v>
      </c>
      <c r="P1164" s="107">
        <v>25870</v>
      </c>
      <c r="Q1164" s="107">
        <v>34404254</v>
      </c>
      <c r="R1164" s="102" t="s">
        <v>30</v>
      </c>
      <c r="S1164" s="108"/>
      <c r="T1164" s="109"/>
      <c r="U1164" s="109"/>
      <c r="V1164" s="102"/>
      <c r="W1164" s="109"/>
      <c r="X1164" s="109"/>
      <c r="Y1164" s="110" t="s">
        <v>803</v>
      </c>
      <c r="Z1164" s="111" t="str">
        <f>MID(E1164,4,2)</f>
        <v>CA</v>
      </c>
    </row>
    <row r="1165" spans="1:26" s="111" customFormat="1" x14ac:dyDescent="0.2">
      <c r="A1165" s="101">
        <v>46251</v>
      </c>
      <c r="B1165" s="91" t="s">
        <v>1403</v>
      </c>
      <c r="C1165" s="102" t="s">
        <v>1404</v>
      </c>
      <c r="D1165" s="103" t="s">
        <v>26</v>
      </c>
      <c r="E1165" s="91" t="s">
        <v>1405</v>
      </c>
      <c r="F1165" s="91" t="s">
        <v>1413</v>
      </c>
      <c r="G1165" s="91" t="s">
        <v>1412</v>
      </c>
      <c r="H1165" s="104" t="str">
        <f t="shared" si="70"/>
        <v>F5310J30</v>
      </c>
      <c r="I1165" s="104"/>
      <c r="J1165" s="105">
        <v>21.78</v>
      </c>
      <c r="K1165" s="106">
        <f>IF(D1165="CAESARSTONE LTD",VLOOKUP(H1165,'[2]GIA CA'!G:H,2,0),IF(OR(D1165="STONE FACINGS LIMITED",D1165="NORDIA SA",D1165="INVICTUS STONE COUNTERTOPS INC",D1165="QUARTZTOP LLC"),VLOOKUP(H1165,'[2] Giá ngoài Mỹ - SI-GR'!$B$5:$AZ$84,51,0),IF(OR(D1165="HYUNDAI L&amp;C CANADA INC",D1165="Hyundai L&amp; C USA LLC"),VLOOKUP(H1165,'[2]GIA HS'!A:D,4,0),IF(Y1165="Mỹ",VLOOKUP(H1165,'[2]giá mỹ từ 6.8.2025'!B:I,2,0),VLOOKUP(H1165,'[2]giá ngoài mỹ 6.8.2025 (final)'!B:BP,51,0)))))</f>
        <v>77.5</v>
      </c>
      <c r="L1165" s="106">
        <v>81.39</v>
      </c>
      <c r="M1165" s="106">
        <f t="shared" ref="M1165:M1228" si="72">L1165-K1165</f>
        <v>3.8900000000000006</v>
      </c>
      <c r="N1165" s="106">
        <v>81.39</v>
      </c>
      <c r="O1165" s="107">
        <v>1772.65</v>
      </c>
      <c r="P1165" s="107">
        <v>25870</v>
      </c>
      <c r="Q1165" s="107">
        <v>45858456</v>
      </c>
      <c r="R1165" s="102" t="s">
        <v>30</v>
      </c>
      <c r="S1165" s="108"/>
      <c r="T1165" s="109"/>
      <c r="U1165" s="109"/>
      <c r="V1165" s="102"/>
      <c r="W1165" s="109"/>
      <c r="X1165" s="109"/>
      <c r="Y1165" s="110" t="s">
        <v>803</v>
      </c>
      <c r="Z1165" s="111" t="str">
        <f>MID(E1165,4,2)</f>
        <v>CA</v>
      </c>
    </row>
    <row r="1166" spans="1:26" s="111" customFormat="1" x14ac:dyDescent="0.2">
      <c r="A1166" s="101">
        <v>46251</v>
      </c>
      <c r="B1166" s="91" t="s">
        <v>1414</v>
      </c>
      <c r="C1166" s="102" t="s">
        <v>1415</v>
      </c>
      <c r="D1166" s="103" t="s">
        <v>26</v>
      </c>
      <c r="E1166" s="91" t="s">
        <v>1416</v>
      </c>
      <c r="F1166" s="91" t="s">
        <v>895</v>
      </c>
      <c r="G1166" s="91" t="s">
        <v>896</v>
      </c>
      <c r="H1166" s="104" t="str">
        <f t="shared" ref="H1166:H1229" si="73">IF(LEN(G1166)=13,LEFT(G1166,5)&amp;MID(G1166,SEARCH("-J",G1166)+1,3),LEFT(G1166,5)&amp;"J20")</f>
        <v>C4143J30</v>
      </c>
      <c r="I1166" s="104"/>
      <c r="J1166" s="105">
        <v>152.46</v>
      </c>
      <c r="K1166" s="106">
        <f>IF(D1166="CAESARSTONE LTD",VLOOKUP(H1166,'[2]GIA CA'!G:H,2,0),IF(OR(D1166="STONE FACINGS LIMITED",D1166="NORDIA SA",D1166="INVICTUS STONE COUNTERTOPS INC",D1166="QUARTZTOP LLC"),VLOOKUP(H1166,'[2] Giá ngoài Mỹ - SI-GR'!$B$5:$AZ$84,51,0),IF(OR(D1166="HYUNDAI L&amp;C CANADA INC",D1166="Hyundai L&amp; C USA LLC"),VLOOKUP(H1166,'[2]GIA HS'!A:D,4,0),IF(Y1166="Mỹ",VLOOKUP(H1166,'[2]giá mỹ từ 6.8.2025'!B:I,2,0),VLOOKUP(H1166,'[2]giá ngoài mỹ 6.8.2025 (final)'!B:BP,51,0)))))</f>
        <v>71.3</v>
      </c>
      <c r="L1166" s="106">
        <v>74.8</v>
      </c>
      <c r="M1166" s="106">
        <f t="shared" si="72"/>
        <v>3.5</v>
      </c>
      <c r="N1166" s="106">
        <v>74.8</v>
      </c>
      <c r="O1166" s="107">
        <v>11404.12</v>
      </c>
      <c r="P1166" s="107">
        <v>25870</v>
      </c>
      <c r="Q1166" s="107">
        <v>295024584</v>
      </c>
      <c r="R1166" s="102" t="s">
        <v>30</v>
      </c>
      <c r="S1166" s="108"/>
      <c r="T1166" s="109"/>
      <c r="U1166" s="109"/>
      <c r="V1166" s="102"/>
      <c r="W1166" s="109"/>
      <c r="X1166" s="109"/>
      <c r="Y1166" s="110" t="s">
        <v>31</v>
      </c>
      <c r="Z1166" s="111" t="str">
        <f>MID(E1166,4,2)</f>
        <v>CA</v>
      </c>
    </row>
    <row r="1167" spans="1:26" s="111" customFormat="1" x14ac:dyDescent="0.2">
      <c r="A1167" s="101">
        <v>46251</v>
      </c>
      <c r="B1167" s="91" t="s">
        <v>1414</v>
      </c>
      <c r="C1167" s="102" t="s">
        <v>1415</v>
      </c>
      <c r="D1167" s="103" t="s">
        <v>26</v>
      </c>
      <c r="E1167" s="91" t="s">
        <v>1416</v>
      </c>
      <c r="F1167" s="91" t="s">
        <v>72</v>
      </c>
      <c r="G1167" s="91" t="s">
        <v>73</v>
      </c>
      <c r="H1167" s="104" t="str">
        <f t="shared" si="73"/>
        <v>C5143J30</v>
      </c>
      <c r="I1167" s="104"/>
      <c r="J1167" s="105">
        <v>10.89</v>
      </c>
      <c r="K1167" s="106">
        <f>IF(D1167="CAESARSTONE LTD",VLOOKUP(H1167,'[2]GIA CA'!G:H,2,0),IF(OR(D1167="STONE FACINGS LIMITED",D1167="NORDIA SA",D1167="INVICTUS STONE COUNTERTOPS INC",D1167="QUARTZTOP LLC"),VLOOKUP(H1167,'[2] Giá ngoài Mỹ - SI-GR'!$B$5:$AZ$84,51,0),IF(OR(D1167="HYUNDAI L&amp;C CANADA INC",D1167="Hyundai L&amp; C USA LLC"),VLOOKUP(H1167,'[2]GIA HS'!A:D,4,0),IF(Y1167="Mỹ",VLOOKUP(H1167,'[2]giá mỹ từ 6.8.2025'!B:I,2,0),VLOOKUP(H1167,'[2]giá ngoài mỹ 6.8.2025 (final)'!B:BP,51,0)))))</f>
        <v>73.75</v>
      </c>
      <c r="L1167" s="106">
        <v>77.39</v>
      </c>
      <c r="M1167" s="106">
        <f t="shared" si="72"/>
        <v>3.6400000000000006</v>
      </c>
      <c r="N1167" s="106">
        <v>77.39</v>
      </c>
      <c r="O1167" s="107">
        <v>842.77</v>
      </c>
      <c r="P1167" s="107">
        <v>25870</v>
      </c>
      <c r="Q1167" s="107">
        <v>21802460</v>
      </c>
      <c r="R1167" s="102" t="s">
        <v>30</v>
      </c>
      <c r="S1167" s="108"/>
      <c r="T1167" s="109"/>
      <c r="U1167" s="109"/>
      <c r="V1167" s="102"/>
      <c r="W1167" s="109"/>
      <c r="X1167" s="109"/>
      <c r="Y1167" s="110" t="s">
        <v>31</v>
      </c>
      <c r="Z1167" s="111" t="str">
        <f>MID(E1167,4,2)</f>
        <v>CA</v>
      </c>
    </row>
    <row r="1168" spans="1:26" s="111" customFormat="1" x14ac:dyDescent="0.2">
      <c r="A1168" s="101">
        <v>46251</v>
      </c>
      <c r="B1168" s="91" t="s">
        <v>1414</v>
      </c>
      <c r="C1168" s="102" t="s">
        <v>1415</v>
      </c>
      <c r="D1168" s="103" t="s">
        <v>26</v>
      </c>
      <c r="E1168" s="91" t="s">
        <v>1416</v>
      </c>
      <c r="F1168" s="91" t="s">
        <v>237</v>
      </c>
      <c r="G1168" s="91" t="s">
        <v>73</v>
      </c>
      <c r="H1168" s="104" t="str">
        <f t="shared" si="73"/>
        <v>C5143J30</v>
      </c>
      <c r="I1168" s="104"/>
      <c r="J1168" s="105">
        <v>27.23</v>
      </c>
      <c r="K1168" s="106">
        <f>IF(D1168="CAESARSTONE LTD",VLOOKUP(H1168,'[2]GIA CA'!G:H,2,0),IF(OR(D1168="STONE FACINGS LIMITED",D1168="NORDIA SA",D1168="INVICTUS STONE COUNTERTOPS INC",D1168="QUARTZTOP LLC"),VLOOKUP(H1168,'[2] Giá ngoài Mỹ - SI-GR'!$B$5:$AZ$84,51,0),IF(OR(D1168="HYUNDAI L&amp;C CANADA INC",D1168="Hyundai L&amp; C USA LLC"),VLOOKUP(H1168,'[2]GIA HS'!A:D,4,0),IF(Y1168="Mỹ",VLOOKUP(H1168,'[2]giá mỹ từ 6.8.2025'!B:I,2,0),VLOOKUP(H1168,'[2]giá ngoài mỹ 6.8.2025 (final)'!B:BP,51,0)))))</f>
        <v>73.75</v>
      </c>
      <c r="L1168" s="106">
        <v>77.39</v>
      </c>
      <c r="M1168" s="106">
        <f t="shared" si="72"/>
        <v>3.6400000000000006</v>
      </c>
      <c r="N1168" s="106">
        <v>77.39</v>
      </c>
      <c r="O1168" s="107">
        <v>2107.31</v>
      </c>
      <c r="P1168" s="107">
        <v>25870</v>
      </c>
      <c r="Q1168" s="107">
        <v>54516110</v>
      </c>
      <c r="R1168" s="102" t="s">
        <v>30</v>
      </c>
      <c r="S1168" s="108"/>
      <c r="T1168" s="109"/>
      <c r="U1168" s="109"/>
      <c r="V1168" s="102"/>
      <c r="W1168" s="109"/>
      <c r="X1168" s="109"/>
      <c r="Y1168" s="110" t="s">
        <v>31</v>
      </c>
      <c r="Z1168" s="111" t="str">
        <f>MID(E1168,4,2)</f>
        <v>CA</v>
      </c>
    </row>
    <row r="1169" spans="1:26" s="111" customFormat="1" x14ac:dyDescent="0.2">
      <c r="A1169" s="101">
        <v>46251</v>
      </c>
      <c r="B1169" s="91" t="s">
        <v>1414</v>
      </c>
      <c r="C1169" s="102" t="s">
        <v>1415</v>
      </c>
      <c r="D1169" s="103" t="s">
        <v>26</v>
      </c>
      <c r="E1169" s="91" t="s">
        <v>1416</v>
      </c>
      <c r="F1169" s="91" t="s">
        <v>36</v>
      </c>
      <c r="G1169" s="91" t="s">
        <v>37</v>
      </c>
      <c r="H1169" s="104" t="str">
        <f t="shared" si="73"/>
        <v>F5105J30</v>
      </c>
      <c r="I1169" s="104"/>
      <c r="J1169" s="105">
        <v>76.23</v>
      </c>
      <c r="K1169" s="106">
        <f>IF(D1169="CAESARSTONE LTD",VLOOKUP(H1169,'[2]GIA CA'!G:H,2,0),IF(OR(D1169="STONE FACINGS LIMITED",D1169="NORDIA SA",D1169="INVICTUS STONE COUNTERTOPS INC",D1169="QUARTZTOP LLC"),VLOOKUP(H1169,'[2] Giá ngoài Mỹ - SI-GR'!$B$5:$AZ$84,51,0),IF(OR(D1169="HYUNDAI L&amp;C CANADA INC",D1169="Hyundai L&amp; C USA LLC"),VLOOKUP(H1169,'[2]GIA HS'!A:D,4,0),IF(Y1169="Mỹ",VLOOKUP(H1169,'[2]giá mỹ từ 6.8.2025'!B:I,2,0),VLOOKUP(H1169,'[2]giá ngoài mỹ 6.8.2025 (final)'!B:BP,51,0)))))</f>
        <v>85</v>
      </c>
      <c r="L1169" s="106">
        <v>89.3</v>
      </c>
      <c r="M1169" s="106">
        <f t="shared" si="72"/>
        <v>4.2999999999999972</v>
      </c>
      <c r="N1169" s="106">
        <v>89.3</v>
      </c>
      <c r="O1169" s="107">
        <v>6807.36</v>
      </c>
      <c r="P1169" s="107">
        <v>25870</v>
      </c>
      <c r="Q1169" s="107">
        <v>176106403</v>
      </c>
      <c r="R1169" s="102" t="s">
        <v>30</v>
      </c>
      <c r="S1169" s="108"/>
      <c r="T1169" s="109"/>
      <c r="U1169" s="109"/>
      <c r="V1169" s="102"/>
      <c r="W1169" s="109"/>
      <c r="X1169" s="109"/>
      <c r="Y1169" s="110" t="s">
        <v>31</v>
      </c>
      <c r="Z1169" s="111" t="str">
        <f>MID(E1169,4,2)</f>
        <v>CA</v>
      </c>
    </row>
    <row r="1170" spans="1:26" s="111" customFormat="1" x14ac:dyDescent="0.2">
      <c r="A1170" s="101">
        <v>46251</v>
      </c>
      <c r="B1170" s="91" t="s">
        <v>1414</v>
      </c>
      <c r="C1170" s="102" t="s">
        <v>1415</v>
      </c>
      <c r="D1170" s="103" t="s">
        <v>26</v>
      </c>
      <c r="E1170" s="91" t="s">
        <v>1416</v>
      </c>
      <c r="F1170" s="91" t="s">
        <v>540</v>
      </c>
      <c r="G1170" s="91" t="s">
        <v>535</v>
      </c>
      <c r="H1170" s="104" t="str">
        <f t="shared" si="73"/>
        <v>F5110J20</v>
      </c>
      <c r="I1170" s="104"/>
      <c r="J1170" s="105">
        <v>54.45</v>
      </c>
      <c r="K1170" s="106">
        <f>IF(D1170="CAESARSTONE LTD",VLOOKUP(H1170,'[2]GIA CA'!G:H,2,0),IF(OR(D1170="STONE FACINGS LIMITED",D1170="NORDIA SA",D1170="INVICTUS STONE COUNTERTOPS INC",D1170="QUARTZTOP LLC"),VLOOKUP(H1170,'[2] Giá ngoài Mỹ - SI-GR'!$B$5:$AZ$84,51,0),IF(OR(D1170="HYUNDAI L&amp;C CANADA INC",D1170="Hyundai L&amp; C USA LLC"),VLOOKUP(H1170,'[2]GIA HS'!A:D,4,0),IF(Y1170="Mỹ",VLOOKUP(H1170,'[2]giá mỹ từ 6.8.2025'!B:I,2,0),VLOOKUP(H1170,'[2]giá ngoài mỹ 6.8.2025 (final)'!B:BP,51,0)))))</f>
        <v>60</v>
      </c>
      <c r="L1170" s="106">
        <v>65.099999999999994</v>
      </c>
      <c r="M1170" s="106">
        <f t="shared" si="72"/>
        <v>5.0999999999999943</v>
      </c>
      <c r="N1170" s="106">
        <v>65.099999999999994</v>
      </c>
      <c r="O1170" s="107">
        <v>3544.7</v>
      </c>
      <c r="P1170" s="107">
        <v>25870</v>
      </c>
      <c r="Q1170" s="107">
        <v>91701389</v>
      </c>
      <c r="R1170" s="102" t="s">
        <v>30</v>
      </c>
      <c r="S1170" s="108"/>
      <c r="T1170" s="109"/>
      <c r="U1170" s="109"/>
      <c r="V1170" s="102"/>
      <c r="W1170" s="109"/>
      <c r="X1170" s="109"/>
      <c r="Y1170" s="110" t="s">
        <v>31</v>
      </c>
      <c r="Z1170" s="111" t="str">
        <f>MID(E1170,4,2)</f>
        <v>CA</v>
      </c>
    </row>
    <row r="1171" spans="1:26" s="111" customFormat="1" x14ac:dyDescent="0.2">
      <c r="A1171" s="101">
        <v>46251</v>
      </c>
      <c r="B1171" s="91" t="s">
        <v>1417</v>
      </c>
      <c r="C1171" s="102" t="s">
        <v>1418</v>
      </c>
      <c r="D1171" s="103" t="s">
        <v>411</v>
      </c>
      <c r="E1171" s="91" t="s">
        <v>1419</v>
      </c>
      <c r="F1171" s="91" t="s">
        <v>895</v>
      </c>
      <c r="G1171" s="91" t="s">
        <v>896</v>
      </c>
      <c r="H1171" s="104" t="str">
        <f t="shared" si="73"/>
        <v>C4143J30</v>
      </c>
      <c r="I1171" s="104"/>
      <c r="J1171" s="105">
        <v>283.14</v>
      </c>
      <c r="K1171" s="106">
        <f>IF(D1171="CAESARSTONE LTD",VLOOKUP(H1171,'[2]GIA CA'!G:H,2,0),IF(OR(D1171="STONE FACINGS LIMITED",D1171="NORDIA SA",D1171="INVICTUS STONE COUNTERTOPS INC",D1171="QUARTZTOP LLC"),VLOOKUP(H1171,'[2] Giá ngoài Mỹ - SI-GR'!$B$5:$AZ$84,51,0),IF(OR(D1171="HYUNDAI L&amp;C CANADA INC",D1171="Hyundai L&amp; C USA LLC"),VLOOKUP(H1171,'[2]GIA HS'!A:D,4,0),IF(Y1171="Mỹ",VLOOKUP(H1171,'[2]giá mỹ từ 6.8.2025'!B:I,2,0),VLOOKUP(H1171,'[2]giá ngoài mỹ 6.8.2025 (final)'!B:BP,51,0)))))</f>
        <v>71</v>
      </c>
      <c r="L1171" s="106">
        <v>75.599000000000004</v>
      </c>
      <c r="M1171" s="106">
        <f t="shared" si="72"/>
        <v>4.5990000000000038</v>
      </c>
      <c r="N1171" s="106">
        <v>75.599999999999994</v>
      </c>
      <c r="O1171" s="107">
        <v>21405.279999999999</v>
      </c>
      <c r="P1171" s="107">
        <v>25870</v>
      </c>
      <c r="Q1171" s="107">
        <v>553754594</v>
      </c>
      <c r="R1171" s="102" t="s">
        <v>30</v>
      </c>
      <c r="S1171" s="108"/>
      <c r="T1171" s="109"/>
      <c r="U1171" s="109"/>
      <c r="V1171" s="102"/>
      <c r="W1171" s="109"/>
      <c r="X1171" s="109"/>
      <c r="Y1171" s="110" t="s">
        <v>31</v>
      </c>
      <c r="Z1171" s="111" t="str">
        <f>MID(E1171,4,2)</f>
        <v>DP</v>
      </c>
    </row>
    <row r="1172" spans="1:26" s="111" customFormat="1" x14ac:dyDescent="0.2">
      <c r="A1172" s="101">
        <v>46251</v>
      </c>
      <c r="B1172" s="91" t="s">
        <v>1417</v>
      </c>
      <c r="C1172" s="102" t="s">
        <v>1418</v>
      </c>
      <c r="D1172" s="103" t="s">
        <v>411</v>
      </c>
      <c r="E1172" s="91" t="s">
        <v>1419</v>
      </c>
      <c r="F1172" s="91" t="s">
        <v>895</v>
      </c>
      <c r="G1172" s="91" t="s">
        <v>896</v>
      </c>
      <c r="H1172" s="104" t="str">
        <f t="shared" si="73"/>
        <v>C4143J30</v>
      </c>
      <c r="I1172" s="104"/>
      <c r="J1172" s="105">
        <v>283.14</v>
      </c>
      <c r="K1172" s="106">
        <f>IF(D1172="CAESARSTONE LTD",VLOOKUP(H1172,'[2]GIA CA'!G:H,2,0),IF(OR(D1172="STONE FACINGS LIMITED",D1172="NORDIA SA",D1172="INVICTUS STONE COUNTERTOPS INC",D1172="QUARTZTOP LLC"),VLOOKUP(H1172,'[2] Giá ngoài Mỹ - SI-GR'!$B$5:$AZ$84,51,0),IF(OR(D1172="HYUNDAI L&amp;C CANADA INC",D1172="Hyundai L&amp; C USA LLC"),VLOOKUP(H1172,'[2]GIA HS'!A:D,4,0),IF(Y1172="Mỹ",VLOOKUP(H1172,'[2]giá mỹ từ 6.8.2025'!B:I,2,0),VLOOKUP(H1172,'[2]giá ngoài mỹ 6.8.2025 (final)'!B:BP,51,0)))))</f>
        <v>71</v>
      </c>
      <c r="L1172" s="106">
        <v>75.599000000000004</v>
      </c>
      <c r="M1172" s="106">
        <f t="shared" si="72"/>
        <v>4.5990000000000038</v>
      </c>
      <c r="N1172" s="106">
        <v>75.599999999999994</v>
      </c>
      <c r="O1172" s="107">
        <v>21405.279999999999</v>
      </c>
      <c r="P1172" s="107">
        <v>25870</v>
      </c>
      <c r="Q1172" s="107">
        <v>553754594</v>
      </c>
      <c r="R1172" s="102" t="s">
        <v>30</v>
      </c>
      <c r="S1172" s="108"/>
      <c r="T1172" s="109"/>
      <c r="U1172" s="109"/>
      <c r="V1172" s="102"/>
      <c r="W1172" s="109"/>
      <c r="X1172" s="109"/>
      <c r="Y1172" s="110" t="s">
        <v>31</v>
      </c>
      <c r="Z1172" s="111" t="str">
        <f>MID(E1172,4,2)</f>
        <v>DP</v>
      </c>
    </row>
    <row r="1173" spans="1:26" s="111" customFormat="1" x14ac:dyDescent="0.2">
      <c r="A1173" s="101">
        <v>46251</v>
      </c>
      <c r="B1173" s="91" t="s">
        <v>1417</v>
      </c>
      <c r="C1173" s="102" t="s">
        <v>1418</v>
      </c>
      <c r="D1173" s="103" t="s">
        <v>411</v>
      </c>
      <c r="E1173" s="91" t="s">
        <v>1419</v>
      </c>
      <c r="F1173" s="91" t="s">
        <v>895</v>
      </c>
      <c r="G1173" s="91" t="s">
        <v>896</v>
      </c>
      <c r="H1173" s="104" t="str">
        <f t="shared" si="73"/>
        <v>C4143J30</v>
      </c>
      <c r="I1173" s="104"/>
      <c r="J1173" s="105">
        <v>283.14</v>
      </c>
      <c r="K1173" s="106">
        <f>IF(D1173="CAESARSTONE LTD",VLOOKUP(H1173,'[2]GIA CA'!G:H,2,0),IF(OR(D1173="STONE FACINGS LIMITED",D1173="NORDIA SA",D1173="INVICTUS STONE COUNTERTOPS INC",D1173="QUARTZTOP LLC"),VLOOKUP(H1173,'[2] Giá ngoài Mỹ - SI-GR'!$B$5:$AZ$84,51,0),IF(OR(D1173="HYUNDAI L&amp;C CANADA INC",D1173="Hyundai L&amp; C USA LLC"),VLOOKUP(H1173,'[2]GIA HS'!A:D,4,0),IF(Y1173="Mỹ",VLOOKUP(H1173,'[2]giá mỹ từ 6.8.2025'!B:I,2,0),VLOOKUP(H1173,'[2]giá ngoài mỹ 6.8.2025 (final)'!B:BP,51,0)))))</f>
        <v>71</v>
      </c>
      <c r="L1173" s="106">
        <v>75.599000000000004</v>
      </c>
      <c r="M1173" s="106">
        <f t="shared" si="72"/>
        <v>4.5990000000000038</v>
      </c>
      <c r="N1173" s="106">
        <v>75.599999999999994</v>
      </c>
      <c r="O1173" s="107">
        <v>21405.279999999999</v>
      </c>
      <c r="P1173" s="107">
        <v>25870</v>
      </c>
      <c r="Q1173" s="107">
        <v>553754594</v>
      </c>
      <c r="R1173" s="102" t="s">
        <v>30</v>
      </c>
      <c r="S1173" s="108"/>
      <c r="T1173" s="109"/>
      <c r="U1173" s="109"/>
      <c r="V1173" s="102"/>
      <c r="W1173" s="109"/>
      <c r="X1173" s="109"/>
      <c r="Y1173" s="110" t="s">
        <v>31</v>
      </c>
      <c r="Z1173" s="111" t="str">
        <f>MID(E1173,4,2)</f>
        <v>DP</v>
      </c>
    </row>
    <row r="1174" spans="1:26" s="111" customFormat="1" x14ac:dyDescent="0.2">
      <c r="A1174" s="101">
        <v>46251</v>
      </c>
      <c r="B1174" s="91" t="s">
        <v>1420</v>
      </c>
      <c r="C1174" s="102" t="s">
        <v>1421</v>
      </c>
      <c r="D1174" s="103" t="s">
        <v>411</v>
      </c>
      <c r="E1174" s="91" t="s">
        <v>1422</v>
      </c>
      <c r="F1174" s="91" t="s">
        <v>1423</v>
      </c>
      <c r="G1174" s="91" t="s">
        <v>1260</v>
      </c>
      <c r="H1174" s="104" t="str">
        <f t="shared" si="73"/>
        <v>C4143J20</v>
      </c>
      <c r="I1174" s="104"/>
      <c r="J1174" s="105">
        <v>54.45</v>
      </c>
      <c r="K1174" s="106">
        <f>IF(D1174="CAESARSTONE LTD",VLOOKUP(H1174,'[2]GIA CA'!G:H,2,0),IF(OR(D1174="STONE FACINGS LIMITED",D1174="NORDIA SA",D1174="INVICTUS STONE COUNTERTOPS INC",D1174="QUARTZTOP LLC"),VLOOKUP(H1174,'[2] Giá ngoài Mỹ - SI-GR'!$B$5:$AZ$84,51,0),IF(OR(D1174="HYUNDAI L&amp;C CANADA INC",D1174="Hyundai L&amp; C USA LLC"),VLOOKUP(H1174,'[2]GIA HS'!A:D,4,0),IF(Y1174="Mỹ",VLOOKUP(H1174,'[2]giá mỹ từ 6.8.2025'!B:I,2,0),VLOOKUP(H1174,'[2]giá ngoài mỹ 6.8.2025 (final)'!B:BP,51,0)))))</f>
        <v>56</v>
      </c>
      <c r="L1174" s="106">
        <v>59.850999999999999</v>
      </c>
      <c r="M1174" s="106">
        <f t="shared" si="72"/>
        <v>3.8509999999999991</v>
      </c>
      <c r="N1174" s="106">
        <v>59.85</v>
      </c>
      <c r="O1174" s="107">
        <v>3258.9</v>
      </c>
      <c r="P1174" s="107">
        <v>25870</v>
      </c>
      <c r="Q1174" s="107">
        <v>84307743</v>
      </c>
      <c r="R1174" s="102" t="s">
        <v>30</v>
      </c>
      <c r="S1174" s="108"/>
      <c r="T1174" s="109"/>
      <c r="U1174" s="109"/>
      <c r="V1174" s="102"/>
      <c r="W1174" s="109"/>
      <c r="X1174" s="109"/>
      <c r="Y1174" s="110" t="s">
        <v>31</v>
      </c>
      <c r="Z1174" s="111" t="str">
        <f>MID(E1174,4,2)</f>
        <v>DP</v>
      </c>
    </row>
    <row r="1175" spans="1:26" s="111" customFormat="1" x14ac:dyDescent="0.2">
      <c r="A1175" s="101">
        <v>46251</v>
      </c>
      <c r="B1175" s="91" t="s">
        <v>1420</v>
      </c>
      <c r="C1175" s="102" t="s">
        <v>1421</v>
      </c>
      <c r="D1175" s="103" t="s">
        <v>411</v>
      </c>
      <c r="E1175" s="91" t="s">
        <v>1422</v>
      </c>
      <c r="F1175" s="91" t="s">
        <v>1423</v>
      </c>
      <c r="G1175" s="91" t="s">
        <v>1260</v>
      </c>
      <c r="H1175" s="104" t="str">
        <f t="shared" si="73"/>
        <v>C4143J20</v>
      </c>
      <c r="I1175" s="104"/>
      <c r="J1175" s="105">
        <v>343.03</v>
      </c>
      <c r="K1175" s="106">
        <f>IF(D1175="CAESARSTONE LTD",VLOOKUP(H1175,'[2]GIA CA'!G:H,2,0),IF(OR(D1175="STONE FACINGS LIMITED",D1175="NORDIA SA",D1175="INVICTUS STONE COUNTERTOPS INC",D1175="QUARTZTOP LLC"),VLOOKUP(H1175,'[2] Giá ngoài Mỹ - SI-GR'!$B$5:$AZ$84,51,0),IF(OR(D1175="HYUNDAI L&amp;C CANADA INC",D1175="Hyundai L&amp; C USA LLC"),VLOOKUP(H1175,'[2]GIA HS'!A:D,4,0),IF(Y1175="Mỹ",VLOOKUP(H1175,'[2]giá mỹ từ 6.8.2025'!B:I,2,0),VLOOKUP(H1175,'[2]giá ngoài mỹ 6.8.2025 (final)'!B:BP,51,0)))))</f>
        <v>56</v>
      </c>
      <c r="L1175" s="106">
        <v>59.850999999999999</v>
      </c>
      <c r="M1175" s="106">
        <f t="shared" si="72"/>
        <v>3.8509999999999991</v>
      </c>
      <c r="N1175" s="106">
        <v>59.85</v>
      </c>
      <c r="O1175" s="107">
        <v>20530.77</v>
      </c>
      <c r="P1175" s="107">
        <v>25870</v>
      </c>
      <c r="Q1175" s="107">
        <v>531131020</v>
      </c>
      <c r="R1175" s="102" t="s">
        <v>30</v>
      </c>
      <c r="S1175" s="108"/>
      <c r="T1175" s="109"/>
      <c r="U1175" s="109"/>
      <c r="V1175" s="102"/>
      <c r="W1175" s="109"/>
      <c r="X1175" s="109"/>
      <c r="Y1175" s="110" t="s">
        <v>31</v>
      </c>
      <c r="Z1175" s="111" t="str">
        <f>MID(E1175,4,2)</f>
        <v>DP</v>
      </c>
    </row>
    <row r="1176" spans="1:26" s="111" customFormat="1" x14ac:dyDescent="0.2">
      <c r="A1176" s="101">
        <v>46251</v>
      </c>
      <c r="B1176" s="91" t="s">
        <v>1420</v>
      </c>
      <c r="C1176" s="102" t="s">
        <v>1421</v>
      </c>
      <c r="D1176" s="103" t="s">
        <v>411</v>
      </c>
      <c r="E1176" s="91" t="s">
        <v>1422</v>
      </c>
      <c r="F1176" s="91" t="s">
        <v>1424</v>
      </c>
      <c r="G1176" s="91" t="s">
        <v>1260</v>
      </c>
      <c r="H1176" s="104" t="str">
        <f t="shared" si="73"/>
        <v>C4143J20</v>
      </c>
      <c r="I1176" s="104"/>
      <c r="J1176" s="105">
        <v>38.119999999999997</v>
      </c>
      <c r="K1176" s="106">
        <f>IF(D1176="CAESARSTONE LTD",VLOOKUP(H1176,'[2]GIA CA'!G:H,2,0),IF(OR(D1176="STONE FACINGS LIMITED",D1176="NORDIA SA",D1176="INVICTUS STONE COUNTERTOPS INC",D1176="QUARTZTOP LLC"),VLOOKUP(H1176,'[2] Giá ngoài Mỹ - SI-GR'!$B$5:$AZ$84,51,0),IF(OR(D1176="HYUNDAI L&amp;C CANADA INC",D1176="Hyundai L&amp; C USA LLC"),VLOOKUP(H1176,'[2]GIA HS'!A:D,4,0),IF(Y1176="Mỹ",VLOOKUP(H1176,'[2]giá mỹ từ 6.8.2025'!B:I,2,0),VLOOKUP(H1176,'[2]giá ngoài mỹ 6.8.2025 (final)'!B:BP,51,0)))))</f>
        <v>56</v>
      </c>
      <c r="L1176" s="106">
        <v>59.850999999999999</v>
      </c>
      <c r="M1176" s="106">
        <f t="shared" si="72"/>
        <v>3.8509999999999991</v>
      </c>
      <c r="N1176" s="106">
        <v>59.85</v>
      </c>
      <c r="O1176" s="107">
        <v>2281.5300000000002</v>
      </c>
      <c r="P1176" s="107">
        <v>25870</v>
      </c>
      <c r="Q1176" s="107">
        <v>59023181</v>
      </c>
      <c r="R1176" s="102" t="s">
        <v>30</v>
      </c>
      <c r="S1176" s="108"/>
      <c r="T1176" s="109"/>
      <c r="U1176" s="109"/>
      <c r="V1176" s="102"/>
      <c r="W1176" s="109"/>
      <c r="X1176" s="109"/>
      <c r="Y1176" s="110" t="s">
        <v>31</v>
      </c>
      <c r="Z1176" s="111" t="str">
        <f>MID(E1176,4,2)</f>
        <v>DP</v>
      </c>
    </row>
    <row r="1177" spans="1:26" s="111" customFormat="1" x14ac:dyDescent="0.2">
      <c r="A1177" s="101">
        <v>46251</v>
      </c>
      <c r="B1177" s="91" t="s">
        <v>1425</v>
      </c>
      <c r="C1177" s="102" t="s">
        <v>1426</v>
      </c>
      <c r="D1177" s="103" t="s">
        <v>427</v>
      </c>
      <c r="E1177" s="91" t="s">
        <v>1427</v>
      </c>
      <c r="F1177" s="91" t="s">
        <v>1428</v>
      </c>
      <c r="G1177" s="91" t="s">
        <v>1429</v>
      </c>
      <c r="H1177" s="104" t="str">
        <f t="shared" si="73"/>
        <v>C5341J20</v>
      </c>
      <c r="I1177" s="104"/>
      <c r="J1177" s="105">
        <v>1.94</v>
      </c>
      <c r="K1177" s="106"/>
      <c r="L1177" s="106">
        <v>0</v>
      </c>
      <c r="M1177" s="106">
        <f t="shared" si="72"/>
        <v>0</v>
      </c>
      <c r="N1177" s="106">
        <v>63</v>
      </c>
      <c r="O1177" s="107">
        <v>122.22</v>
      </c>
      <c r="P1177" s="107">
        <v>25870</v>
      </c>
      <c r="Q1177" s="107">
        <v>3161831</v>
      </c>
      <c r="R1177" s="102"/>
      <c r="S1177" s="108"/>
      <c r="T1177" s="109"/>
      <c r="U1177" s="109" t="s">
        <v>30</v>
      </c>
      <c r="V1177" s="102"/>
      <c r="W1177" s="109"/>
      <c r="X1177" s="109"/>
      <c r="Y1177" s="110" t="s">
        <v>31</v>
      </c>
      <c r="Z1177" s="111" t="str">
        <f>MID(E1177,4,2)</f>
        <v>JD</v>
      </c>
    </row>
    <row r="1178" spans="1:26" s="111" customFormat="1" x14ac:dyDescent="0.2">
      <c r="A1178" s="101">
        <v>46251</v>
      </c>
      <c r="B1178" s="91" t="s">
        <v>1425</v>
      </c>
      <c r="C1178" s="102" t="s">
        <v>1426</v>
      </c>
      <c r="D1178" s="103" t="s">
        <v>427</v>
      </c>
      <c r="E1178" s="91" t="s">
        <v>1427</v>
      </c>
      <c r="F1178" s="91" t="s">
        <v>431</v>
      </c>
      <c r="G1178" s="91" t="s">
        <v>432</v>
      </c>
      <c r="H1178" s="104" t="str">
        <f t="shared" si="73"/>
        <v>C3346J30</v>
      </c>
      <c r="I1178" s="104"/>
      <c r="J1178" s="105">
        <v>27.23</v>
      </c>
      <c r="K1178" s="106">
        <f>IF(D1178="CAESARSTONE LTD",VLOOKUP(H1178,'[2]GIA CA'!G:H,2,0),IF(OR(D1178="STONE FACINGS LIMITED",D1178="NORDIA SA",D1178="INVICTUS STONE COUNTERTOPS INC",D1178="QUARTZTOP LLC"),VLOOKUP(H1178,'[2] Giá ngoài Mỹ - SI-GR'!$B$5:$AZ$84,51,0),IF(OR(D1178="HYUNDAI L&amp;C CANADA INC",D1178="Hyundai L&amp; C USA LLC"),VLOOKUP(H1178,'[2]GIA HS'!A:D,4,0),IF(Y1178="Mỹ",VLOOKUP(H1178,'[2]giá mỹ từ 6.8.2025'!B:I,2,0),VLOOKUP(H1178,'[2]giá ngoài mỹ 6.8.2025 (final)'!B:BP,51,0)))))</f>
        <v>76</v>
      </c>
      <c r="L1178" s="106">
        <v>83.8</v>
      </c>
      <c r="M1178" s="106">
        <f t="shared" si="72"/>
        <v>7.7999999999999972</v>
      </c>
      <c r="N1178" s="106">
        <v>83.8</v>
      </c>
      <c r="O1178" s="107">
        <v>2281.87</v>
      </c>
      <c r="P1178" s="107">
        <v>25870</v>
      </c>
      <c r="Q1178" s="107">
        <v>59031977</v>
      </c>
      <c r="R1178" s="102" t="s">
        <v>30</v>
      </c>
      <c r="S1178" s="108"/>
      <c r="T1178" s="109"/>
      <c r="U1178" s="109"/>
      <c r="V1178" s="102"/>
      <c r="W1178" s="109"/>
      <c r="X1178" s="109"/>
      <c r="Y1178" s="110" t="s">
        <v>31</v>
      </c>
      <c r="Z1178" s="111" t="str">
        <f>MID(E1178,4,2)</f>
        <v>JD</v>
      </c>
    </row>
    <row r="1179" spans="1:26" s="111" customFormat="1" x14ac:dyDescent="0.2">
      <c r="A1179" s="101">
        <v>46251</v>
      </c>
      <c r="B1179" s="91" t="s">
        <v>1425</v>
      </c>
      <c r="C1179" s="102" t="s">
        <v>1426</v>
      </c>
      <c r="D1179" s="103" t="s">
        <v>427</v>
      </c>
      <c r="E1179" s="91" t="s">
        <v>1427</v>
      </c>
      <c r="F1179" s="91" t="s">
        <v>1430</v>
      </c>
      <c r="G1179" s="91" t="s">
        <v>1431</v>
      </c>
      <c r="H1179" s="104" t="str">
        <f t="shared" si="73"/>
        <v>C5341J30</v>
      </c>
      <c r="I1179" s="104"/>
      <c r="J1179" s="105">
        <v>108.9</v>
      </c>
      <c r="K1179" s="106">
        <f>IF(D1179="CAESARSTONE LTD",VLOOKUP(H1179,'[2]GIA CA'!G:H,2,0),IF(OR(D1179="STONE FACINGS LIMITED",D1179="NORDIA SA",D1179="INVICTUS STONE COUNTERTOPS INC",D1179="QUARTZTOP LLC"),VLOOKUP(H1179,'[2] Giá ngoài Mỹ - SI-GR'!$B$5:$AZ$84,51,0),IF(OR(D1179="HYUNDAI L&amp;C CANADA INC",D1179="Hyundai L&amp; C USA LLC"),VLOOKUP(H1179,'[2]GIA HS'!A:D,4,0),IF(Y1179="Mỹ",VLOOKUP(H1179,'[2]giá mỹ từ 6.8.2025'!B:I,2,0),VLOOKUP(H1179,'[2]giá ngoài mỹ 6.8.2025 (final)'!B:BP,51,0)))))</f>
        <v>76</v>
      </c>
      <c r="L1179" s="106">
        <v>81.900000000000006</v>
      </c>
      <c r="M1179" s="106">
        <f t="shared" si="72"/>
        <v>5.9000000000000057</v>
      </c>
      <c r="N1179" s="106">
        <v>81.900000000000006</v>
      </c>
      <c r="O1179" s="107">
        <v>8918.91</v>
      </c>
      <c r="P1179" s="107">
        <v>25870</v>
      </c>
      <c r="Q1179" s="107">
        <v>230732202</v>
      </c>
      <c r="R1179" s="102" t="s">
        <v>30</v>
      </c>
      <c r="S1179" s="108"/>
      <c r="T1179" s="109"/>
      <c r="U1179" s="109"/>
      <c r="V1179" s="102"/>
      <c r="W1179" s="109"/>
      <c r="X1179" s="109"/>
      <c r="Y1179" s="110" t="s">
        <v>31</v>
      </c>
      <c r="Z1179" s="111" t="str">
        <f>MID(E1179,4,2)</f>
        <v>JD</v>
      </c>
    </row>
    <row r="1180" spans="1:26" s="111" customFormat="1" x14ac:dyDescent="0.2">
      <c r="A1180" s="101">
        <v>46251</v>
      </c>
      <c r="B1180" s="91" t="s">
        <v>1425</v>
      </c>
      <c r="C1180" s="102" t="s">
        <v>1426</v>
      </c>
      <c r="D1180" s="103" t="s">
        <v>427</v>
      </c>
      <c r="E1180" s="91" t="s">
        <v>1427</v>
      </c>
      <c r="F1180" s="91" t="s">
        <v>445</v>
      </c>
      <c r="G1180" s="91" t="s">
        <v>437</v>
      </c>
      <c r="H1180" s="104" t="str">
        <f t="shared" si="73"/>
        <v>F5233J30</v>
      </c>
      <c r="I1180" s="104"/>
      <c r="J1180" s="105">
        <v>136.13</v>
      </c>
      <c r="K1180" s="106">
        <f>IF(D1180="CAESARSTONE LTD",VLOOKUP(H1180,'[2]GIA CA'!G:H,2,0),IF(OR(D1180="STONE FACINGS LIMITED",D1180="NORDIA SA",D1180="INVICTUS STONE COUNTERTOPS INC",D1180="QUARTZTOP LLC"),VLOOKUP(H1180,'[2] Giá ngoài Mỹ - SI-GR'!$B$5:$AZ$84,51,0),IF(OR(D1180="HYUNDAI L&amp;C CANADA INC",D1180="Hyundai L&amp; C USA LLC"),VLOOKUP(H1180,'[2]GIA HS'!A:D,4,0),IF(Y1180="Mỹ",VLOOKUP(H1180,'[2]giá mỹ từ 6.8.2025'!B:I,2,0),VLOOKUP(H1180,'[2]giá ngoài mỹ 6.8.2025 (final)'!B:BP,51,0)))))</f>
        <v>99</v>
      </c>
      <c r="L1180" s="106">
        <v>103.95</v>
      </c>
      <c r="M1180" s="106">
        <f t="shared" si="72"/>
        <v>4.9500000000000028</v>
      </c>
      <c r="N1180" s="106">
        <v>103.05</v>
      </c>
      <c r="O1180" s="107">
        <v>14028.49</v>
      </c>
      <c r="P1180" s="107">
        <v>25870</v>
      </c>
      <c r="Q1180" s="107">
        <v>362917036</v>
      </c>
      <c r="R1180" s="102" t="s">
        <v>30</v>
      </c>
      <c r="S1180" s="108"/>
      <c r="T1180" s="109"/>
      <c r="U1180" s="109"/>
      <c r="V1180" s="102"/>
      <c r="W1180" s="109"/>
      <c r="X1180" s="109"/>
      <c r="Y1180" s="110" t="s">
        <v>31</v>
      </c>
      <c r="Z1180" s="111" t="str">
        <f>MID(E1180,4,2)</f>
        <v>JD</v>
      </c>
    </row>
    <row r="1181" spans="1:26" s="111" customFormat="1" x14ac:dyDescent="0.2">
      <c r="A1181" s="101">
        <v>46251</v>
      </c>
      <c r="B1181" s="91" t="s">
        <v>1432</v>
      </c>
      <c r="C1181" s="102" t="s">
        <v>1433</v>
      </c>
      <c r="D1181" s="103" t="s">
        <v>1434</v>
      </c>
      <c r="E1181" s="91" t="s">
        <v>1435</v>
      </c>
      <c r="F1181" s="91" t="s">
        <v>1436</v>
      </c>
      <c r="G1181" s="91" t="s">
        <v>1437</v>
      </c>
      <c r="H1181" s="104" t="str">
        <f t="shared" si="73"/>
        <v>C4246J20</v>
      </c>
      <c r="I1181" s="104"/>
      <c r="J1181" s="105">
        <v>1.01</v>
      </c>
      <c r="K1181" s="106"/>
      <c r="L1181" s="106">
        <v>0</v>
      </c>
      <c r="M1181" s="106">
        <f t="shared" si="72"/>
        <v>0</v>
      </c>
      <c r="N1181" s="106">
        <v>70</v>
      </c>
      <c r="O1181" s="107">
        <v>70.7</v>
      </c>
      <c r="P1181" s="107">
        <v>25870</v>
      </c>
      <c r="Q1181" s="107">
        <v>1829009</v>
      </c>
      <c r="R1181" s="102"/>
      <c r="S1181" s="108"/>
      <c r="T1181" s="109"/>
      <c r="U1181" s="109" t="s">
        <v>30</v>
      </c>
      <c r="V1181" s="102"/>
      <c r="W1181" s="109"/>
      <c r="X1181" s="109"/>
      <c r="Y1181" s="110" t="s">
        <v>31</v>
      </c>
      <c r="Z1181" s="111" t="str">
        <f>MID(E1181,4,2)</f>
        <v>IG</v>
      </c>
    </row>
    <row r="1182" spans="1:26" s="111" customFormat="1" x14ac:dyDescent="0.2">
      <c r="A1182" s="101">
        <v>46251</v>
      </c>
      <c r="B1182" s="91" t="s">
        <v>1432</v>
      </c>
      <c r="C1182" s="102" t="s">
        <v>1433</v>
      </c>
      <c r="D1182" s="103" t="s">
        <v>1434</v>
      </c>
      <c r="E1182" s="91" t="s">
        <v>1435</v>
      </c>
      <c r="F1182" s="91" t="s">
        <v>1438</v>
      </c>
      <c r="G1182" s="91" t="s">
        <v>1439</v>
      </c>
      <c r="H1182" s="104" t="str">
        <f t="shared" si="73"/>
        <v>C5340J20</v>
      </c>
      <c r="I1182" s="104"/>
      <c r="J1182" s="105">
        <v>1.01</v>
      </c>
      <c r="K1182" s="106"/>
      <c r="L1182" s="106">
        <v>0</v>
      </c>
      <c r="M1182" s="106">
        <f t="shared" si="72"/>
        <v>0</v>
      </c>
      <c r="N1182" s="106">
        <v>70</v>
      </c>
      <c r="O1182" s="107">
        <v>70.7</v>
      </c>
      <c r="P1182" s="107">
        <v>25870</v>
      </c>
      <c r="Q1182" s="107">
        <v>1829009</v>
      </c>
      <c r="R1182" s="102"/>
      <c r="S1182" s="108"/>
      <c r="T1182" s="109"/>
      <c r="U1182" s="109" t="s">
        <v>30</v>
      </c>
      <c r="V1182" s="102"/>
      <c r="W1182" s="109"/>
      <c r="X1182" s="109"/>
      <c r="Y1182" s="110" t="s">
        <v>31</v>
      </c>
      <c r="Z1182" s="111" t="str">
        <f>MID(E1182,4,2)</f>
        <v>IG</v>
      </c>
    </row>
    <row r="1183" spans="1:26" s="111" customFormat="1" x14ac:dyDescent="0.2">
      <c r="A1183" s="101">
        <v>46251</v>
      </c>
      <c r="B1183" s="91" t="s">
        <v>1432</v>
      </c>
      <c r="C1183" s="102" t="s">
        <v>1433</v>
      </c>
      <c r="D1183" s="103" t="s">
        <v>1434</v>
      </c>
      <c r="E1183" s="91" t="s">
        <v>1435</v>
      </c>
      <c r="F1183" s="91" t="s">
        <v>1440</v>
      </c>
      <c r="G1183" s="91" t="s">
        <v>1441</v>
      </c>
      <c r="H1183" s="104" t="str">
        <f t="shared" si="73"/>
        <v>C4147J30</v>
      </c>
      <c r="I1183" s="104"/>
      <c r="J1183" s="105">
        <v>114.35</v>
      </c>
      <c r="K1183" s="106">
        <f>IF(D1183="CAESARSTONE LTD",VLOOKUP(H1183,'[2]GIA CA'!G:H,2,0),IF(OR(D1183="STONE FACINGS LIMITED",D1183="NORDIA SA",D1183="INVICTUS STONE COUNTERTOPS INC",D1183="QUARTZTOP LLC"),VLOOKUP(H1183,'[2] Giá ngoài Mỹ - SI-GR'!$B$5:$AZ$84,51,0),IF(OR(D1183="HYUNDAI L&amp;C CANADA INC",D1183="Hyundai L&amp; C USA LLC"),VLOOKUP(H1183,'[2]GIA HS'!A:D,4,0),IF(Y1183="Mỹ",VLOOKUP(H1183,'[2]giá mỹ từ 6.8.2025'!B:I,2,0),VLOOKUP(H1183,'[2]giá ngoài mỹ 6.8.2025 (final)'!B:BP,51,0)))))</f>
        <v>83</v>
      </c>
      <c r="L1183" s="106">
        <v>90.61</v>
      </c>
      <c r="M1183" s="106">
        <f t="shared" si="72"/>
        <v>7.6099999999999994</v>
      </c>
      <c r="N1183" s="106">
        <v>90.61</v>
      </c>
      <c r="O1183" s="107">
        <v>10361.030000000001</v>
      </c>
      <c r="P1183" s="107">
        <v>25870</v>
      </c>
      <c r="Q1183" s="107">
        <v>268039846</v>
      </c>
      <c r="R1183" s="102" t="s">
        <v>30</v>
      </c>
      <c r="S1183" s="108"/>
      <c r="T1183" s="109"/>
      <c r="U1183" s="109"/>
      <c r="V1183" s="102"/>
      <c r="W1183" s="109"/>
      <c r="X1183" s="109"/>
      <c r="Y1183" s="110" t="s">
        <v>31</v>
      </c>
      <c r="Z1183" s="111" t="str">
        <f>MID(E1183,4,2)</f>
        <v>IG</v>
      </c>
    </row>
    <row r="1184" spans="1:26" s="111" customFormat="1" x14ac:dyDescent="0.2">
      <c r="A1184" s="101">
        <v>46251</v>
      </c>
      <c r="B1184" s="91" t="s">
        <v>1432</v>
      </c>
      <c r="C1184" s="102" t="s">
        <v>1433</v>
      </c>
      <c r="D1184" s="103" t="s">
        <v>1434</v>
      </c>
      <c r="E1184" s="91" t="s">
        <v>1435</v>
      </c>
      <c r="F1184" s="91" t="s">
        <v>1442</v>
      </c>
      <c r="G1184" s="91" t="s">
        <v>1441</v>
      </c>
      <c r="H1184" s="104" t="str">
        <f t="shared" si="73"/>
        <v>C4147J30</v>
      </c>
      <c r="I1184" s="104"/>
      <c r="J1184" s="105">
        <v>76.23</v>
      </c>
      <c r="K1184" s="106">
        <f>IF(D1184="CAESARSTONE LTD",VLOOKUP(H1184,'[2]GIA CA'!G:H,2,0),IF(OR(D1184="STONE FACINGS LIMITED",D1184="NORDIA SA",D1184="INVICTUS STONE COUNTERTOPS INC",D1184="QUARTZTOP LLC"),VLOOKUP(H1184,'[2] Giá ngoài Mỹ - SI-GR'!$B$5:$AZ$84,51,0),IF(OR(D1184="HYUNDAI L&amp;C CANADA INC",D1184="Hyundai L&amp; C USA LLC"),VLOOKUP(H1184,'[2]GIA HS'!A:D,4,0),IF(Y1184="Mỹ",VLOOKUP(H1184,'[2]giá mỹ từ 6.8.2025'!B:I,2,0),VLOOKUP(H1184,'[2]giá ngoài mỹ 6.8.2025 (final)'!B:BP,51,0)))))</f>
        <v>83</v>
      </c>
      <c r="L1184" s="106">
        <v>90.61</v>
      </c>
      <c r="M1184" s="106">
        <f t="shared" si="72"/>
        <v>7.6099999999999994</v>
      </c>
      <c r="N1184" s="106">
        <v>90.61</v>
      </c>
      <c r="O1184" s="107">
        <v>6907.05</v>
      </c>
      <c r="P1184" s="107">
        <v>25870</v>
      </c>
      <c r="Q1184" s="107">
        <v>178685384</v>
      </c>
      <c r="R1184" s="102" t="s">
        <v>30</v>
      </c>
      <c r="S1184" s="108"/>
      <c r="T1184" s="109"/>
      <c r="U1184" s="109"/>
      <c r="V1184" s="102"/>
      <c r="W1184" s="109"/>
      <c r="X1184" s="109"/>
      <c r="Y1184" s="110" t="s">
        <v>31</v>
      </c>
      <c r="Z1184" s="111" t="str">
        <f>MID(E1184,4,2)</f>
        <v>IG</v>
      </c>
    </row>
    <row r="1185" spans="1:26" s="111" customFormat="1" x14ac:dyDescent="0.2">
      <c r="A1185" s="101">
        <v>46251</v>
      </c>
      <c r="B1185" s="91" t="s">
        <v>1432</v>
      </c>
      <c r="C1185" s="102" t="s">
        <v>1433</v>
      </c>
      <c r="D1185" s="103" t="s">
        <v>1434</v>
      </c>
      <c r="E1185" s="91" t="s">
        <v>1435</v>
      </c>
      <c r="F1185" s="91" t="s">
        <v>51</v>
      </c>
      <c r="G1185" s="91" t="s">
        <v>50</v>
      </c>
      <c r="H1185" s="104" t="str">
        <f t="shared" si="73"/>
        <v>C4246J30</v>
      </c>
      <c r="I1185" s="104"/>
      <c r="J1185" s="105">
        <v>10.89</v>
      </c>
      <c r="K1185" s="106">
        <f>IF(D1185="CAESARSTONE LTD",VLOOKUP(H1185,'[2]GIA CA'!G:H,2,0),IF(OR(D1185="STONE FACINGS LIMITED",D1185="NORDIA SA",D1185="INVICTUS STONE COUNTERTOPS INC",D1185="QUARTZTOP LLC"),VLOOKUP(H1185,'[2] Giá ngoài Mỹ - SI-GR'!$B$5:$AZ$84,51,0),IF(OR(D1185="HYUNDAI L&amp;C CANADA INC",D1185="Hyundai L&amp; C USA LLC"),VLOOKUP(H1185,'[2]GIA HS'!A:D,4,0),IF(Y1185="Mỹ",VLOOKUP(H1185,'[2]giá mỹ từ 6.8.2025'!B:I,2,0),VLOOKUP(H1185,'[2]giá ngoài mỹ 6.8.2025 (final)'!B:BP,51,0)))))</f>
        <v>73</v>
      </c>
      <c r="L1185" s="106">
        <v>77.7</v>
      </c>
      <c r="M1185" s="106">
        <f t="shared" si="72"/>
        <v>4.7000000000000028</v>
      </c>
      <c r="N1185" s="106">
        <v>77.7</v>
      </c>
      <c r="O1185" s="107">
        <v>846.15</v>
      </c>
      <c r="P1185" s="107">
        <v>25870</v>
      </c>
      <c r="Q1185" s="107">
        <v>21889901</v>
      </c>
      <c r="R1185" s="102" t="s">
        <v>30</v>
      </c>
      <c r="S1185" s="108"/>
      <c r="T1185" s="109"/>
      <c r="U1185" s="109"/>
      <c r="V1185" s="102"/>
      <c r="W1185" s="109"/>
      <c r="X1185" s="109"/>
      <c r="Y1185" s="110" t="s">
        <v>31</v>
      </c>
      <c r="Z1185" s="111" t="str">
        <f>MID(E1185,4,2)</f>
        <v>IG</v>
      </c>
    </row>
    <row r="1186" spans="1:26" s="111" customFormat="1" x14ac:dyDescent="0.2">
      <c r="A1186" s="101">
        <v>46251</v>
      </c>
      <c r="B1186" s="91" t="s">
        <v>1432</v>
      </c>
      <c r="C1186" s="102" t="s">
        <v>1433</v>
      </c>
      <c r="D1186" s="103" t="s">
        <v>1434</v>
      </c>
      <c r="E1186" s="91" t="s">
        <v>1435</v>
      </c>
      <c r="F1186" s="91" t="s">
        <v>52</v>
      </c>
      <c r="G1186" s="91" t="s">
        <v>50</v>
      </c>
      <c r="H1186" s="104" t="str">
        <f t="shared" si="73"/>
        <v>C4246J30</v>
      </c>
      <c r="I1186" s="104"/>
      <c r="J1186" s="105">
        <v>179.69</v>
      </c>
      <c r="K1186" s="106">
        <f>IF(D1186="CAESARSTONE LTD",VLOOKUP(H1186,'[2]GIA CA'!G:H,2,0),IF(OR(D1186="STONE FACINGS LIMITED",D1186="NORDIA SA",D1186="INVICTUS STONE COUNTERTOPS INC",D1186="QUARTZTOP LLC"),VLOOKUP(H1186,'[2] Giá ngoài Mỹ - SI-GR'!$B$5:$AZ$84,51,0),IF(OR(D1186="HYUNDAI L&amp;C CANADA INC",D1186="Hyundai L&amp; C USA LLC"),VLOOKUP(H1186,'[2]GIA HS'!A:D,4,0),IF(Y1186="Mỹ",VLOOKUP(H1186,'[2]giá mỹ từ 6.8.2025'!B:I,2,0),VLOOKUP(H1186,'[2]giá ngoài mỹ 6.8.2025 (final)'!B:BP,51,0)))))</f>
        <v>73</v>
      </c>
      <c r="L1186" s="106">
        <v>77.7</v>
      </c>
      <c r="M1186" s="106">
        <f t="shared" si="72"/>
        <v>4.7000000000000028</v>
      </c>
      <c r="N1186" s="106">
        <v>77.7</v>
      </c>
      <c r="O1186" s="107">
        <v>13961.92</v>
      </c>
      <c r="P1186" s="107">
        <v>25870</v>
      </c>
      <c r="Q1186" s="107">
        <v>361194870</v>
      </c>
      <c r="R1186" s="102" t="s">
        <v>30</v>
      </c>
      <c r="S1186" s="108"/>
      <c r="T1186" s="109"/>
      <c r="U1186" s="109"/>
      <c r="V1186" s="102"/>
      <c r="W1186" s="109"/>
      <c r="X1186" s="109"/>
      <c r="Y1186" s="110" t="s">
        <v>31</v>
      </c>
      <c r="Z1186" s="111" t="str">
        <f>MID(E1186,4,2)</f>
        <v>IG</v>
      </c>
    </row>
    <row r="1187" spans="1:26" s="111" customFormat="1" x14ac:dyDescent="0.2">
      <c r="A1187" s="101">
        <v>46251</v>
      </c>
      <c r="B1187" s="91" t="s">
        <v>1443</v>
      </c>
      <c r="C1187" s="102" t="s">
        <v>1444</v>
      </c>
      <c r="D1187" s="103" t="s">
        <v>26</v>
      </c>
      <c r="E1187" s="91" t="s">
        <v>1445</v>
      </c>
      <c r="F1187" s="91" t="s">
        <v>188</v>
      </c>
      <c r="G1187" s="91" t="s">
        <v>189</v>
      </c>
      <c r="H1187" s="104" t="str">
        <f t="shared" si="73"/>
        <v>C5133J20</v>
      </c>
      <c r="I1187" s="104"/>
      <c r="J1187" s="105">
        <v>1.56</v>
      </c>
      <c r="K1187" s="106">
        <f>IF(D1187="CAESARSTONE LTD",VLOOKUP(H1187,'[2]GIA CA'!G:H,2,0),IF(OR(D1187="STONE FACINGS LIMITED",D1187="NORDIA SA",D1187="INVICTUS STONE COUNTERTOPS INC",D1187="QUARTZTOP LLC"),VLOOKUP(H1187,'[2] Giá ngoài Mỹ - SI-GR'!$B$5:$AZ$84,51,0),IF(OR(D1187="HYUNDAI L&amp;C CANADA INC",D1187="Hyundai L&amp; C USA LLC"),VLOOKUP(H1187,'[2]GIA HS'!A:D,4,0),IF(Y1187="Mỹ",VLOOKUP(H1187,'[2]giá mỹ từ 6.8.2025'!B:I,2,0),VLOOKUP(H1187,'[2]giá ngoài mỹ 6.8.2025 (final)'!B:BP,51,0)))))</f>
        <v>59</v>
      </c>
      <c r="L1187" s="106">
        <v>94.87</v>
      </c>
      <c r="M1187" s="106">
        <f t="shared" si="72"/>
        <v>35.870000000000005</v>
      </c>
      <c r="N1187" s="106">
        <v>94.87</v>
      </c>
      <c r="O1187" s="107">
        <v>148</v>
      </c>
      <c r="P1187" s="107">
        <v>25870</v>
      </c>
      <c r="Q1187" s="107">
        <v>3828760</v>
      </c>
      <c r="R1187" s="102"/>
      <c r="S1187" s="108"/>
      <c r="T1187" s="109" t="s">
        <v>30</v>
      </c>
      <c r="U1187" s="109"/>
      <c r="V1187" s="102"/>
      <c r="W1187" s="109"/>
      <c r="X1187" s="109"/>
      <c r="Y1187" s="110" t="s">
        <v>97</v>
      </c>
      <c r="Z1187" s="111" t="str">
        <f>MID(E1187,4,2)</f>
        <v>CA</v>
      </c>
    </row>
    <row r="1188" spans="1:26" s="111" customFormat="1" x14ac:dyDescent="0.2">
      <c r="A1188" s="101">
        <v>46251</v>
      </c>
      <c r="B1188" s="91" t="s">
        <v>1443</v>
      </c>
      <c r="C1188" s="102" t="s">
        <v>1444</v>
      </c>
      <c r="D1188" s="103" t="s">
        <v>26</v>
      </c>
      <c r="E1188" s="91" t="s">
        <v>1445</v>
      </c>
      <c r="F1188" s="91" t="s">
        <v>330</v>
      </c>
      <c r="G1188" s="91" t="s">
        <v>331</v>
      </c>
      <c r="H1188" s="104" t="str">
        <f t="shared" si="73"/>
        <v>C4033J20</v>
      </c>
      <c r="I1188" s="104"/>
      <c r="J1188" s="105">
        <v>3.13</v>
      </c>
      <c r="K1188" s="106">
        <f t="shared" ref="K1188:K1192" si="74">+L1188</f>
        <v>94.57</v>
      </c>
      <c r="L1188" s="106">
        <v>94.57</v>
      </c>
      <c r="M1188" s="106">
        <f t="shared" si="72"/>
        <v>0</v>
      </c>
      <c r="N1188" s="106">
        <v>94.57</v>
      </c>
      <c r="O1188" s="107">
        <v>296</v>
      </c>
      <c r="P1188" s="107">
        <v>25870</v>
      </c>
      <c r="Q1188" s="107">
        <v>7657520</v>
      </c>
      <c r="R1188" s="102"/>
      <c r="S1188" s="108"/>
      <c r="T1188" s="109" t="s">
        <v>30</v>
      </c>
      <c r="U1188" s="109"/>
      <c r="V1188" s="102"/>
      <c r="W1188" s="109"/>
      <c r="X1188" s="109"/>
      <c r="Y1188" s="110" t="s">
        <v>97</v>
      </c>
      <c r="Z1188" s="111" t="str">
        <f>MID(E1188,4,2)</f>
        <v>CA</v>
      </c>
    </row>
    <row r="1189" spans="1:26" s="111" customFormat="1" x14ac:dyDescent="0.2">
      <c r="A1189" s="101">
        <v>46251</v>
      </c>
      <c r="B1189" s="91" t="s">
        <v>1443</v>
      </c>
      <c r="C1189" s="102" t="s">
        <v>1444</v>
      </c>
      <c r="D1189" s="103" t="s">
        <v>26</v>
      </c>
      <c r="E1189" s="91" t="s">
        <v>1445</v>
      </c>
      <c r="F1189" s="91" t="s">
        <v>1446</v>
      </c>
      <c r="G1189" s="91" t="s">
        <v>1447</v>
      </c>
      <c r="H1189" s="104" t="str">
        <f t="shared" si="73"/>
        <v>C5222J20</v>
      </c>
      <c r="I1189" s="104"/>
      <c r="J1189" s="105">
        <v>1.56</v>
      </c>
      <c r="K1189" s="106">
        <f t="shared" si="74"/>
        <v>94.87</v>
      </c>
      <c r="L1189" s="106">
        <v>94.87</v>
      </c>
      <c r="M1189" s="106">
        <f t="shared" si="72"/>
        <v>0</v>
      </c>
      <c r="N1189" s="106">
        <v>94.87</v>
      </c>
      <c r="O1189" s="107">
        <v>148</v>
      </c>
      <c r="P1189" s="107">
        <v>25870</v>
      </c>
      <c r="Q1189" s="107">
        <v>3828760</v>
      </c>
      <c r="R1189" s="102"/>
      <c r="S1189" s="108"/>
      <c r="T1189" s="109" t="s">
        <v>30</v>
      </c>
      <c r="U1189" s="109"/>
      <c r="V1189" s="102"/>
      <c r="W1189" s="109"/>
      <c r="X1189" s="109"/>
      <c r="Y1189" s="110" t="s">
        <v>97</v>
      </c>
      <c r="Z1189" s="111" t="str">
        <f>MID(E1189,4,2)</f>
        <v>CA</v>
      </c>
    </row>
    <row r="1190" spans="1:26" s="111" customFormat="1" x14ac:dyDescent="0.2">
      <c r="A1190" s="101">
        <v>46251</v>
      </c>
      <c r="B1190" s="91" t="s">
        <v>1443</v>
      </c>
      <c r="C1190" s="102" t="s">
        <v>1444</v>
      </c>
      <c r="D1190" s="103" t="s">
        <v>26</v>
      </c>
      <c r="E1190" s="91" t="s">
        <v>1445</v>
      </c>
      <c r="F1190" s="91" t="s">
        <v>110</v>
      </c>
      <c r="G1190" s="91" t="s">
        <v>111</v>
      </c>
      <c r="H1190" s="104" t="str">
        <f t="shared" si="73"/>
        <v>C4023J20</v>
      </c>
      <c r="I1190" s="104"/>
      <c r="J1190" s="105">
        <v>54.46</v>
      </c>
      <c r="K1190" s="106">
        <f t="shared" si="74"/>
        <v>59.89</v>
      </c>
      <c r="L1190" s="106">
        <v>59.89</v>
      </c>
      <c r="M1190" s="106">
        <f t="shared" si="72"/>
        <v>0</v>
      </c>
      <c r="N1190" s="106">
        <v>59.89</v>
      </c>
      <c r="O1190" s="107">
        <v>3261.6</v>
      </c>
      <c r="P1190" s="107">
        <v>25870</v>
      </c>
      <c r="Q1190" s="107">
        <v>84377592</v>
      </c>
      <c r="R1190" s="102" t="s">
        <v>30</v>
      </c>
      <c r="S1190" s="108"/>
      <c r="T1190" s="109"/>
      <c r="U1190" s="109"/>
      <c r="V1190" s="102"/>
      <c r="W1190" s="109"/>
      <c r="X1190" s="109"/>
      <c r="Y1190" s="110" t="s">
        <v>97</v>
      </c>
      <c r="Z1190" s="111" t="str">
        <f>MID(E1190,4,2)</f>
        <v>CA</v>
      </c>
    </row>
    <row r="1191" spans="1:26" s="111" customFormat="1" x14ac:dyDescent="0.2">
      <c r="A1191" s="101">
        <v>46251</v>
      </c>
      <c r="B1191" s="91" t="s">
        <v>1443</v>
      </c>
      <c r="C1191" s="102" t="s">
        <v>1444</v>
      </c>
      <c r="D1191" s="103" t="s">
        <v>26</v>
      </c>
      <c r="E1191" s="91" t="s">
        <v>1445</v>
      </c>
      <c r="F1191" s="91" t="s">
        <v>356</v>
      </c>
      <c r="G1191" s="91" t="s">
        <v>357</v>
      </c>
      <c r="H1191" s="104" t="str">
        <f t="shared" si="73"/>
        <v>C5222J20</v>
      </c>
      <c r="I1191" s="104"/>
      <c r="J1191" s="105">
        <v>381.15</v>
      </c>
      <c r="K1191" s="106">
        <f t="shared" si="74"/>
        <v>59.9</v>
      </c>
      <c r="L1191" s="106">
        <v>59.9</v>
      </c>
      <c r="M1191" s="106">
        <f t="shared" si="72"/>
        <v>0</v>
      </c>
      <c r="N1191" s="106">
        <v>59.9</v>
      </c>
      <c r="O1191" s="107">
        <v>22831.200000000001</v>
      </c>
      <c r="P1191" s="107">
        <v>25870</v>
      </c>
      <c r="Q1191" s="107">
        <v>590643144</v>
      </c>
      <c r="R1191" s="102" t="s">
        <v>30</v>
      </c>
      <c r="S1191" s="108"/>
      <c r="T1191" s="109"/>
      <c r="U1191" s="109"/>
      <c r="V1191" s="102"/>
      <c r="W1191" s="109"/>
      <c r="X1191" s="109"/>
      <c r="Y1191" s="110" t="s">
        <v>97</v>
      </c>
      <c r="Z1191" s="111" t="str">
        <f>MID(E1191,4,2)</f>
        <v>CA</v>
      </c>
    </row>
    <row r="1192" spans="1:26" s="111" customFormat="1" x14ac:dyDescent="0.2">
      <c r="A1192" s="101">
        <v>46251</v>
      </c>
      <c r="B1192" s="91" t="s">
        <v>1443</v>
      </c>
      <c r="C1192" s="102" t="s">
        <v>1444</v>
      </c>
      <c r="D1192" s="103" t="s">
        <v>26</v>
      </c>
      <c r="E1192" s="91" t="s">
        <v>1445</v>
      </c>
      <c r="F1192" s="91" t="s">
        <v>1045</v>
      </c>
      <c r="G1192" s="91" t="s">
        <v>1046</v>
      </c>
      <c r="H1192" s="104" t="str">
        <f t="shared" si="73"/>
        <v>C6003J20</v>
      </c>
      <c r="I1192" s="104"/>
      <c r="J1192" s="105">
        <v>108.9</v>
      </c>
      <c r="K1192" s="106">
        <f t="shared" si="74"/>
        <v>59.9</v>
      </c>
      <c r="L1192" s="106">
        <v>59.9</v>
      </c>
      <c r="M1192" s="106">
        <f t="shared" si="72"/>
        <v>0</v>
      </c>
      <c r="N1192" s="106">
        <v>59.9</v>
      </c>
      <c r="O1192" s="107">
        <v>6523.2</v>
      </c>
      <c r="P1192" s="107">
        <v>25870</v>
      </c>
      <c r="Q1192" s="107">
        <v>168755184</v>
      </c>
      <c r="R1192" s="102" t="s">
        <v>30</v>
      </c>
      <c r="S1192" s="108"/>
      <c r="T1192" s="109"/>
      <c r="U1192" s="109"/>
      <c r="V1192" s="102"/>
      <c r="W1192" s="109"/>
      <c r="X1192" s="109"/>
      <c r="Y1192" s="110" t="s">
        <v>97</v>
      </c>
      <c r="Z1192" s="111" t="str">
        <f>MID(E1192,4,2)</f>
        <v>CA</v>
      </c>
    </row>
    <row r="1193" spans="1:26" s="111" customFormat="1" x14ac:dyDescent="0.2">
      <c r="A1193" s="101">
        <v>46251</v>
      </c>
      <c r="B1193" s="91" t="s">
        <v>1448</v>
      </c>
      <c r="C1193" s="102" t="s">
        <v>1449</v>
      </c>
      <c r="D1193" s="103" t="s">
        <v>26</v>
      </c>
      <c r="E1193" s="91" t="s">
        <v>1450</v>
      </c>
      <c r="F1193" s="91" t="s">
        <v>1451</v>
      </c>
      <c r="G1193" s="91" t="s">
        <v>1452</v>
      </c>
      <c r="H1193" s="104" t="str">
        <f t="shared" si="73"/>
        <v>C5000J30</v>
      </c>
      <c r="I1193" s="104"/>
      <c r="J1193" s="105">
        <v>114.35</v>
      </c>
      <c r="K1193" s="106">
        <f>IF(D1193="CAESARSTONE LTD",VLOOKUP(H1193,'[2]GIA CA'!G:H,2,0),IF(OR(D1193="STONE FACINGS LIMITED",D1193="NORDIA SA",D1193="INVICTUS STONE COUNTERTOPS INC",D1193="QUARTZTOP LLC"),VLOOKUP(H1193,'[2] Giá ngoài Mỹ - SI-GR'!$B$5:$AZ$84,51,0),IF(OR(D1193="HYUNDAI L&amp;C CANADA INC",D1193="Hyundai L&amp; C USA LLC"),VLOOKUP(H1193,'[2]GIA HS'!A:D,4,0),IF(Y1193="Mỹ",VLOOKUP(H1193,'[2]giá mỹ từ 6.8.2025'!B:I,2,0),VLOOKUP(H1193,'[2]giá ngoài mỹ 6.8.2025 (final)'!B:BP,51,0)))))</f>
        <v>68.75</v>
      </c>
      <c r="L1193" s="106">
        <v>74.8</v>
      </c>
      <c r="M1193" s="106">
        <f t="shared" si="72"/>
        <v>6.0499999999999972</v>
      </c>
      <c r="N1193" s="106">
        <v>74.8</v>
      </c>
      <c r="O1193" s="107">
        <v>8553.09</v>
      </c>
      <c r="P1193" s="107">
        <v>25870</v>
      </c>
      <c r="Q1193" s="107">
        <v>221268438</v>
      </c>
      <c r="R1193" s="102" t="s">
        <v>30</v>
      </c>
      <c r="S1193" s="108"/>
      <c r="T1193" s="109"/>
      <c r="U1193" s="109"/>
      <c r="V1193" s="102"/>
      <c r="W1193" s="109"/>
      <c r="X1193" s="109"/>
      <c r="Y1193" s="110" t="s">
        <v>932</v>
      </c>
      <c r="Z1193" s="111" t="str">
        <f>MID(E1193,4,2)</f>
        <v>CA</v>
      </c>
    </row>
    <row r="1194" spans="1:26" s="111" customFormat="1" x14ac:dyDescent="0.2">
      <c r="A1194" s="101">
        <v>46251</v>
      </c>
      <c r="B1194" s="91" t="s">
        <v>1448</v>
      </c>
      <c r="C1194" s="102" t="s">
        <v>1449</v>
      </c>
      <c r="D1194" s="103" t="s">
        <v>26</v>
      </c>
      <c r="E1194" s="91" t="s">
        <v>1450</v>
      </c>
      <c r="F1194" s="91" t="s">
        <v>1196</v>
      </c>
      <c r="G1194" s="91" t="s">
        <v>1197</v>
      </c>
      <c r="H1194" s="104" t="str">
        <f t="shared" si="73"/>
        <v>C5100J30</v>
      </c>
      <c r="I1194" s="104"/>
      <c r="J1194" s="105">
        <v>98.01</v>
      </c>
      <c r="K1194" s="106">
        <f>IF(D1194="CAESARSTONE LTD",VLOOKUP(H1194,'[2]GIA CA'!G:H,2,0),IF(OR(D1194="STONE FACINGS LIMITED",D1194="NORDIA SA",D1194="INVICTUS STONE COUNTERTOPS INC",D1194="QUARTZTOP LLC"),VLOOKUP(H1194,'[2] Giá ngoài Mỹ - SI-GR'!$B$5:$AZ$84,51,0),IF(OR(D1194="HYUNDAI L&amp;C CANADA INC",D1194="Hyundai L&amp; C USA LLC"),VLOOKUP(H1194,'[2]GIA HS'!A:D,4,0),IF(Y1194="Mỹ",VLOOKUP(H1194,'[2]giá mỹ từ 6.8.2025'!B:I,2,0),VLOOKUP(H1194,'[2]giá ngoài mỹ 6.8.2025 (final)'!B:BP,51,0)))))</f>
        <v>73.75</v>
      </c>
      <c r="L1194" s="106">
        <v>77.400000000000006</v>
      </c>
      <c r="M1194" s="106">
        <f t="shared" si="72"/>
        <v>3.6500000000000057</v>
      </c>
      <c r="N1194" s="106">
        <v>77.400000000000006</v>
      </c>
      <c r="O1194" s="107">
        <v>7585.92</v>
      </c>
      <c r="P1194" s="107">
        <v>25870</v>
      </c>
      <c r="Q1194" s="107">
        <v>196247750</v>
      </c>
      <c r="R1194" s="102" t="s">
        <v>30</v>
      </c>
      <c r="S1194" s="108"/>
      <c r="T1194" s="109"/>
      <c r="U1194" s="109"/>
      <c r="V1194" s="102"/>
      <c r="W1194" s="109"/>
      <c r="X1194" s="109"/>
      <c r="Y1194" s="110" t="s">
        <v>932</v>
      </c>
      <c r="Z1194" s="111" t="str">
        <f>MID(E1194,4,2)</f>
        <v>CA</v>
      </c>
    </row>
    <row r="1195" spans="1:26" s="111" customFormat="1" x14ac:dyDescent="0.2">
      <c r="A1195" s="101">
        <v>46251</v>
      </c>
      <c r="B1195" s="91" t="s">
        <v>1448</v>
      </c>
      <c r="C1195" s="102" t="s">
        <v>1449</v>
      </c>
      <c r="D1195" s="103" t="s">
        <v>26</v>
      </c>
      <c r="E1195" s="91" t="s">
        <v>1450</v>
      </c>
      <c r="F1195" s="91" t="s">
        <v>1453</v>
      </c>
      <c r="G1195" s="91" t="s">
        <v>1454</v>
      </c>
      <c r="H1195" s="104" t="str">
        <f t="shared" si="73"/>
        <v>F4033J20</v>
      </c>
      <c r="I1195" s="104"/>
      <c r="J1195" s="105">
        <v>38.119999999999997</v>
      </c>
      <c r="K1195" s="106">
        <f t="shared" ref="K1195:K1199" si="75">+L1195</f>
        <v>63</v>
      </c>
      <c r="L1195" s="106">
        <v>63</v>
      </c>
      <c r="M1195" s="106">
        <f t="shared" si="72"/>
        <v>0</v>
      </c>
      <c r="N1195" s="106">
        <v>63</v>
      </c>
      <c r="O1195" s="107">
        <v>2401.6</v>
      </c>
      <c r="P1195" s="107">
        <v>25870</v>
      </c>
      <c r="Q1195" s="107">
        <v>62129392</v>
      </c>
      <c r="R1195" s="102" t="s">
        <v>30</v>
      </c>
      <c r="S1195" s="108"/>
      <c r="T1195" s="109"/>
      <c r="U1195" s="109"/>
      <c r="V1195" s="102"/>
      <c r="W1195" s="109"/>
      <c r="X1195" s="109"/>
      <c r="Y1195" s="110" t="s">
        <v>932</v>
      </c>
      <c r="Z1195" s="111" t="str">
        <f>MID(E1195,4,2)</f>
        <v>CA</v>
      </c>
    </row>
    <row r="1196" spans="1:26" s="111" customFormat="1" x14ac:dyDescent="0.2">
      <c r="A1196" s="101">
        <v>46251</v>
      </c>
      <c r="B1196" s="91" t="s">
        <v>1448</v>
      </c>
      <c r="C1196" s="102" t="s">
        <v>1449</v>
      </c>
      <c r="D1196" s="103" t="s">
        <v>26</v>
      </c>
      <c r="E1196" s="91" t="s">
        <v>1450</v>
      </c>
      <c r="F1196" s="91" t="s">
        <v>1455</v>
      </c>
      <c r="G1196" s="91" t="s">
        <v>1454</v>
      </c>
      <c r="H1196" s="104" t="str">
        <f t="shared" si="73"/>
        <v>F4033J20</v>
      </c>
      <c r="I1196" s="104"/>
      <c r="J1196" s="105">
        <v>16.329999999999998</v>
      </c>
      <c r="K1196" s="106">
        <f t="shared" si="75"/>
        <v>63</v>
      </c>
      <c r="L1196" s="106">
        <v>63</v>
      </c>
      <c r="M1196" s="106">
        <f t="shared" si="72"/>
        <v>0</v>
      </c>
      <c r="N1196" s="106">
        <v>63</v>
      </c>
      <c r="O1196" s="107">
        <v>1028.8</v>
      </c>
      <c r="P1196" s="107">
        <v>25870</v>
      </c>
      <c r="Q1196" s="107">
        <v>26615056</v>
      </c>
      <c r="R1196" s="102" t="s">
        <v>30</v>
      </c>
      <c r="S1196" s="108"/>
      <c r="T1196" s="109"/>
      <c r="U1196" s="109"/>
      <c r="V1196" s="102"/>
      <c r="W1196" s="109"/>
      <c r="X1196" s="109"/>
      <c r="Y1196" s="110" t="s">
        <v>932</v>
      </c>
      <c r="Z1196" s="111" t="str">
        <f>MID(E1196,4,2)</f>
        <v>CA</v>
      </c>
    </row>
    <row r="1197" spans="1:26" s="111" customFormat="1" x14ac:dyDescent="0.2">
      <c r="A1197" s="101">
        <v>46251</v>
      </c>
      <c r="B1197" s="91" t="s">
        <v>1448</v>
      </c>
      <c r="C1197" s="102" t="s">
        <v>1449</v>
      </c>
      <c r="D1197" s="103" t="s">
        <v>26</v>
      </c>
      <c r="E1197" s="91" t="s">
        <v>1450</v>
      </c>
      <c r="F1197" s="91" t="s">
        <v>1456</v>
      </c>
      <c r="G1197" s="91" t="s">
        <v>1457</v>
      </c>
      <c r="H1197" s="104" t="str">
        <f t="shared" si="73"/>
        <v>F5222J20</v>
      </c>
      <c r="I1197" s="104"/>
      <c r="J1197" s="105">
        <v>16.329999999999998</v>
      </c>
      <c r="K1197" s="106">
        <f t="shared" si="75"/>
        <v>63</v>
      </c>
      <c r="L1197" s="106">
        <v>63</v>
      </c>
      <c r="M1197" s="106">
        <f t="shared" si="72"/>
        <v>0</v>
      </c>
      <c r="N1197" s="106">
        <v>63</v>
      </c>
      <c r="O1197" s="107">
        <v>1028.8</v>
      </c>
      <c r="P1197" s="107">
        <v>25870</v>
      </c>
      <c r="Q1197" s="107">
        <v>26615056</v>
      </c>
      <c r="R1197" s="102" t="s">
        <v>30</v>
      </c>
      <c r="S1197" s="108"/>
      <c r="T1197" s="109"/>
      <c r="U1197" s="109"/>
      <c r="V1197" s="102"/>
      <c r="W1197" s="109"/>
      <c r="X1197" s="109"/>
      <c r="Y1197" s="110" t="s">
        <v>932</v>
      </c>
      <c r="Z1197" s="111" t="str">
        <f>MID(E1197,4,2)</f>
        <v>CA</v>
      </c>
    </row>
    <row r="1198" spans="1:26" s="111" customFormat="1" x14ac:dyDescent="0.2">
      <c r="A1198" s="101">
        <v>46251</v>
      </c>
      <c r="B1198" s="91" t="s">
        <v>1448</v>
      </c>
      <c r="C1198" s="102" t="s">
        <v>1449</v>
      </c>
      <c r="D1198" s="103" t="s">
        <v>26</v>
      </c>
      <c r="E1198" s="91" t="s">
        <v>1450</v>
      </c>
      <c r="F1198" s="91" t="s">
        <v>1458</v>
      </c>
      <c r="G1198" s="91" t="s">
        <v>1457</v>
      </c>
      <c r="H1198" s="104" t="str">
        <f t="shared" si="73"/>
        <v>F5222J20</v>
      </c>
      <c r="I1198" s="104"/>
      <c r="J1198" s="105">
        <v>27.23</v>
      </c>
      <c r="K1198" s="106">
        <f t="shared" si="75"/>
        <v>63</v>
      </c>
      <c r="L1198" s="106">
        <v>63</v>
      </c>
      <c r="M1198" s="106">
        <f t="shared" si="72"/>
        <v>0</v>
      </c>
      <c r="N1198" s="106">
        <v>63</v>
      </c>
      <c r="O1198" s="107">
        <v>1715.52</v>
      </c>
      <c r="P1198" s="107">
        <v>25870</v>
      </c>
      <c r="Q1198" s="107">
        <v>44380502</v>
      </c>
      <c r="R1198" s="102" t="s">
        <v>30</v>
      </c>
      <c r="S1198" s="108"/>
      <c r="T1198" s="109"/>
      <c r="U1198" s="109"/>
      <c r="V1198" s="102"/>
      <c r="W1198" s="109"/>
      <c r="X1198" s="109"/>
      <c r="Y1198" s="110" t="s">
        <v>932</v>
      </c>
      <c r="Z1198" s="111" t="str">
        <f>MID(E1198,4,2)</f>
        <v>CA</v>
      </c>
    </row>
    <row r="1199" spans="1:26" s="111" customFormat="1" x14ac:dyDescent="0.2">
      <c r="A1199" s="101">
        <v>46251</v>
      </c>
      <c r="B1199" s="91" t="s">
        <v>1448</v>
      </c>
      <c r="C1199" s="102" t="s">
        <v>1449</v>
      </c>
      <c r="D1199" s="103" t="s">
        <v>26</v>
      </c>
      <c r="E1199" s="91" t="s">
        <v>1450</v>
      </c>
      <c r="F1199" s="91" t="s">
        <v>1458</v>
      </c>
      <c r="G1199" s="91" t="s">
        <v>1457</v>
      </c>
      <c r="H1199" s="104" t="str">
        <f t="shared" si="73"/>
        <v>F5222J20</v>
      </c>
      <c r="I1199" s="104"/>
      <c r="J1199" s="105">
        <v>10.89</v>
      </c>
      <c r="K1199" s="106">
        <f t="shared" si="75"/>
        <v>63</v>
      </c>
      <c r="L1199" s="106">
        <v>63</v>
      </c>
      <c r="M1199" s="106">
        <f t="shared" si="72"/>
        <v>0</v>
      </c>
      <c r="N1199" s="106">
        <v>63</v>
      </c>
      <c r="O1199" s="107">
        <v>686.08</v>
      </c>
      <c r="P1199" s="107">
        <v>25870</v>
      </c>
      <c r="Q1199" s="107">
        <v>17748890</v>
      </c>
      <c r="R1199" s="102" t="s">
        <v>30</v>
      </c>
      <c r="S1199" s="108"/>
      <c r="T1199" s="109"/>
      <c r="U1199" s="109"/>
      <c r="V1199" s="102"/>
      <c r="W1199" s="109"/>
      <c r="X1199" s="109"/>
      <c r="Y1199" s="110" t="s">
        <v>932</v>
      </c>
      <c r="Z1199" s="111" t="str">
        <f>MID(E1199,4,2)</f>
        <v>CA</v>
      </c>
    </row>
    <row r="1200" spans="1:26" s="111" customFormat="1" x14ac:dyDescent="0.2">
      <c r="A1200" s="101">
        <v>46251</v>
      </c>
      <c r="B1200" s="91" t="s">
        <v>1459</v>
      </c>
      <c r="C1200" s="102" t="s">
        <v>1460</v>
      </c>
      <c r="D1200" s="103" t="s">
        <v>26</v>
      </c>
      <c r="E1200" s="91" t="s">
        <v>1461</v>
      </c>
      <c r="F1200" s="91" t="s">
        <v>895</v>
      </c>
      <c r="G1200" s="91" t="s">
        <v>896</v>
      </c>
      <c r="H1200" s="104" t="str">
        <f t="shared" si="73"/>
        <v>C4143J30</v>
      </c>
      <c r="I1200" s="104"/>
      <c r="J1200" s="105">
        <v>304.92</v>
      </c>
      <c r="K1200" s="106">
        <f>IF(D1200="CAESARSTONE LTD",VLOOKUP(H1200,'[2]GIA CA'!G:H,2,0),IF(OR(D1200="STONE FACINGS LIMITED",D1200="NORDIA SA",D1200="INVICTUS STONE COUNTERTOPS INC",D1200="QUARTZTOP LLC"),VLOOKUP(H1200,'[2] Giá ngoài Mỹ - SI-GR'!$B$5:$AZ$84,51,0),IF(OR(D1200="HYUNDAI L&amp;C CANADA INC",D1200="Hyundai L&amp; C USA LLC"),VLOOKUP(H1200,'[2]GIA HS'!A:D,4,0),IF(Y1200="Mỹ",VLOOKUP(H1200,'[2]giá mỹ từ 6.8.2025'!B:I,2,0),VLOOKUP(H1200,'[2]giá ngoài mỹ 6.8.2025 (final)'!B:BP,51,0)))))</f>
        <v>71.3</v>
      </c>
      <c r="L1200" s="106">
        <v>74.8</v>
      </c>
      <c r="M1200" s="106">
        <f t="shared" si="72"/>
        <v>3.5</v>
      </c>
      <c r="N1200" s="106">
        <v>74.8</v>
      </c>
      <c r="O1200" s="107">
        <v>22808.240000000002</v>
      </c>
      <c r="P1200" s="107">
        <v>25870</v>
      </c>
      <c r="Q1200" s="107">
        <v>590049169</v>
      </c>
      <c r="R1200" s="102" t="s">
        <v>30</v>
      </c>
      <c r="S1200" s="108"/>
      <c r="T1200" s="109"/>
      <c r="U1200" s="109"/>
      <c r="V1200" s="102"/>
      <c r="W1200" s="109"/>
      <c r="X1200" s="109"/>
      <c r="Y1200" s="110" t="s">
        <v>803</v>
      </c>
      <c r="Z1200" s="111" t="str">
        <f>MID(E1200,4,2)</f>
        <v>CA</v>
      </c>
    </row>
    <row r="1201" spans="1:26" s="111" customFormat="1" x14ac:dyDescent="0.2">
      <c r="A1201" s="101">
        <v>46251</v>
      </c>
      <c r="B1201" s="91" t="s">
        <v>1462</v>
      </c>
      <c r="C1201" s="102" t="s">
        <v>1463</v>
      </c>
      <c r="D1201" s="103" t="s">
        <v>26</v>
      </c>
      <c r="E1201" s="91" t="s">
        <v>1464</v>
      </c>
      <c r="F1201" s="91" t="s">
        <v>1465</v>
      </c>
      <c r="G1201" s="91" t="s">
        <v>1466</v>
      </c>
      <c r="H1201" s="104" t="str">
        <f t="shared" si="73"/>
        <v>C4011J20</v>
      </c>
      <c r="I1201" s="104"/>
      <c r="J1201" s="105">
        <v>0.15</v>
      </c>
      <c r="K1201" s="106">
        <f t="shared" ref="K1201:K1204" si="76">+L1201</f>
        <v>95.45</v>
      </c>
      <c r="L1201" s="106">
        <v>95.45</v>
      </c>
      <c r="M1201" s="106">
        <f t="shared" si="72"/>
        <v>0</v>
      </c>
      <c r="N1201" s="106">
        <v>95.45</v>
      </c>
      <c r="O1201" s="107">
        <v>14.32</v>
      </c>
      <c r="P1201" s="107">
        <v>25870</v>
      </c>
      <c r="Q1201" s="107">
        <v>370458</v>
      </c>
      <c r="R1201" s="102"/>
      <c r="S1201" s="108"/>
      <c r="T1201" s="109" t="s">
        <v>30</v>
      </c>
      <c r="U1201" s="109"/>
      <c r="V1201" s="102"/>
      <c r="W1201" s="109"/>
      <c r="X1201" s="109"/>
      <c r="Y1201" s="110" t="s">
        <v>803</v>
      </c>
      <c r="Z1201" s="111" t="str">
        <f>MID(E1201,4,2)</f>
        <v>CA</v>
      </c>
    </row>
    <row r="1202" spans="1:26" s="111" customFormat="1" x14ac:dyDescent="0.2">
      <c r="A1202" s="101">
        <v>46251</v>
      </c>
      <c r="B1202" s="91" t="s">
        <v>1462</v>
      </c>
      <c r="C1202" s="102" t="s">
        <v>1463</v>
      </c>
      <c r="D1202" s="103" t="s">
        <v>26</v>
      </c>
      <c r="E1202" s="91" t="s">
        <v>1464</v>
      </c>
      <c r="F1202" s="91" t="s">
        <v>1465</v>
      </c>
      <c r="G1202" s="91" t="s">
        <v>1466</v>
      </c>
      <c r="H1202" s="104" t="str">
        <f t="shared" si="73"/>
        <v>C4011J20</v>
      </c>
      <c r="I1202" s="104"/>
      <c r="J1202" s="105">
        <v>0.28999999999999998</v>
      </c>
      <c r="K1202" s="106">
        <f t="shared" si="76"/>
        <v>95.45</v>
      </c>
      <c r="L1202" s="106">
        <v>95.45</v>
      </c>
      <c r="M1202" s="106">
        <f t="shared" si="72"/>
        <v>0</v>
      </c>
      <c r="N1202" s="106">
        <v>95.45</v>
      </c>
      <c r="O1202" s="107">
        <v>27.68</v>
      </c>
      <c r="P1202" s="107">
        <v>25870</v>
      </c>
      <c r="Q1202" s="107">
        <v>716082</v>
      </c>
      <c r="R1202" s="102"/>
      <c r="S1202" s="108"/>
      <c r="T1202" s="109" t="s">
        <v>30</v>
      </c>
      <c r="U1202" s="109"/>
      <c r="V1202" s="102"/>
      <c r="W1202" s="109"/>
      <c r="X1202" s="109"/>
      <c r="Y1202" s="110" t="s">
        <v>803</v>
      </c>
      <c r="Z1202" s="111" t="str">
        <f>MID(E1202,4,2)</f>
        <v>CA</v>
      </c>
    </row>
    <row r="1203" spans="1:26" s="111" customFormat="1" x14ac:dyDescent="0.2">
      <c r="A1203" s="101">
        <v>46251</v>
      </c>
      <c r="B1203" s="91" t="s">
        <v>1462</v>
      </c>
      <c r="C1203" s="102" t="s">
        <v>1463</v>
      </c>
      <c r="D1203" s="103" t="s">
        <v>26</v>
      </c>
      <c r="E1203" s="91" t="s">
        <v>1464</v>
      </c>
      <c r="F1203" s="91" t="s">
        <v>255</v>
      </c>
      <c r="G1203" s="91" t="s">
        <v>256</v>
      </c>
      <c r="H1203" s="104" t="str">
        <f t="shared" si="73"/>
        <v>C4033J20</v>
      </c>
      <c r="I1203" s="104"/>
      <c r="J1203" s="105">
        <v>0.64</v>
      </c>
      <c r="K1203" s="106">
        <f t="shared" si="76"/>
        <v>95.16</v>
      </c>
      <c r="L1203" s="106">
        <v>95.16</v>
      </c>
      <c r="M1203" s="106">
        <f t="shared" si="72"/>
        <v>0</v>
      </c>
      <c r="N1203" s="106">
        <v>95.16</v>
      </c>
      <c r="O1203" s="107">
        <v>60.9</v>
      </c>
      <c r="P1203" s="107">
        <v>25870</v>
      </c>
      <c r="Q1203" s="107">
        <v>1575483</v>
      </c>
      <c r="R1203" s="102"/>
      <c r="S1203" s="108"/>
      <c r="T1203" s="109" t="s">
        <v>30</v>
      </c>
      <c r="U1203" s="109"/>
      <c r="V1203" s="102"/>
      <c r="W1203" s="109"/>
      <c r="X1203" s="109"/>
      <c r="Y1203" s="110" t="s">
        <v>803</v>
      </c>
      <c r="Z1203" s="111" t="str">
        <f>MID(E1203,4,2)</f>
        <v>CA</v>
      </c>
    </row>
    <row r="1204" spans="1:26" s="111" customFormat="1" x14ac:dyDescent="0.2">
      <c r="A1204" s="101">
        <v>46251</v>
      </c>
      <c r="B1204" s="91" t="s">
        <v>1462</v>
      </c>
      <c r="C1204" s="102" t="s">
        <v>1463</v>
      </c>
      <c r="D1204" s="103" t="s">
        <v>26</v>
      </c>
      <c r="E1204" s="91" t="s">
        <v>1464</v>
      </c>
      <c r="F1204" s="91" t="s">
        <v>837</v>
      </c>
      <c r="G1204" s="91" t="s">
        <v>838</v>
      </c>
      <c r="H1204" s="104" t="str">
        <f t="shared" si="73"/>
        <v>C4033J20</v>
      </c>
      <c r="I1204" s="104"/>
      <c r="J1204" s="105">
        <v>0.44</v>
      </c>
      <c r="K1204" s="106">
        <f t="shared" si="76"/>
        <v>95.45</v>
      </c>
      <c r="L1204" s="106">
        <v>95.45</v>
      </c>
      <c r="M1204" s="106">
        <f t="shared" si="72"/>
        <v>0</v>
      </c>
      <c r="N1204" s="106">
        <v>95.45</v>
      </c>
      <c r="O1204" s="107">
        <v>42</v>
      </c>
      <c r="P1204" s="107">
        <v>25870</v>
      </c>
      <c r="Q1204" s="107">
        <v>1086540</v>
      </c>
      <c r="R1204" s="102"/>
      <c r="S1204" s="108"/>
      <c r="T1204" s="109" t="s">
        <v>30</v>
      </c>
      <c r="U1204" s="109"/>
      <c r="V1204" s="102"/>
      <c r="W1204" s="109"/>
      <c r="X1204" s="109"/>
      <c r="Y1204" s="110" t="s">
        <v>803</v>
      </c>
      <c r="Z1204" s="111" t="str">
        <f>MID(E1204,4,2)</f>
        <v>CA</v>
      </c>
    </row>
    <row r="1205" spans="1:26" s="111" customFormat="1" x14ac:dyDescent="0.2">
      <c r="A1205" s="101">
        <v>46251</v>
      </c>
      <c r="B1205" s="91" t="s">
        <v>1462</v>
      </c>
      <c r="C1205" s="102" t="s">
        <v>1463</v>
      </c>
      <c r="D1205" s="103" t="s">
        <v>26</v>
      </c>
      <c r="E1205" s="91" t="s">
        <v>1464</v>
      </c>
      <c r="F1205" s="91" t="s">
        <v>1467</v>
      </c>
      <c r="G1205" s="91" t="s">
        <v>1468</v>
      </c>
      <c r="H1205" s="104" t="str">
        <f t="shared" si="73"/>
        <v>C5031J20</v>
      </c>
      <c r="I1205" s="104"/>
      <c r="J1205" s="105">
        <v>0.94</v>
      </c>
      <c r="K1205" s="106">
        <f>IF(D1205="CAESARSTONE LTD",VLOOKUP(H1205,'[2]GIA CA'!G:H,2,0),IF(OR(D1205="STONE FACINGS LIMITED",D1205="NORDIA SA",D1205="INVICTUS STONE COUNTERTOPS INC",D1205="QUARTZTOP LLC"),VLOOKUP(H1205,'[2] Giá ngoài Mỹ - SI-GR'!$B$5:$AZ$84,51,0),IF(OR(D1205="HYUNDAI L&amp;C CANADA INC",D1205="Hyundai L&amp; C USA LLC"),VLOOKUP(H1205,'[2]GIA HS'!A:D,4,0),IF(Y1205="Mỹ",VLOOKUP(H1205,'[2]giá mỹ từ 6.8.2025'!B:I,2,0),VLOOKUP(H1205,'[2]giá ngoài mỹ 6.8.2025 (final)'!B:BP,51,0)))))</f>
        <v>57</v>
      </c>
      <c r="L1205" s="106">
        <v>119.04</v>
      </c>
      <c r="M1205" s="106">
        <f t="shared" si="72"/>
        <v>62.040000000000006</v>
      </c>
      <c r="N1205" s="106">
        <v>119.04</v>
      </c>
      <c r="O1205" s="107">
        <v>111.9</v>
      </c>
      <c r="P1205" s="107">
        <v>25870</v>
      </c>
      <c r="Q1205" s="107">
        <v>2894853</v>
      </c>
      <c r="R1205" s="102"/>
      <c r="S1205" s="108"/>
      <c r="T1205" s="109" t="s">
        <v>30</v>
      </c>
      <c r="U1205" s="109"/>
      <c r="V1205" s="102"/>
      <c r="W1205" s="109"/>
      <c r="X1205" s="109"/>
      <c r="Y1205" s="110" t="s">
        <v>803</v>
      </c>
      <c r="Z1205" s="111" t="str">
        <f>MID(E1205,4,2)</f>
        <v>CA</v>
      </c>
    </row>
    <row r="1206" spans="1:26" s="111" customFormat="1" x14ac:dyDescent="0.2">
      <c r="A1206" s="101">
        <v>46251</v>
      </c>
      <c r="B1206" s="91" t="s">
        <v>1462</v>
      </c>
      <c r="C1206" s="102" t="s">
        <v>1463</v>
      </c>
      <c r="D1206" s="103" t="s">
        <v>26</v>
      </c>
      <c r="E1206" s="91" t="s">
        <v>1464</v>
      </c>
      <c r="F1206" s="91" t="s">
        <v>1469</v>
      </c>
      <c r="G1206" s="91" t="s">
        <v>1470</v>
      </c>
      <c r="H1206" s="104" t="str">
        <f t="shared" si="73"/>
        <v>F5112J20</v>
      </c>
      <c r="I1206" s="104"/>
      <c r="J1206" s="105">
        <v>0.94</v>
      </c>
      <c r="K1206" s="106">
        <f>IF(D1206="CAESARSTONE LTD",VLOOKUP(H1206,'[2]GIA CA'!G:H,2,0),IF(OR(D1206="STONE FACINGS LIMITED",D1206="NORDIA SA",D1206="INVICTUS STONE COUNTERTOPS INC",D1206="QUARTZTOP LLC"),VLOOKUP(H1206,'[2] Giá ngoài Mỹ - SI-GR'!$B$5:$AZ$84,51,0),IF(OR(D1206="HYUNDAI L&amp;C CANADA INC",D1206="Hyundai L&amp; C USA LLC"),VLOOKUP(H1206,'[2]GIA HS'!A:D,4,0),IF(Y1206="Mỹ",VLOOKUP(H1206,'[2]giá mỹ từ 6.8.2025'!B:I,2,0),VLOOKUP(H1206,'[2]giá ngoài mỹ 6.8.2025 (final)'!B:BP,51,0)))))</f>
        <v>60</v>
      </c>
      <c r="L1206" s="106">
        <v>119.04</v>
      </c>
      <c r="M1206" s="106">
        <f t="shared" si="72"/>
        <v>59.040000000000006</v>
      </c>
      <c r="N1206" s="106">
        <v>119.04</v>
      </c>
      <c r="O1206" s="107">
        <v>111.9</v>
      </c>
      <c r="P1206" s="107">
        <v>25870</v>
      </c>
      <c r="Q1206" s="107">
        <v>2894853</v>
      </c>
      <c r="R1206" s="102"/>
      <c r="S1206" s="108"/>
      <c r="T1206" s="109" t="s">
        <v>30</v>
      </c>
      <c r="U1206" s="109"/>
      <c r="V1206" s="102"/>
      <c r="W1206" s="109"/>
      <c r="X1206" s="109"/>
      <c r="Y1206" s="110" t="s">
        <v>803</v>
      </c>
      <c r="Z1206" s="111" t="str">
        <f>MID(E1206,4,2)</f>
        <v>CA</v>
      </c>
    </row>
    <row r="1207" spans="1:26" s="111" customFormat="1" x14ac:dyDescent="0.2">
      <c r="A1207" s="101">
        <v>46251</v>
      </c>
      <c r="B1207" s="91" t="s">
        <v>1462</v>
      </c>
      <c r="C1207" s="102" t="s">
        <v>1463</v>
      </c>
      <c r="D1207" s="103" t="s">
        <v>26</v>
      </c>
      <c r="E1207" s="91" t="s">
        <v>1464</v>
      </c>
      <c r="F1207" s="91" t="s">
        <v>1471</v>
      </c>
      <c r="G1207" s="91" t="s">
        <v>1472</v>
      </c>
      <c r="H1207" s="104" t="str">
        <f t="shared" si="73"/>
        <v>F5112J20</v>
      </c>
      <c r="I1207" s="104"/>
      <c r="J1207" s="105">
        <v>0.15</v>
      </c>
      <c r="K1207" s="106">
        <f>IF(D1207="CAESARSTONE LTD",VLOOKUP(H1207,'[2]GIA CA'!G:H,2,0),IF(OR(D1207="STONE FACINGS LIMITED",D1207="NORDIA SA",D1207="INVICTUS STONE COUNTERTOPS INC",D1207="QUARTZTOP LLC"),VLOOKUP(H1207,'[2] Giá ngoài Mỹ - SI-GR'!$B$5:$AZ$84,51,0),IF(OR(D1207="HYUNDAI L&amp;C CANADA INC",D1207="Hyundai L&amp; C USA LLC"),VLOOKUP(H1207,'[2]GIA HS'!A:D,4,0),IF(Y1207="Mỹ",VLOOKUP(H1207,'[2]giá mỹ từ 6.8.2025'!B:I,2,0),VLOOKUP(H1207,'[2]giá ngoài mỹ 6.8.2025 (final)'!B:BP,51,0)))))</f>
        <v>60</v>
      </c>
      <c r="L1207" s="106">
        <v>119</v>
      </c>
      <c r="M1207" s="106">
        <f t="shared" si="72"/>
        <v>59</v>
      </c>
      <c r="N1207" s="106">
        <v>119</v>
      </c>
      <c r="O1207" s="107">
        <v>17.850000000000001</v>
      </c>
      <c r="P1207" s="107">
        <v>25870</v>
      </c>
      <c r="Q1207" s="107">
        <v>461780</v>
      </c>
      <c r="R1207" s="102"/>
      <c r="S1207" s="108"/>
      <c r="T1207" s="109" t="s">
        <v>30</v>
      </c>
      <c r="U1207" s="109"/>
      <c r="V1207" s="102"/>
      <c r="W1207" s="109"/>
      <c r="X1207" s="109"/>
      <c r="Y1207" s="110" t="s">
        <v>803</v>
      </c>
      <c r="Z1207" s="111" t="str">
        <f>MID(E1207,4,2)</f>
        <v>CA</v>
      </c>
    </row>
    <row r="1208" spans="1:26" s="111" customFormat="1" x14ac:dyDescent="0.2">
      <c r="A1208" s="101">
        <v>46251</v>
      </c>
      <c r="B1208" s="91" t="s">
        <v>1462</v>
      </c>
      <c r="C1208" s="102" t="s">
        <v>1463</v>
      </c>
      <c r="D1208" s="103" t="s">
        <v>26</v>
      </c>
      <c r="E1208" s="91" t="s">
        <v>1464</v>
      </c>
      <c r="F1208" s="91" t="s">
        <v>1473</v>
      </c>
      <c r="G1208" s="91" t="s">
        <v>1474</v>
      </c>
      <c r="H1208" s="104" t="str">
        <f t="shared" si="73"/>
        <v>F5113J20</v>
      </c>
      <c r="I1208" s="104"/>
      <c r="J1208" s="105">
        <v>0.6</v>
      </c>
      <c r="K1208" s="106">
        <f>IF(D1208="CAESARSTONE LTD",VLOOKUP(H1208,'[2]GIA CA'!G:H,2,0),IF(OR(D1208="STONE FACINGS LIMITED",D1208="NORDIA SA",D1208="INVICTUS STONE COUNTERTOPS INC",D1208="QUARTZTOP LLC"),VLOOKUP(H1208,'[2] Giá ngoài Mỹ - SI-GR'!$B$5:$AZ$84,51,0),IF(OR(D1208="HYUNDAI L&amp;C CANADA INC",D1208="Hyundai L&amp; C USA LLC"),VLOOKUP(H1208,'[2]GIA HS'!A:D,4,0),IF(Y1208="Mỹ",VLOOKUP(H1208,'[2]giá mỹ từ 6.8.2025'!B:I,2,0),VLOOKUP(H1208,'[2]giá ngoài mỹ 6.8.2025 (final)'!B:BP,51,0)))))</f>
        <v>62</v>
      </c>
      <c r="L1208" s="106">
        <v>131</v>
      </c>
      <c r="M1208" s="106">
        <f t="shared" si="72"/>
        <v>69</v>
      </c>
      <c r="N1208" s="106">
        <v>131</v>
      </c>
      <c r="O1208" s="107">
        <v>78.599999999999994</v>
      </c>
      <c r="P1208" s="107">
        <v>25870</v>
      </c>
      <c r="Q1208" s="107">
        <v>2033382</v>
      </c>
      <c r="R1208" s="102"/>
      <c r="S1208" s="108"/>
      <c r="T1208" s="109" t="s">
        <v>30</v>
      </c>
      <c r="U1208" s="109"/>
      <c r="V1208" s="102"/>
      <c r="W1208" s="109"/>
      <c r="X1208" s="109"/>
      <c r="Y1208" s="110" t="s">
        <v>803</v>
      </c>
      <c r="Z1208" s="111" t="str">
        <f>MID(E1208,4,2)</f>
        <v>CA</v>
      </c>
    </row>
    <row r="1209" spans="1:26" s="111" customFormat="1" x14ac:dyDescent="0.2">
      <c r="A1209" s="101">
        <v>46251</v>
      </c>
      <c r="B1209" s="91" t="s">
        <v>1462</v>
      </c>
      <c r="C1209" s="102" t="s">
        <v>1463</v>
      </c>
      <c r="D1209" s="103" t="s">
        <v>26</v>
      </c>
      <c r="E1209" s="91" t="s">
        <v>1464</v>
      </c>
      <c r="F1209" s="91" t="s">
        <v>649</v>
      </c>
      <c r="G1209" s="91" t="s">
        <v>650</v>
      </c>
      <c r="H1209" s="104" t="str">
        <f t="shared" si="73"/>
        <v>F5113J20</v>
      </c>
      <c r="I1209" s="104"/>
      <c r="J1209" s="105">
        <v>0.44</v>
      </c>
      <c r="K1209" s="106">
        <f>IF(D1209="CAESARSTONE LTD",VLOOKUP(H1209,'[2]GIA CA'!G:H,2,0),IF(OR(D1209="STONE FACINGS LIMITED",D1209="NORDIA SA",D1209="INVICTUS STONE COUNTERTOPS INC",D1209="QUARTZTOP LLC"),VLOOKUP(H1209,'[2] Giá ngoài Mỹ - SI-GR'!$B$5:$AZ$84,51,0),IF(OR(D1209="HYUNDAI L&amp;C CANADA INC",D1209="Hyundai L&amp; C USA LLC"),VLOOKUP(H1209,'[2]GIA HS'!A:D,4,0),IF(Y1209="Mỹ",VLOOKUP(H1209,'[2]giá mỹ từ 6.8.2025'!B:I,2,0),VLOOKUP(H1209,'[2]giá ngoài mỹ 6.8.2025 (final)'!B:BP,51,0)))))</f>
        <v>62</v>
      </c>
      <c r="L1209" s="106">
        <v>131.25</v>
      </c>
      <c r="M1209" s="106">
        <f t="shared" si="72"/>
        <v>69.25</v>
      </c>
      <c r="N1209" s="106">
        <v>131.25</v>
      </c>
      <c r="O1209" s="107">
        <v>57.75</v>
      </c>
      <c r="P1209" s="107">
        <v>25870</v>
      </c>
      <c r="Q1209" s="107">
        <v>1493993</v>
      </c>
      <c r="R1209" s="102"/>
      <c r="S1209" s="108"/>
      <c r="T1209" s="109" t="s">
        <v>30</v>
      </c>
      <c r="U1209" s="109"/>
      <c r="V1209" s="102"/>
      <c r="W1209" s="109"/>
      <c r="X1209" s="109"/>
      <c r="Y1209" s="110" t="s">
        <v>803</v>
      </c>
      <c r="Z1209" s="111" t="str">
        <f>MID(E1209,4,2)</f>
        <v>CA</v>
      </c>
    </row>
    <row r="1210" spans="1:26" s="111" customFormat="1" x14ac:dyDescent="0.2">
      <c r="A1210" s="101">
        <v>46251</v>
      </c>
      <c r="B1210" s="91" t="s">
        <v>1462</v>
      </c>
      <c r="C1210" s="102" t="s">
        <v>1463</v>
      </c>
      <c r="D1210" s="103" t="s">
        <v>26</v>
      </c>
      <c r="E1210" s="91" t="s">
        <v>1464</v>
      </c>
      <c r="F1210" s="91" t="s">
        <v>1475</v>
      </c>
      <c r="G1210" s="91" t="s">
        <v>1476</v>
      </c>
      <c r="H1210" s="104" t="str">
        <f t="shared" si="73"/>
        <v>F5132J20</v>
      </c>
      <c r="I1210" s="104"/>
      <c r="J1210" s="105">
        <v>0.96</v>
      </c>
      <c r="K1210" s="106">
        <f>IF(D1210="CAESARSTONE LTD",VLOOKUP(H1210,'[2]GIA CA'!G:H,2,0),IF(OR(D1210="STONE FACINGS LIMITED",D1210="NORDIA SA",D1210="INVICTUS STONE COUNTERTOPS INC",D1210="QUARTZTOP LLC"),VLOOKUP(H1210,'[2] Giá ngoài Mỹ - SI-GR'!$B$5:$AZ$84,51,0),IF(OR(D1210="HYUNDAI L&amp;C CANADA INC",D1210="Hyundai L&amp; C USA LLC"),VLOOKUP(H1210,'[2]GIA HS'!A:D,4,0),IF(Y1210="Mỹ",VLOOKUP(H1210,'[2]giá mỹ từ 6.8.2025'!B:I,2,0),VLOOKUP(H1210,'[2]giá ngoài mỹ 6.8.2025 (final)'!B:BP,51,0)))))</f>
        <v>62</v>
      </c>
      <c r="L1210" s="106">
        <v>130.16</v>
      </c>
      <c r="M1210" s="106">
        <f t="shared" si="72"/>
        <v>68.16</v>
      </c>
      <c r="N1210" s="106">
        <v>130.16</v>
      </c>
      <c r="O1210" s="107">
        <v>124.95</v>
      </c>
      <c r="P1210" s="107">
        <v>25870</v>
      </c>
      <c r="Q1210" s="107">
        <v>3232457</v>
      </c>
      <c r="R1210" s="102"/>
      <c r="S1210" s="108"/>
      <c r="T1210" s="109" t="s">
        <v>30</v>
      </c>
      <c r="U1210" s="109"/>
      <c r="V1210" s="102"/>
      <c r="W1210" s="109"/>
      <c r="X1210" s="109"/>
      <c r="Y1210" s="110" t="s">
        <v>803</v>
      </c>
      <c r="Z1210" s="111" t="str">
        <f>MID(E1210,4,2)</f>
        <v>CA</v>
      </c>
    </row>
    <row r="1211" spans="1:26" s="111" customFormat="1" x14ac:dyDescent="0.2">
      <c r="A1211" s="101">
        <v>46251</v>
      </c>
      <c r="B1211" s="91" t="s">
        <v>1462</v>
      </c>
      <c r="C1211" s="102" t="s">
        <v>1463</v>
      </c>
      <c r="D1211" s="103" t="s">
        <v>26</v>
      </c>
      <c r="E1211" s="91" t="s">
        <v>1464</v>
      </c>
      <c r="F1211" s="91" t="s">
        <v>560</v>
      </c>
      <c r="G1211" s="91" t="s">
        <v>561</v>
      </c>
      <c r="H1211" s="104" t="str">
        <f t="shared" si="73"/>
        <v>F5151J20</v>
      </c>
      <c r="I1211" s="104"/>
      <c r="J1211" s="105">
        <v>0.28999999999999998</v>
      </c>
      <c r="K1211" s="106">
        <f>IF(D1211="CAESARSTONE LTD",VLOOKUP(H1211,'[2]GIA CA'!G:H,2,0),IF(OR(D1211="STONE FACINGS LIMITED",D1211="NORDIA SA",D1211="INVICTUS STONE COUNTERTOPS INC",D1211="QUARTZTOP LLC"),VLOOKUP(H1211,'[2] Giá ngoài Mỹ - SI-GR'!$B$5:$AZ$84,51,0),IF(OR(D1211="HYUNDAI L&amp;C CANADA INC",D1211="Hyundai L&amp; C USA LLC"),VLOOKUP(H1211,'[2]GIA HS'!A:D,4,0),IF(Y1211="Mỹ",VLOOKUP(H1211,'[2]giá mỹ từ 6.8.2025'!B:I,2,0),VLOOKUP(H1211,'[2]giá ngoài mỹ 6.8.2025 (final)'!B:BP,51,0)))))</f>
        <v>68</v>
      </c>
      <c r="L1211" s="106">
        <v>132.76</v>
      </c>
      <c r="M1211" s="106">
        <f t="shared" si="72"/>
        <v>64.759999999999991</v>
      </c>
      <c r="N1211" s="106">
        <v>132.76</v>
      </c>
      <c r="O1211" s="107">
        <v>38.5</v>
      </c>
      <c r="P1211" s="107">
        <v>25870</v>
      </c>
      <c r="Q1211" s="107">
        <v>995995</v>
      </c>
      <c r="R1211" s="102"/>
      <c r="S1211" s="108"/>
      <c r="T1211" s="109" t="s">
        <v>30</v>
      </c>
      <c r="U1211" s="109"/>
      <c r="V1211" s="102"/>
      <c r="W1211" s="109"/>
      <c r="X1211" s="109"/>
      <c r="Y1211" s="110" t="s">
        <v>803</v>
      </c>
      <c r="Z1211" s="111" t="str">
        <f>MID(E1211,4,2)</f>
        <v>CA</v>
      </c>
    </row>
    <row r="1212" spans="1:26" s="111" customFormat="1" x14ac:dyDescent="0.2">
      <c r="A1212" s="101">
        <v>46251</v>
      </c>
      <c r="B1212" s="91" t="s">
        <v>1462</v>
      </c>
      <c r="C1212" s="102" t="s">
        <v>1463</v>
      </c>
      <c r="D1212" s="103" t="s">
        <v>26</v>
      </c>
      <c r="E1212" s="91" t="s">
        <v>1464</v>
      </c>
      <c r="F1212" s="91" t="s">
        <v>318</v>
      </c>
      <c r="G1212" s="91" t="s">
        <v>319</v>
      </c>
      <c r="H1212" s="104" t="str">
        <f t="shared" si="73"/>
        <v>F8251J20</v>
      </c>
      <c r="I1212" s="104"/>
      <c r="J1212" s="105">
        <v>1.25</v>
      </c>
      <c r="K1212" s="106">
        <f>IF(D1212="CAESARSTONE LTD",VLOOKUP(H1212,'[2]GIA CA'!G:H,2,0),IF(OR(D1212="STONE FACINGS LIMITED",D1212="NORDIA SA",D1212="INVICTUS STONE COUNTERTOPS INC",D1212="QUARTZTOP LLC"),VLOOKUP(H1212,'[2] Giá ngoài Mỹ - SI-GR'!$B$5:$AZ$84,51,0),IF(OR(D1212="HYUNDAI L&amp;C CANADA INC",D1212="Hyundai L&amp; C USA LLC"),VLOOKUP(H1212,'[2]GIA HS'!A:D,4,0),IF(Y1212="Mỹ",VLOOKUP(H1212,'[2]giá mỹ từ 6.8.2025'!B:I,2,0),VLOOKUP(H1212,'[2]giá ngoài mỹ 6.8.2025 (final)'!B:BP,51,0)))))</f>
        <v>74</v>
      </c>
      <c r="L1212" s="106">
        <v>94.72</v>
      </c>
      <c r="M1212" s="106">
        <f t="shared" si="72"/>
        <v>20.72</v>
      </c>
      <c r="N1212" s="106">
        <v>94.72</v>
      </c>
      <c r="O1212" s="107">
        <v>118.4</v>
      </c>
      <c r="P1212" s="107">
        <v>25870</v>
      </c>
      <c r="Q1212" s="107">
        <v>3063008</v>
      </c>
      <c r="R1212" s="102"/>
      <c r="S1212" s="108"/>
      <c r="T1212" s="109" t="s">
        <v>30</v>
      </c>
      <c r="U1212" s="109"/>
      <c r="V1212" s="102"/>
      <c r="W1212" s="109"/>
      <c r="X1212" s="109"/>
      <c r="Y1212" s="110" t="s">
        <v>803</v>
      </c>
      <c r="Z1212" s="111" t="str">
        <f>MID(E1212,4,2)</f>
        <v>CA</v>
      </c>
    </row>
    <row r="1213" spans="1:26" s="111" customFormat="1" x14ac:dyDescent="0.2">
      <c r="A1213" s="101">
        <v>46251</v>
      </c>
      <c r="B1213" s="91" t="s">
        <v>1462</v>
      </c>
      <c r="C1213" s="102" t="s">
        <v>1463</v>
      </c>
      <c r="D1213" s="103" t="s">
        <v>26</v>
      </c>
      <c r="E1213" s="91" t="s">
        <v>1464</v>
      </c>
      <c r="F1213" s="91" t="s">
        <v>895</v>
      </c>
      <c r="G1213" s="91" t="s">
        <v>896</v>
      </c>
      <c r="H1213" s="104" t="str">
        <f t="shared" si="73"/>
        <v>C4143J30</v>
      </c>
      <c r="I1213" s="104"/>
      <c r="J1213" s="105">
        <v>304.93</v>
      </c>
      <c r="K1213" s="106">
        <f>IF(D1213="CAESARSTONE LTD",VLOOKUP(H1213,'[2]GIA CA'!G:H,2,0),IF(OR(D1213="STONE FACINGS LIMITED",D1213="NORDIA SA",D1213="INVICTUS STONE COUNTERTOPS INC",D1213="QUARTZTOP LLC"),VLOOKUP(H1213,'[2] Giá ngoài Mỹ - SI-GR'!$B$5:$AZ$84,51,0),IF(OR(D1213="HYUNDAI L&amp;C CANADA INC",D1213="Hyundai L&amp; C USA LLC"),VLOOKUP(H1213,'[2]GIA HS'!A:D,4,0),IF(Y1213="Mỹ",VLOOKUP(H1213,'[2]giá mỹ từ 6.8.2025'!B:I,2,0),VLOOKUP(H1213,'[2]giá ngoài mỹ 6.8.2025 (final)'!B:BP,51,0)))))</f>
        <v>71.3</v>
      </c>
      <c r="L1213" s="106">
        <v>74.8</v>
      </c>
      <c r="M1213" s="106">
        <f t="shared" si="72"/>
        <v>3.5</v>
      </c>
      <c r="N1213" s="106">
        <v>74.8</v>
      </c>
      <c r="O1213" s="107">
        <v>22808.240000000002</v>
      </c>
      <c r="P1213" s="107">
        <v>25870</v>
      </c>
      <c r="Q1213" s="107">
        <v>590049169</v>
      </c>
      <c r="R1213" s="102" t="s">
        <v>30</v>
      </c>
      <c r="S1213" s="108"/>
      <c r="T1213" s="109"/>
      <c r="U1213" s="109"/>
      <c r="V1213" s="102"/>
      <c r="W1213" s="109"/>
      <c r="X1213" s="109"/>
      <c r="Y1213" s="110" t="s">
        <v>803</v>
      </c>
      <c r="Z1213" s="111" t="str">
        <f>MID(E1213,4,2)</f>
        <v>CA</v>
      </c>
    </row>
    <row r="1214" spans="1:26" s="111" customFormat="1" x14ac:dyDescent="0.2">
      <c r="A1214" s="101">
        <v>46251</v>
      </c>
      <c r="B1214" s="91" t="s">
        <v>1477</v>
      </c>
      <c r="C1214" s="102" t="s">
        <v>1478</v>
      </c>
      <c r="D1214" s="103" t="s">
        <v>26</v>
      </c>
      <c r="E1214" s="91" t="s">
        <v>1479</v>
      </c>
      <c r="F1214" s="91" t="s">
        <v>1480</v>
      </c>
      <c r="G1214" s="91" t="s">
        <v>1481</v>
      </c>
      <c r="H1214" s="104" t="str">
        <f t="shared" si="73"/>
        <v>C2104J20</v>
      </c>
      <c r="I1214" s="104"/>
      <c r="J1214" s="105">
        <v>0.4</v>
      </c>
      <c r="K1214" s="106">
        <f>IF(D1214="CAESARSTONE LTD",VLOOKUP(H1214,'[2]GIA CA'!G:H,2,0),IF(OR(D1214="STONE FACINGS LIMITED",D1214="NORDIA SA",D1214="INVICTUS STONE COUNTERTOPS INC",D1214="QUARTZTOP LLC"),VLOOKUP(H1214,'[2] Giá ngoài Mỹ - SI-GR'!$B$5:$AZ$84,51,0),IF(OR(D1214="HYUNDAI L&amp;C CANADA INC",D1214="Hyundai L&amp; C USA LLC"),VLOOKUP(H1214,'[2]GIA HS'!A:D,4,0),IF(Y1214="Mỹ",VLOOKUP(H1214,'[2]giá mỹ từ 6.8.2025'!B:I,2,0),VLOOKUP(H1214,'[2]giá ngoài mỹ 6.8.2025 (final)'!B:BP,51,0)))))</f>
        <v>55.099999999999994</v>
      </c>
      <c r="L1214" s="106">
        <v>96</v>
      </c>
      <c r="M1214" s="106">
        <f t="shared" si="72"/>
        <v>40.900000000000006</v>
      </c>
      <c r="N1214" s="106">
        <v>96</v>
      </c>
      <c r="O1214" s="107">
        <v>38.4</v>
      </c>
      <c r="P1214" s="107">
        <v>25870</v>
      </c>
      <c r="Q1214" s="107">
        <v>993408</v>
      </c>
      <c r="R1214" s="102"/>
      <c r="S1214" s="108"/>
      <c r="T1214" s="109" t="s">
        <v>30</v>
      </c>
      <c r="U1214" s="109"/>
      <c r="V1214" s="102"/>
      <c r="W1214" s="109"/>
      <c r="X1214" s="109"/>
      <c r="Y1214" s="110" t="s">
        <v>803</v>
      </c>
      <c r="Z1214" s="111" t="str">
        <f>MID(E1214,4,2)</f>
        <v>CA</v>
      </c>
    </row>
    <row r="1215" spans="1:26" s="111" customFormat="1" x14ac:dyDescent="0.2">
      <c r="A1215" s="101">
        <v>46251</v>
      </c>
      <c r="B1215" s="91" t="s">
        <v>1477</v>
      </c>
      <c r="C1215" s="102" t="s">
        <v>1478</v>
      </c>
      <c r="D1215" s="103" t="s">
        <v>26</v>
      </c>
      <c r="E1215" s="91" t="s">
        <v>1479</v>
      </c>
      <c r="F1215" s="91" t="s">
        <v>1482</v>
      </c>
      <c r="G1215" s="91" t="s">
        <v>1483</v>
      </c>
      <c r="H1215" s="104" t="str">
        <f t="shared" si="73"/>
        <v>C4204J20</v>
      </c>
      <c r="I1215" s="104"/>
      <c r="J1215" s="105">
        <v>0.2</v>
      </c>
      <c r="K1215" s="106">
        <f>IF(D1215="CAESARSTONE LTD",VLOOKUP(H1215,'[2]GIA CA'!G:H,2,0),IF(OR(D1215="STONE FACINGS LIMITED",D1215="NORDIA SA",D1215="INVICTUS STONE COUNTERTOPS INC",D1215="QUARTZTOP LLC"),VLOOKUP(H1215,'[2] Giá ngoài Mỹ - SI-GR'!$B$5:$AZ$84,51,0),IF(OR(D1215="HYUNDAI L&amp;C CANADA INC",D1215="Hyundai L&amp; C USA LLC"),VLOOKUP(H1215,'[2]GIA HS'!A:D,4,0),IF(Y1215="Mỹ",VLOOKUP(H1215,'[2]giá mỹ từ 6.8.2025'!B:I,2,0),VLOOKUP(H1215,'[2]giá ngoài mỹ 6.8.2025 (final)'!B:BP,51,0)))))</f>
        <v>59</v>
      </c>
      <c r="L1215" s="106">
        <v>131</v>
      </c>
      <c r="M1215" s="106">
        <f t="shared" si="72"/>
        <v>72</v>
      </c>
      <c r="N1215" s="106">
        <v>131</v>
      </c>
      <c r="O1215" s="107">
        <v>26.2</v>
      </c>
      <c r="P1215" s="107">
        <v>25870</v>
      </c>
      <c r="Q1215" s="107">
        <v>677794</v>
      </c>
      <c r="R1215" s="102"/>
      <c r="S1215" s="108"/>
      <c r="T1215" s="109" t="s">
        <v>30</v>
      </c>
      <c r="U1215" s="109"/>
      <c r="V1215" s="102"/>
      <c r="W1215" s="109"/>
      <c r="X1215" s="109"/>
      <c r="Y1215" s="110" t="s">
        <v>803</v>
      </c>
      <c r="Z1215" s="111" t="str">
        <f>MID(E1215,4,2)</f>
        <v>CA</v>
      </c>
    </row>
    <row r="1216" spans="1:26" s="111" customFormat="1" x14ac:dyDescent="0.2">
      <c r="A1216" s="101">
        <v>46251</v>
      </c>
      <c r="B1216" s="91" t="s">
        <v>1477</v>
      </c>
      <c r="C1216" s="102" t="s">
        <v>1478</v>
      </c>
      <c r="D1216" s="103" t="s">
        <v>26</v>
      </c>
      <c r="E1216" s="91" t="s">
        <v>1479</v>
      </c>
      <c r="F1216" s="91" t="s">
        <v>947</v>
      </c>
      <c r="G1216" s="91" t="s">
        <v>948</v>
      </c>
      <c r="H1216" s="104" t="str">
        <f t="shared" si="73"/>
        <v>C5111J20</v>
      </c>
      <c r="I1216" s="104"/>
      <c r="J1216" s="105">
        <v>1.25</v>
      </c>
      <c r="K1216" s="106">
        <f>IF(D1216="CAESARSTONE LTD",VLOOKUP(H1216,'[2]GIA CA'!G:H,2,0),IF(OR(D1216="STONE FACINGS LIMITED",D1216="NORDIA SA",D1216="INVICTUS STONE COUNTERTOPS INC",D1216="QUARTZTOP LLC"),VLOOKUP(H1216,'[2] Giá ngoài Mỹ - SI-GR'!$B$5:$AZ$84,51,0),IF(OR(D1216="HYUNDAI L&amp;C CANADA INC",D1216="Hyundai L&amp; C USA LLC"),VLOOKUP(H1216,'[2]GIA HS'!A:D,4,0),IF(Y1216="Mỹ",VLOOKUP(H1216,'[2]giá mỹ từ 6.8.2025'!B:I,2,0),VLOOKUP(H1216,'[2]giá ngoài mỹ 6.8.2025 (final)'!B:BP,51,0)))))</f>
        <v>55</v>
      </c>
      <c r="L1216" s="106">
        <v>119.36</v>
      </c>
      <c r="M1216" s="106">
        <f t="shared" si="72"/>
        <v>64.36</v>
      </c>
      <c r="N1216" s="106">
        <v>119.36</v>
      </c>
      <c r="O1216" s="107">
        <v>149.19999999999999</v>
      </c>
      <c r="P1216" s="107">
        <v>25870</v>
      </c>
      <c r="Q1216" s="107">
        <v>3859804</v>
      </c>
      <c r="R1216" s="102"/>
      <c r="S1216" s="108"/>
      <c r="T1216" s="109" t="s">
        <v>30</v>
      </c>
      <c r="U1216" s="109"/>
      <c r="V1216" s="102"/>
      <c r="W1216" s="109"/>
      <c r="X1216" s="109"/>
      <c r="Y1216" s="110" t="s">
        <v>803</v>
      </c>
      <c r="Z1216" s="111" t="str">
        <f>MID(E1216,4,2)</f>
        <v>CA</v>
      </c>
    </row>
    <row r="1217" spans="1:26" s="111" customFormat="1" x14ac:dyDescent="0.2">
      <c r="A1217" s="101">
        <v>46251</v>
      </c>
      <c r="B1217" s="91" t="s">
        <v>1477</v>
      </c>
      <c r="C1217" s="102" t="s">
        <v>1478</v>
      </c>
      <c r="D1217" s="103" t="s">
        <v>26</v>
      </c>
      <c r="E1217" s="91" t="s">
        <v>1479</v>
      </c>
      <c r="F1217" s="91" t="s">
        <v>1322</v>
      </c>
      <c r="G1217" s="91" t="s">
        <v>1323</v>
      </c>
      <c r="H1217" s="104" t="str">
        <f t="shared" si="73"/>
        <v>C5116J20</v>
      </c>
      <c r="I1217" s="104"/>
      <c r="J1217" s="105">
        <v>1.56</v>
      </c>
      <c r="K1217" s="106">
        <f>IF(D1217="CAESARSTONE LTD",VLOOKUP(H1217,'[2]GIA CA'!G:H,2,0),IF(OR(D1217="STONE FACINGS LIMITED",D1217="NORDIA SA",D1217="INVICTUS STONE COUNTERTOPS INC",D1217="QUARTZTOP LLC"),VLOOKUP(H1217,'[2] Giá ngoài Mỹ - SI-GR'!$B$5:$AZ$84,51,0),IF(OR(D1217="HYUNDAI L&amp;C CANADA INC",D1217="Hyundai L&amp; C USA LLC"),VLOOKUP(H1217,'[2]GIA HS'!A:D,4,0),IF(Y1217="Mỹ",VLOOKUP(H1217,'[2]giá mỹ từ 6.8.2025'!B:I,2,0),VLOOKUP(H1217,'[2]giá ngoài mỹ 6.8.2025 (final)'!B:BP,51,0)))))</f>
        <v>65</v>
      </c>
      <c r="L1217" s="106">
        <v>129.49</v>
      </c>
      <c r="M1217" s="106">
        <f t="shared" si="72"/>
        <v>64.490000000000009</v>
      </c>
      <c r="N1217" s="106">
        <v>129.49</v>
      </c>
      <c r="O1217" s="107">
        <v>202</v>
      </c>
      <c r="P1217" s="107">
        <v>25870</v>
      </c>
      <c r="Q1217" s="107">
        <v>5225740</v>
      </c>
      <c r="R1217" s="102"/>
      <c r="S1217" s="108"/>
      <c r="T1217" s="109" t="s">
        <v>30</v>
      </c>
      <c r="U1217" s="109"/>
      <c r="V1217" s="102"/>
      <c r="W1217" s="109"/>
      <c r="X1217" s="109"/>
      <c r="Y1217" s="110" t="s">
        <v>803</v>
      </c>
      <c r="Z1217" s="111" t="str">
        <f>MID(E1217,4,2)</f>
        <v>CA</v>
      </c>
    </row>
    <row r="1218" spans="1:26" s="111" customFormat="1" x14ac:dyDescent="0.2">
      <c r="A1218" s="101">
        <v>46251</v>
      </c>
      <c r="B1218" s="91" t="s">
        <v>1477</v>
      </c>
      <c r="C1218" s="102" t="s">
        <v>1478</v>
      </c>
      <c r="D1218" s="103" t="s">
        <v>26</v>
      </c>
      <c r="E1218" s="91" t="s">
        <v>1479</v>
      </c>
      <c r="F1218" s="91" t="s">
        <v>1484</v>
      </c>
      <c r="G1218" s="91" t="s">
        <v>1485</v>
      </c>
      <c r="H1218" s="104" t="str">
        <f t="shared" si="73"/>
        <v>C5116J20</v>
      </c>
      <c r="I1218" s="104"/>
      <c r="J1218" s="105">
        <v>0.6</v>
      </c>
      <c r="K1218" s="106">
        <f>IF(D1218="CAESARSTONE LTD",VLOOKUP(H1218,'[2]GIA CA'!G:H,2,0),IF(OR(D1218="STONE FACINGS LIMITED",D1218="NORDIA SA",D1218="INVICTUS STONE COUNTERTOPS INC",D1218="QUARTZTOP LLC"),VLOOKUP(H1218,'[2] Giá ngoài Mỹ - SI-GR'!$B$5:$AZ$84,51,0),IF(OR(D1218="HYUNDAI L&amp;C CANADA INC",D1218="Hyundai L&amp; C USA LLC"),VLOOKUP(H1218,'[2]GIA HS'!A:D,4,0),IF(Y1218="Mỹ",VLOOKUP(H1218,'[2]giá mỹ từ 6.8.2025'!B:I,2,0),VLOOKUP(H1218,'[2]giá ngoài mỹ 6.8.2025 (final)'!B:BP,51,0)))))</f>
        <v>65</v>
      </c>
      <c r="L1218" s="106">
        <v>131</v>
      </c>
      <c r="M1218" s="106">
        <f t="shared" si="72"/>
        <v>66</v>
      </c>
      <c r="N1218" s="106">
        <v>131</v>
      </c>
      <c r="O1218" s="107">
        <v>78.599999999999994</v>
      </c>
      <c r="P1218" s="107">
        <v>25870</v>
      </c>
      <c r="Q1218" s="107">
        <v>2033382</v>
      </c>
      <c r="R1218" s="102"/>
      <c r="S1218" s="108"/>
      <c r="T1218" s="109" t="s">
        <v>30</v>
      </c>
      <c r="U1218" s="109"/>
      <c r="V1218" s="102"/>
      <c r="W1218" s="109"/>
      <c r="X1218" s="109"/>
      <c r="Y1218" s="110" t="s">
        <v>803</v>
      </c>
      <c r="Z1218" s="111" t="str">
        <f>MID(E1218,4,2)</f>
        <v>CA</v>
      </c>
    </row>
    <row r="1219" spans="1:26" s="111" customFormat="1" x14ac:dyDescent="0.2">
      <c r="A1219" s="101">
        <v>46251</v>
      </c>
      <c r="B1219" s="91" t="s">
        <v>1477</v>
      </c>
      <c r="C1219" s="102" t="s">
        <v>1478</v>
      </c>
      <c r="D1219" s="103" t="s">
        <v>26</v>
      </c>
      <c r="E1219" s="91" t="s">
        <v>1479</v>
      </c>
      <c r="F1219" s="91" t="s">
        <v>1486</v>
      </c>
      <c r="G1219" s="91" t="s">
        <v>1487</v>
      </c>
      <c r="H1219" s="104" t="str">
        <f t="shared" si="73"/>
        <v>C6046J20</v>
      </c>
      <c r="I1219" s="104"/>
      <c r="J1219" s="105">
        <v>0.2</v>
      </c>
      <c r="K1219" s="106">
        <f>IF(D1219="CAESARSTONE LTD",VLOOKUP(H1219,'[2]GIA CA'!G:H,2,0),IF(OR(D1219="STONE FACINGS LIMITED",D1219="NORDIA SA",D1219="INVICTUS STONE COUNTERTOPS INC",D1219="QUARTZTOP LLC"),VLOOKUP(H1219,'[2] Giá ngoài Mỹ - SI-GR'!$B$5:$AZ$84,51,0),IF(OR(D1219="HYUNDAI L&amp;C CANADA INC",D1219="Hyundai L&amp; C USA LLC"),VLOOKUP(H1219,'[2]GIA HS'!A:D,4,0),IF(Y1219="Mỹ",VLOOKUP(H1219,'[2]giá mỹ từ 6.8.2025'!B:I,2,0),VLOOKUP(H1219,'[2]giá ngoài mỹ 6.8.2025 (final)'!B:BP,51,0)))))</f>
        <v>59</v>
      </c>
      <c r="L1219" s="106">
        <v>96</v>
      </c>
      <c r="M1219" s="106">
        <f t="shared" si="72"/>
        <v>37</v>
      </c>
      <c r="N1219" s="106">
        <v>96</v>
      </c>
      <c r="O1219" s="107">
        <v>19.2</v>
      </c>
      <c r="P1219" s="107">
        <v>25870</v>
      </c>
      <c r="Q1219" s="107">
        <v>496704</v>
      </c>
      <c r="R1219" s="102"/>
      <c r="S1219" s="108"/>
      <c r="T1219" s="109" t="s">
        <v>30</v>
      </c>
      <c r="U1219" s="109"/>
      <c r="V1219" s="102"/>
      <c r="W1219" s="109"/>
      <c r="X1219" s="109"/>
      <c r="Y1219" s="110" t="s">
        <v>803</v>
      </c>
      <c r="Z1219" s="111" t="str">
        <f>MID(E1219,4,2)</f>
        <v>CA</v>
      </c>
    </row>
    <row r="1220" spans="1:26" s="111" customFormat="1" x14ac:dyDescent="0.2">
      <c r="A1220" s="101">
        <v>46251</v>
      </c>
      <c r="B1220" s="91" t="s">
        <v>1477</v>
      </c>
      <c r="C1220" s="102" t="s">
        <v>1478</v>
      </c>
      <c r="D1220" s="103" t="s">
        <v>26</v>
      </c>
      <c r="E1220" s="91" t="s">
        <v>1479</v>
      </c>
      <c r="F1220" s="91" t="s">
        <v>714</v>
      </c>
      <c r="G1220" s="91" t="s">
        <v>715</v>
      </c>
      <c r="H1220" s="104" t="str">
        <f t="shared" si="73"/>
        <v>F4004J20</v>
      </c>
      <c r="I1220" s="104"/>
      <c r="J1220" s="105">
        <v>0.32</v>
      </c>
      <c r="K1220" s="106">
        <f>IF(D1220="CAESARSTONE LTD",VLOOKUP(H1220,'[2]GIA CA'!G:H,2,0),IF(OR(D1220="STONE FACINGS LIMITED",D1220="NORDIA SA",D1220="INVICTUS STONE COUNTERTOPS INC",D1220="QUARTZTOP LLC"),VLOOKUP(H1220,'[2] Giá ngoài Mỹ - SI-GR'!$B$5:$AZ$84,51,0),IF(OR(D1220="HYUNDAI L&amp;C CANADA INC",D1220="Hyundai L&amp; C USA LLC"),VLOOKUP(H1220,'[2]GIA HS'!A:D,4,0),IF(Y1220="Mỹ",VLOOKUP(H1220,'[2]giá mỹ từ 6.8.2025'!B:I,2,0),VLOOKUP(H1220,'[2]giá ngoài mỹ 6.8.2025 (final)'!B:BP,51,0)))))</f>
        <v>58</v>
      </c>
      <c r="L1220" s="106">
        <v>95.16</v>
      </c>
      <c r="M1220" s="106">
        <f t="shared" si="72"/>
        <v>37.159999999999997</v>
      </c>
      <c r="N1220" s="106">
        <v>95.16</v>
      </c>
      <c r="O1220" s="107">
        <v>30.45</v>
      </c>
      <c r="P1220" s="107">
        <v>25870</v>
      </c>
      <c r="Q1220" s="107">
        <v>787742</v>
      </c>
      <c r="R1220" s="102"/>
      <c r="S1220" s="108"/>
      <c r="T1220" s="109" t="s">
        <v>30</v>
      </c>
      <c r="U1220" s="109"/>
      <c r="V1220" s="102"/>
      <c r="W1220" s="109"/>
      <c r="X1220" s="109"/>
      <c r="Y1220" s="110" t="s">
        <v>803</v>
      </c>
      <c r="Z1220" s="111" t="str">
        <f>MID(E1220,4,2)</f>
        <v>CA</v>
      </c>
    </row>
    <row r="1221" spans="1:26" s="111" customFormat="1" x14ac:dyDescent="0.2">
      <c r="A1221" s="101">
        <v>46251</v>
      </c>
      <c r="B1221" s="91" t="s">
        <v>1477</v>
      </c>
      <c r="C1221" s="102" t="s">
        <v>1478</v>
      </c>
      <c r="D1221" s="103" t="s">
        <v>26</v>
      </c>
      <c r="E1221" s="91" t="s">
        <v>1479</v>
      </c>
      <c r="F1221" s="91" t="s">
        <v>1326</v>
      </c>
      <c r="G1221" s="91" t="s">
        <v>1327</v>
      </c>
      <c r="H1221" s="104" t="str">
        <f t="shared" si="73"/>
        <v>F4033J20</v>
      </c>
      <c r="I1221" s="104"/>
      <c r="J1221" s="105">
        <v>0.64</v>
      </c>
      <c r="K1221" s="106">
        <f t="shared" ref="K1221:K1223" si="77">+L1221</f>
        <v>95.16</v>
      </c>
      <c r="L1221" s="106">
        <v>95.16</v>
      </c>
      <c r="M1221" s="106">
        <f t="shared" si="72"/>
        <v>0</v>
      </c>
      <c r="N1221" s="106">
        <v>95.16</v>
      </c>
      <c r="O1221" s="107">
        <v>60.9</v>
      </c>
      <c r="P1221" s="107">
        <v>25870</v>
      </c>
      <c r="Q1221" s="107">
        <v>1575483</v>
      </c>
      <c r="R1221" s="102"/>
      <c r="S1221" s="108"/>
      <c r="T1221" s="109" t="s">
        <v>30</v>
      </c>
      <c r="U1221" s="109"/>
      <c r="V1221" s="102"/>
      <c r="W1221" s="109"/>
      <c r="X1221" s="109"/>
      <c r="Y1221" s="110" t="s">
        <v>803</v>
      </c>
      <c r="Z1221" s="111" t="str">
        <f>MID(E1221,4,2)</f>
        <v>CA</v>
      </c>
    </row>
    <row r="1222" spans="1:26" s="111" customFormat="1" x14ac:dyDescent="0.2">
      <c r="A1222" s="101">
        <v>46251</v>
      </c>
      <c r="B1222" s="91" t="s">
        <v>1477</v>
      </c>
      <c r="C1222" s="102" t="s">
        <v>1478</v>
      </c>
      <c r="D1222" s="103" t="s">
        <v>26</v>
      </c>
      <c r="E1222" s="91" t="s">
        <v>1479</v>
      </c>
      <c r="F1222" s="91" t="s">
        <v>1488</v>
      </c>
      <c r="G1222" s="91" t="s">
        <v>1489</v>
      </c>
      <c r="H1222" s="104" t="str">
        <f t="shared" si="73"/>
        <v>F4044J20</v>
      </c>
      <c r="I1222" s="104"/>
      <c r="J1222" s="105">
        <v>1.25</v>
      </c>
      <c r="K1222" s="106">
        <f t="shared" si="77"/>
        <v>94.72</v>
      </c>
      <c r="L1222" s="106">
        <v>94.72</v>
      </c>
      <c r="M1222" s="106">
        <f t="shared" si="72"/>
        <v>0</v>
      </c>
      <c r="N1222" s="106">
        <v>94.72</v>
      </c>
      <c r="O1222" s="107">
        <v>118.4</v>
      </c>
      <c r="P1222" s="107">
        <v>25870</v>
      </c>
      <c r="Q1222" s="107">
        <v>3063008</v>
      </c>
      <c r="R1222" s="102"/>
      <c r="S1222" s="108"/>
      <c r="T1222" s="109" t="s">
        <v>30</v>
      </c>
      <c r="U1222" s="109"/>
      <c r="V1222" s="102"/>
      <c r="W1222" s="109"/>
      <c r="X1222" s="109"/>
      <c r="Y1222" s="110" t="s">
        <v>803</v>
      </c>
      <c r="Z1222" s="111" t="str">
        <f>MID(E1222,4,2)</f>
        <v>CA</v>
      </c>
    </row>
    <row r="1223" spans="1:26" s="111" customFormat="1" x14ac:dyDescent="0.2">
      <c r="A1223" s="101">
        <v>46251</v>
      </c>
      <c r="B1223" s="91" t="s">
        <v>1477</v>
      </c>
      <c r="C1223" s="102" t="s">
        <v>1478</v>
      </c>
      <c r="D1223" s="103" t="s">
        <v>26</v>
      </c>
      <c r="E1223" s="91" t="s">
        <v>1479</v>
      </c>
      <c r="F1223" s="91" t="s">
        <v>1490</v>
      </c>
      <c r="G1223" s="91" t="s">
        <v>1491</v>
      </c>
      <c r="H1223" s="104" t="str">
        <f t="shared" si="73"/>
        <v>F4044J20</v>
      </c>
      <c r="I1223" s="104"/>
      <c r="J1223" s="105">
        <v>0.6</v>
      </c>
      <c r="K1223" s="106">
        <f t="shared" si="77"/>
        <v>96</v>
      </c>
      <c r="L1223" s="106">
        <v>96</v>
      </c>
      <c r="M1223" s="106">
        <f t="shared" si="72"/>
        <v>0</v>
      </c>
      <c r="N1223" s="106">
        <v>96</v>
      </c>
      <c r="O1223" s="107">
        <v>57.6</v>
      </c>
      <c r="P1223" s="107">
        <v>25870</v>
      </c>
      <c r="Q1223" s="107">
        <v>1490112</v>
      </c>
      <c r="R1223" s="102"/>
      <c r="S1223" s="108"/>
      <c r="T1223" s="109" t="s">
        <v>30</v>
      </c>
      <c r="U1223" s="109"/>
      <c r="V1223" s="102"/>
      <c r="W1223" s="109"/>
      <c r="X1223" s="109"/>
      <c r="Y1223" s="110" t="s">
        <v>803</v>
      </c>
      <c r="Z1223" s="111" t="str">
        <f>MID(E1223,4,2)</f>
        <v>CA</v>
      </c>
    </row>
    <row r="1224" spans="1:26" s="111" customFormat="1" x14ac:dyDescent="0.2">
      <c r="A1224" s="101">
        <v>46251</v>
      </c>
      <c r="B1224" s="91" t="s">
        <v>1477</v>
      </c>
      <c r="C1224" s="102" t="s">
        <v>1478</v>
      </c>
      <c r="D1224" s="103" t="s">
        <v>26</v>
      </c>
      <c r="E1224" s="91" t="s">
        <v>1479</v>
      </c>
      <c r="F1224" s="91" t="s">
        <v>951</v>
      </c>
      <c r="G1224" s="91" t="s">
        <v>952</v>
      </c>
      <c r="H1224" s="104" t="str">
        <f t="shared" si="73"/>
        <v>F5031J20</v>
      </c>
      <c r="I1224" s="104"/>
      <c r="J1224" s="105">
        <v>0.94</v>
      </c>
      <c r="K1224" s="106">
        <f>IF(D1224="CAESARSTONE LTD",VLOOKUP(H1224,'[2]GIA CA'!G:H,2,0),IF(OR(D1224="STONE FACINGS LIMITED",D1224="NORDIA SA",D1224="INVICTUS STONE COUNTERTOPS INC",D1224="QUARTZTOP LLC"),VLOOKUP(H1224,'[2] Giá ngoài Mỹ - SI-GR'!$B$5:$AZ$84,51,0),IF(OR(D1224="HYUNDAI L&amp;C CANADA INC",D1224="Hyundai L&amp; C USA LLC"),VLOOKUP(H1224,'[2]GIA HS'!A:D,4,0),IF(Y1224="Mỹ",VLOOKUP(H1224,'[2]giá mỹ từ 6.8.2025'!B:I,2,0),VLOOKUP(H1224,'[2]giá ngoài mỹ 6.8.2025 (final)'!B:BP,51,0)))))</f>
        <v>60</v>
      </c>
      <c r="L1224" s="106">
        <v>119.04</v>
      </c>
      <c r="M1224" s="106">
        <f t="shared" si="72"/>
        <v>59.040000000000006</v>
      </c>
      <c r="N1224" s="106">
        <v>119.04</v>
      </c>
      <c r="O1224" s="107">
        <v>111.9</v>
      </c>
      <c r="P1224" s="107">
        <v>25870</v>
      </c>
      <c r="Q1224" s="107">
        <v>2894853</v>
      </c>
      <c r="R1224" s="102"/>
      <c r="S1224" s="108"/>
      <c r="T1224" s="109" t="s">
        <v>30</v>
      </c>
      <c r="U1224" s="109"/>
      <c r="V1224" s="102"/>
      <c r="W1224" s="109"/>
      <c r="X1224" s="109"/>
      <c r="Y1224" s="110" t="s">
        <v>803</v>
      </c>
      <c r="Z1224" s="111" t="str">
        <f>MID(E1224,4,2)</f>
        <v>CA</v>
      </c>
    </row>
    <row r="1225" spans="1:26" s="111" customFormat="1" x14ac:dyDescent="0.2">
      <c r="A1225" s="101">
        <v>46251</v>
      </c>
      <c r="B1225" s="91" t="s">
        <v>1477</v>
      </c>
      <c r="C1225" s="102" t="s">
        <v>1478</v>
      </c>
      <c r="D1225" s="103" t="s">
        <v>26</v>
      </c>
      <c r="E1225" s="91" t="s">
        <v>1479</v>
      </c>
      <c r="F1225" s="91" t="s">
        <v>306</v>
      </c>
      <c r="G1225" s="91" t="s">
        <v>307</v>
      </c>
      <c r="H1225" s="104" t="str">
        <f t="shared" si="73"/>
        <v>F5105J20</v>
      </c>
      <c r="I1225" s="104"/>
      <c r="J1225" s="105">
        <v>0.94</v>
      </c>
      <c r="K1225" s="106">
        <f>IF(D1225="CAESARSTONE LTD",VLOOKUP(H1225,'[2]GIA CA'!G:H,2,0),IF(OR(D1225="STONE FACINGS LIMITED",D1225="NORDIA SA",D1225="INVICTUS STONE COUNTERTOPS INC",D1225="QUARTZTOP LLC"),VLOOKUP(H1225,'[2] Giá ngoài Mỹ - SI-GR'!$B$5:$AZ$84,51,0),IF(OR(D1225="HYUNDAI L&amp;C CANADA INC",D1225="Hyundai L&amp; C USA LLC"),VLOOKUP(H1225,'[2]GIA HS'!A:D,4,0),IF(Y1225="Mỹ",VLOOKUP(H1225,'[2]giá mỹ từ 6.8.2025'!B:I,2,0),VLOOKUP(H1225,'[2]giá ngoài mỹ 6.8.2025 (final)'!B:BP,51,0)))))</f>
        <v>68</v>
      </c>
      <c r="L1225" s="106">
        <v>128.94</v>
      </c>
      <c r="M1225" s="106">
        <f t="shared" si="72"/>
        <v>60.94</v>
      </c>
      <c r="N1225" s="106">
        <v>128.94</v>
      </c>
      <c r="O1225" s="107">
        <v>121.2</v>
      </c>
      <c r="P1225" s="107">
        <v>25870</v>
      </c>
      <c r="Q1225" s="107">
        <v>3135444</v>
      </c>
      <c r="R1225" s="102"/>
      <c r="S1225" s="108"/>
      <c r="T1225" s="109" t="s">
        <v>30</v>
      </c>
      <c r="U1225" s="109"/>
      <c r="V1225" s="102"/>
      <c r="W1225" s="109"/>
      <c r="X1225" s="109"/>
      <c r="Y1225" s="110" t="s">
        <v>803</v>
      </c>
      <c r="Z1225" s="111" t="str">
        <f>MID(E1225,4,2)</f>
        <v>CA</v>
      </c>
    </row>
    <row r="1226" spans="1:26" s="111" customFormat="1" x14ac:dyDescent="0.2">
      <c r="A1226" s="101">
        <v>46251</v>
      </c>
      <c r="B1226" s="91" t="s">
        <v>1477</v>
      </c>
      <c r="C1226" s="102" t="s">
        <v>1478</v>
      </c>
      <c r="D1226" s="103" t="s">
        <v>26</v>
      </c>
      <c r="E1226" s="91" t="s">
        <v>1479</v>
      </c>
      <c r="F1226" s="91" t="s">
        <v>875</v>
      </c>
      <c r="G1226" s="91" t="s">
        <v>876</v>
      </c>
      <c r="H1226" s="104" t="str">
        <f t="shared" si="73"/>
        <v>F5113J20</v>
      </c>
      <c r="I1226" s="104"/>
      <c r="J1226" s="105">
        <v>0.32</v>
      </c>
      <c r="K1226" s="106">
        <f>IF(D1226="CAESARSTONE LTD",VLOOKUP(H1226,'[2]GIA CA'!G:H,2,0),IF(OR(D1226="STONE FACINGS LIMITED",D1226="NORDIA SA",D1226="INVICTUS STONE COUNTERTOPS INC",D1226="QUARTZTOP LLC"),VLOOKUP(H1226,'[2] Giá ngoài Mỹ - SI-GR'!$B$5:$AZ$84,51,0),IF(OR(D1226="HYUNDAI L&amp;C CANADA INC",D1226="Hyundai L&amp; C USA LLC"),VLOOKUP(H1226,'[2]GIA HS'!A:D,4,0),IF(Y1226="Mỹ",VLOOKUP(H1226,'[2]giá mỹ từ 6.8.2025'!B:I,2,0),VLOOKUP(H1226,'[2]giá ngoài mỹ 6.8.2025 (final)'!B:BP,51,0)))))</f>
        <v>62</v>
      </c>
      <c r="L1226" s="106">
        <v>130.16</v>
      </c>
      <c r="M1226" s="106">
        <f t="shared" si="72"/>
        <v>68.16</v>
      </c>
      <c r="N1226" s="106">
        <v>130.16</v>
      </c>
      <c r="O1226" s="107">
        <v>41.65</v>
      </c>
      <c r="P1226" s="107">
        <v>25870</v>
      </c>
      <c r="Q1226" s="107">
        <v>1077486</v>
      </c>
      <c r="R1226" s="102"/>
      <c r="S1226" s="108"/>
      <c r="T1226" s="109" t="s">
        <v>30</v>
      </c>
      <c r="U1226" s="109"/>
      <c r="V1226" s="102"/>
      <c r="W1226" s="109"/>
      <c r="X1226" s="109"/>
      <c r="Y1226" s="110" t="s">
        <v>803</v>
      </c>
      <c r="Z1226" s="111" t="str">
        <f>MID(E1226,4,2)</f>
        <v>CA</v>
      </c>
    </row>
    <row r="1227" spans="1:26" s="111" customFormat="1" x14ac:dyDescent="0.2">
      <c r="A1227" s="101">
        <v>46251</v>
      </c>
      <c r="B1227" s="91" t="s">
        <v>1477</v>
      </c>
      <c r="C1227" s="102" t="s">
        <v>1478</v>
      </c>
      <c r="D1227" s="103" t="s">
        <v>26</v>
      </c>
      <c r="E1227" s="91" t="s">
        <v>1479</v>
      </c>
      <c r="F1227" s="91" t="s">
        <v>1328</v>
      </c>
      <c r="G1227" s="91" t="s">
        <v>1329</v>
      </c>
      <c r="H1227" s="104" t="str">
        <f t="shared" si="73"/>
        <v>F5143J20</v>
      </c>
      <c r="I1227" s="104"/>
      <c r="J1227" s="105">
        <v>0.64</v>
      </c>
      <c r="K1227" s="106">
        <f>IF(D1227="CAESARSTONE LTD",VLOOKUP(H1227,'[2]GIA CA'!G:H,2,0),IF(OR(D1227="STONE FACINGS LIMITED",D1227="NORDIA SA",D1227="INVICTUS STONE COUNTERTOPS INC",D1227="QUARTZTOP LLC"),VLOOKUP(H1227,'[2] Giá ngoài Mỹ - SI-GR'!$B$5:$AZ$84,51,0),IF(OR(D1227="HYUNDAI L&amp;C CANADA INC",D1227="Hyundai L&amp; C USA LLC"),VLOOKUP(H1227,'[2]GIA HS'!A:D,4,0),IF(Y1227="Mỹ",VLOOKUP(H1227,'[2]giá mỹ từ 6.8.2025'!B:I,2,0),VLOOKUP(H1227,'[2]giá ngoài mỹ 6.8.2025 (final)'!B:BP,51,0)))))</f>
        <v>62</v>
      </c>
      <c r="L1227" s="106">
        <v>95.16</v>
      </c>
      <c r="M1227" s="106">
        <f t="shared" si="72"/>
        <v>33.159999999999997</v>
      </c>
      <c r="N1227" s="106">
        <v>95.16</v>
      </c>
      <c r="O1227" s="107">
        <v>60.9</v>
      </c>
      <c r="P1227" s="107">
        <v>25870</v>
      </c>
      <c r="Q1227" s="107">
        <v>1575483</v>
      </c>
      <c r="R1227" s="102"/>
      <c r="S1227" s="108"/>
      <c r="T1227" s="109" t="s">
        <v>30</v>
      </c>
      <c r="U1227" s="109"/>
      <c r="V1227" s="102"/>
      <c r="W1227" s="109"/>
      <c r="X1227" s="109"/>
      <c r="Y1227" s="110" t="s">
        <v>803</v>
      </c>
      <c r="Z1227" s="111" t="str">
        <f>MID(E1227,4,2)</f>
        <v>CA</v>
      </c>
    </row>
    <row r="1228" spans="1:26" s="111" customFormat="1" x14ac:dyDescent="0.2">
      <c r="A1228" s="101">
        <v>46251</v>
      </c>
      <c r="B1228" s="91" t="s">
        <v>1477</v>
      </c>
      <c r="C1228" s="102" t="s">
        <v>1478</v>
      </c>
      <c r="D1228" s="103" t="s">
        <v>26</v>
      </c>
      <c r="E1228" s="91" t="s">
        <v>1479</v>
      </c>
      <c r="F1228" s="91" t="s">
        <v>322</v>
      </c>
      <c r="G1228" s="91" t="s">
        <v>323</v>
      </c>
      <c r="H1228" s="104" t="str">
        <f t="shared" si="73"/>
        <v>F8252J20</v>
      </c>
      <c r="I1228" s="104"/>
      <c r="J1228" s="105">
        <v>1.56</v>
      </c>
      <c r="K1228" s="106">
        <f>IF(D1228="CAESARSTONE LTD",VLOOKUP(H1228,'[2]GIA CA'!G:H,2,0),IF(OR(D1228="STONE FACINGS LIMITED",D1228="NORDIA SA",D1228="INVICTUS STONE COUNTERTOPS INC",D1228="QUARTZTOP LLC"),VLOOKUP(H1228,'[2] Giá ngoài Mỹ - SI-GR'!$B$5:$AZ$84,51,0),IF(OR(D1228="HYUNDAI L&amp;C CANADA INC",D1228="Hyundai L&amp; C USA LLC"),VLOOKUP(H1228,'[2]GIA HS'!A:D,4,0),IF(Y1228="Mỹ",VLOOKUP(H1228,'[2]giá mỹ từ 6.8.2025'!B:I,2,0),VLOOKUP(H1228,'[2]giá ngoài mỹ 6.8.2025 (final)'!B:BP,51,0)))))</f>
        <v>68</v>
      </c>
      <c r="L1228" s="106">
        <v>129.49</v>
      </c>
      <c r="M1228" s="106">
        <f t="shared" si="72"/>
        <v>61.490000000000009</v>
      </c>
      <c r="N1228" s="106">
        <v>129.49</v>
      </c>
      <c r="O1228" s="107">
        <v>202</v>
      </c>
      <c r="P1228" s="107">
        <v>25870</v>
      </c>
      <c r="Q1228" s="107">
        <v>5225740</v>
      </c>
      <c r="R1228" s="102"/>
      <c r="S1228" s="108"/>
      <c r="T1228" s="109" t="s">
        <v>30</v>
      </c>
      <c r="U1228" s="109"/>
      <c r="V1228" s="102"/>
      <c r="W1228" s="109"/>
      <c r="X1228" s="109"/>
      <c r="Y1228" s="110" t="s">
        <v>803</v>
      </c>
      <c r="Z1228" s="111" t="str">
        <f>MID(E1228,4,2)</f>
        <v>CA</v>
      </c>
    </row>
    <row r="1229" spans="1:26" s="111" customFormat="1" x14ac:dyDescent="0.2">
      <c r="A1229" s="101">
        <v>46251</v>
      </c>
      <c r="B1229" s="91" t="s">
        <v>1477</v>
      </c>
      <c r="C1229" s="102" t="s">
        <v>1478</v>
      </c>
      <c r="D1229" s="103" t="s">
        <v>26</v>
      </c>
      <c r="E1229" s="91" t="s">
        <v>1479</v>
      </c>
      <c r="F1229" s="91" t="s">
        <v>895</v>
      </c>
      <c r="G1229" s="91" t="s">
        <v>896</v>
      </c>
      <c r="H1229" s="104" t="str">
        <f t="shared" si="73"/>
        <v>C4143J30</v>
      </c>
      <c r="I1229" s="104"/>
      <c r="J1229" s="105">
        <v>266.81</v>
      </c>
      <c r="K1229" s="106">
        <f>IF(D1229="CAESARSTONE LTD",VLOOKUP(H1229,'[2]GIA CA'!G:H,2,0),IF(OR(D1229="STONE FACINGS LIMITED",D1229="NORDIA SA",D1229="INVICTUS STONE COUNTERTOPS INC",D1229="QUARTZTOP LLC"),VLOOKUP(H1229,'[2] Giá ngoài Mỹ - SI-GR'!$B$5:$AZ$84,51,0),IF(OR(D1229="HYUNDAI L&amp;C CANADA INC",D1229="Hyundai L&amp; C USA LLC"),VLOOKUP(H1229,'[2]GIA HS'!A:D,4,0),IF(Y1229="Mỹ",VLOOKUP(H1229,'[2]giá mỹ từ 6.8.2025'!B:I,2,0),VLOOKUP(H1229,'[2]giá ngoài mỹ 6.8.2025 (final)'!B:BP,51,0)))))</f>
        <v>71.3</v>
      </c>
      <c r="L1229" s="106">
        <v>74.8</v>
      </c>
      <c r="M1229" s="106">
        <f t="shared" ref="M1229:M1292" si="78">L1229-K1229</f>
        <v>3.5</v>
      </c>
      <c r="N1229" s="106">
        <v>74.8</v>
      </c>
      <c r="O1229" s="107">
        <v>19957.21</v>
      </c>
      <c r="P1229" s="107">
        <v>25870</v>
      </c>
      <c r="Q1229" s="107">
        <v>516293023</v>
      </c>
      <c r="R1229" s="102" t="s">
        <v>30</v>
      </c>
      <c r="S1229" s="108"/>
      <c r="T1229" s="109"/>
      <c r="U1229" s="109"/>
      <c r="V1229" s="102"/>
      <c r="W1229" s="109"/>
      <c r="X1229" s="109"/>
      <c r="Y1229" s="110" t="s">
        <v>803</v>
      </c>
      <c r="Z1229" s="111" t="str">
        <f>MID(E1229,4,2)</f>
        <v>CA</v>
      </c>
    </row>
    <row r="1230" spans="1:26" s="111" customFormat="1" x14ac:dyDescent="0.2">
      <c r="A1230" s="101">
        <v>46251</v>
      </c>
      <c r="B1230" s="91" t="s">
        <v>1477</v>
      </c>
      <c r="C1230" s="102" t="s">
        <v>1478</v>
      </c>
      <c r="D1230" s="103" t="s">
        <v>26</v>
      </c>
      <c r="E1230" s="91" t="s">
        <v>1479</v>
      </c>
      <c r="F1230" s="91" t="s">
        <v>90</v>
      </c>
      <c r="G1230" s="91" t="s">
        <v>91</v>
      </c>
      <c r="H1230" s="104" t="str">
        <f t="shared" ref="H1230:H1293" si="79">IF(LEN(G1230)=13,LEFT(G1230,5)&amp;MID(G1230,SEARCH("-J",G1230)+1,3),LEFT(G1230,5)&amp;"J20")</f>
        <v>F6131J30</v>
      </c>
      <c r="I1230" s="104"/>
      <c r="J1230" s="105">
        <v>38.119999999999997</v>
      </c>
      <c r="K1230" s="106">
        <f>IF(D1230="CAESARSTONE LTD",VLOOKUP(H1230,'[2]GIA CA'!G:H,2,0),IF(OR(D1230="STONE FACINGS LIMITED",D1230="NORDIA SA",D1230="INVICTUS STONE COUNTERTOPS INC",D1230="QUARTZTOP LLC"),VLOOKUP(H1230,'[2] Giá ngoài Mỹ - SI-GR'!$B$5:$AZ$84,51,0),IF(OR(D1230="HYUNDAI L&amp;C CANADA INC",D1230="Hyundai L&amp; C USA LLC"),VLOOKUP(H1230,'[2]GIA HS'!A:D,4,0),IF(Y1230="Mỹ",VLOOKUP(H1230,'[2]giá mỹ từ 6.8.2025'!B:I,2,0),VLOOKUP(H1230,'[2]giá ngoài mỹ 6.8.2025 (final)'!B:BP,51,0)))))</f>
        <v>77.5</v>
      </c>
      <c r="L1230" s="106">
        <v>81.39</v>
      </c>
      <c r="M1230" s="106">
        <f t="shared" si="78"/>
        <v>3.8900000000000006</v>
      </c>
      <c r="N1230" s="106">
        <v>81.39</v>
      </c>
      <c r="O1230" s="107">
        <v>3102.54</v>
      </c>
      <c r="P1230" s="107">
        <v>25870</v>
      </c>
      <c r="Q1230" s="107">
        <v>80262710</v>
      </c>
      <c r="R1230" s="102" t="s">
        <v>30</v>
      </c>
      <c r="S1230" s="108"/>
      <c r="T1230" s="109"/>
      <c r="U1230" s="109"/>
      <c r="V1230" s="102"/>
      <c r="W1230" s="109"/>
      <c r="X1230" s="109"/>
      <c r="Y1230" s="110" t="s">
        <v>803</v>
      </c>
      <c r="Z1230" s="111" t="str">
        <f>MID(E1230,4,2)</f>
        <v>CA</v>
      </c>
    </row>
    <row r="1231" spans="1:26" s="111" customFormat="1" x14ac:dyDescent="0.2">
      <c r="A1231" s="101">
        <v>46251</v>
      </c>
      <c r="B1231" s="91" t="s">
        <v>1492</v>
      </c>
      <c r="C1231" s="102" t="s">
        <v>1493</v>
      </c>
      <c r="D1231" s="103" t="s">
        <v>26</v>
      </c>
      <c r="E1231" s="91" t="s">
        <v>1494</v>
      </c>
      <c r="F1231" s="91" t="s">
        <v>968</v>
      </c>
      <c r="G1231" s="91" t="s">
        <v>969</v>
      </c>
      <c r="H1231" s="104" t="str">
        <f t="shared" si="79"/>
        <v>M4043J20</v>
      </c>
      <c r="I1231" s="104"/>
      <c r="J1231" s="105">
        <v>0.4</v>
      </c>
      <c r="K1231" s="106">
        <f>L1231</f>
        <v>50</v>
      </c>
      <c r="L1231" s="106">
        <v>50</v>
      </c>
      <c r="M1231" s="106">
        <f t="shared" si="78"/>
        <v>0</v>
      </c>
      <c r="N1231" s="106">
        <v>50</v>
      </c>
      <c r="O1231" s="107">
        <v>20</v>
      </c>
      <c r="P1231" s="107">
        <v>25870</v>
      </c>
      <c r="Q1231" s="107">
        <v>517400</v>
      </c>
      <c r="R1231" s="102"/>
      <c r="S1231" s="108"/>
      <c r="T1231" s="109"/>
      <c r="U1231" s="109"/>
      <c r="V1231" s="102"/>
      <c r="W1231" s="109" t="s">
        <v>30</v>
      </c>
      <c r="X1231" s="109"/>
      <c r="Y1231" s="110" t="s">
        <v>803</v>
      </c>
      <c r="Z1231" s="111" t="str">
        <f>MID(E1231,4,2)</f>
        <v>CA</v>
      </c>
    </row>
    <row r="1232" spans="1:26" s="111" customFormat="1" x14ac:dyDescent="0.2">
      <c r="A1232" s="101">
        <v>46251</v>
      </c>
      <c r="B1232" s="91" t="s">
        <v>1495</v>
      </c>
      <c r="C1232" s="102" t="s">
        <v>1496</v>
      </c>
      <c r="D1232" s="103" t="s">
        <v>26</v>
      </c>
      <c r="E1232" s="91" t="s">
        <v>1497</v>
      </c>
      <c r="F1232" s="91" t="s">
        <v>1259</v>
      </c>
      <c r="G1232" s="91" t="s">
        <v>1260</v>
      </c>
      <c r="H1232" s="104" t="str">
        <f t="shared" si="79"/>
        <v>C4143J20</v>
      </c>
      <c r="I1232" s="104"/>
      <c r="J1232" s="105">
        <v>163.35</v>
      </c>
      <c r="K1232" s="106">
        <f>IF(D1232="CAESARSTONE LTD",VLOOKUP(H1232,'[2]GIA CA'!G:H,2,0),IF(OR(D1232="STONE FACINGS LIMITED",D1232="NORDIA SA",D1232="INVICTUS STONE COUNTERTOPS INC",D1232="QUARTZTOP LLC"),VLOOKUP(H1232,'[2] Giá ngoài Mỹ - SI-GR'!$B$5:$AZ$84,51,0),IF(OR(D1232="HYUNDAI L&amp;C CANADA INC",D1232="Hyundai L&amp; C USA LLC"),VLOOKUP(H1232,'[2]GIA HS'!A:D,4,0),IF(Y1232="Mỹ",VLOOKUP(H1232,'[2]giá mỹ từ 6.8.2025'!B:I,2,0),VLOOKUP(H1232,'[2]giá ngoài mỹ 6.8.2025 (final)'!B:BP,51,0)))))</f>
        <v>57</v>
      </c>
      <c r="L1232" s="106">
        <v>59.9</v>
      </c>
      <c r="M1232" s="106">
        <f t="shared" si="78"/>
        <v>2.8999999999999986</v>
      </c>
      <c r="N1232" s="106">
        <v>59.9</v>
      </c>
      <c r="O1232" s="107">
        <v>9784.7999999999993</v>
      </c>
      <c r="P1232" s="107">
        <v>25870</v>
      </c>
      <c r="Q1232" s="107">
        <v>253132776</v>
      </c>
      <c r="R1232" s="102" t="s">
        <v>30</v>
      </c>
      <c r="S1232" s="108"/>
      <c r="T1232" s="109"/>
      <c r="U1232" s="109"/>
      <c r="V1232" s="102"/>
      <c r="W1232" s="109"/>
      <c r="X1232" s="109"/>
      <c r="Y1232" s="110" t="s">
        <v>803</v>
      </c>
      <c r="Z1232" s="111" t="str">
        <f>MID(E1232,4,2)</f>
        <v>CA</v>
      </c>
    </row>
    <row r="1233" spans="1:26" s="111" customFormat="1" x14ac:dyDescent="0.2">
      <c r="A1233" s="101">
        <v>46251</v>
      </c>
      <c r="B1233" s="91" t="s">
        <v>1495</v>
      </c>
      <c r="C1233" s="102" t="s">
        <v>1496</v>
      </c>
      <c r="D1233" s="103" t="s">
        <v>26</v>
      </c>
      <c r="E1233" s="91" t="s">
        <v>1497</v>
      </c>
      <c r="F1233" s="91" t="s">
        <v>90</v>
      </c>
      <c r="G1233" s="91" t="s">
        <v>91</v>
      </c>
      <c r="H1233" s="104" t="str">
        <f t="shared" si="79"/>
        <v>F6131J30</v>
      </c>
      <c r="I1233" s="104"/>
      <c r="J1233" s="105">
        <v>54.45</v>
      </c>
      <c r="K1233" s="106">
        <f>IF(D1233="CAESARSTONE LTD",VLOOKUP(H1233,'[2]GIA CA'!G:H,2,0),IF(OR(D1233="STONE FACINGS LIMITED",D1233="NORDIA SA",D1233="INVICTUS STONE COUNTERTOPS INC",D1233="QUARTZTOP LLC"),VLOOKUP(H1233,'[2] Giá ngoài Mỹ - SI-GR'!$B$5:$AZ$84,51,0),IF(OR(D1233="HYUNDAI L&amp;C CANADA INC",D1233="Hyundai L&amp; C USA LLC"),VLOOKUP(H1233,'[2]GIA HS'!A:D,4,0),IF(Y1233="Mỹ",VLOOKUP(H1233,'[2]giá mỹ từ 6.8.2025'!B:I,2,0),VLOOKUP(H1233,'[2]giá ngoài mỹ 6.8.2025 (final)'!B:BP,51,0)))))</f>
        <v>77.5</v>
      </c>
      <c r="L1233" s="106">
        <v>81.400000000000006</v>
      </c>
      <c r="M1233" s="106">
        <f t="shared" si="78"/>
        <v>3.9000000000000057</v>
      </c>
      <c r="N1233" s="106">
        <v>81.400000000000006</v>
      </c>
      <c r="O1233" s="107">
        <v>4432.08</v>
      </c>
      <c r="P1233" s="107">
        <v>25870</v>
      </c>
      <c r="Q1233" s="107">
        <v>114657910</v>
      </c>
      <c r="R1233" s="102" t="s">
        <v>30</v>
      </c>
      <c r="S1233" s="108"/>
      <c r="T1233" s="109"/>
      <c r="U1233" s="109"/>
      <c r="V1233" s="102"/>
      <c r="W1233" s="109"/>
      <c r="X1233" s="109"/>
      <c r="Y1233" s="110" t="s">
        <v>803</v>
      </c>
      <c r="Z1233" s="111" t="str">
        <f>MID(E1233,4,2)</f>
        <v>CA</v>
      </c>
    </row>
    <row r="1234" spans="1:26" s="111" customFormat="1" x14ac:dyDescent="0.2">
      <c r="A1234" s="101">
        <v>46251</v>
      </c>
      <c r="B1234" s="91" t="s">
        <v>1495</v>
      </c>
      <c r="C1234" s="102" t="s">
        <v>1496</v>
      </c>
      <c r="D1234" s="103" t="s">
        <v>26</v>
      </c>
      <c r="E1234" s="91" t="s">
        <v>1497</v>
      </c>
      <c r="F1234" s="91" t="s">
        <v>90</v>
      </c>
      <c r="G1234" s="91" t="s">
        <v>91</v>
      </c>
      <c r="H1234" s="104" t="str">
        <f t="shared" si="79"/>
        <v>F6131J30</v>
      </c>
      <c r="I1234" s="104"/>
      <c r="J1234" s="105">
        <v>136.13</v>
      </c>
      <c r="K1234" s="106">
        <f>IF(D1234="CAESARSTONE LTD",VLOOKUP(H1234,'[2]GIA CA'!G:H,2,0),IF(OR(D1234="STONE FACINGS LIMITED",D1234="NORDIA SA",D1234="INVICTUS STONE COUNTERTOPS INC",D1234="QUARTZTOP LLC"),VLOOKUP(H1234,'[2] Giá ngoài Mỹ - SI-GR'!$B$5:$AZ$84,51,0),IF(OR(D1234="HYUNDAI L&amp;C CANADA INC",D1234="Hyundai L&amp; C USA LLC"),VLOOKUP(H1234,'[2]GIA HS'!A:D,4,0),IF(Y1234="Mỹ",VLOOKUP(H1234,'[2]giá mỹ từ 6.8.2025'!B:I,2,0),VLOOKUP(H1234,'[2]giá ngoài mỹ 6.8.2025 (final)'!B:BP,51,0)))))</f>
        <v>77.5</v>
      </c>
      <c r="L1234" s="106">
        <v>81.400000000000006</v>
      </c>
      <c r="M1234" s="106">
        <f t="shared" si="78"/>
        <v>3.9000000000000057</v>
      </c>
      <c r="N1234" s="106">
        <v>81.400000000000006</v>
      </c>
      <c r="O1234" s="107">
        <v>11080.62</v>
      </c>
      <c r="P1234" s="107">
        <v>25870</v>
      </c>
      <c r="Q1234" s="107">
        <v>286655639</v>
      </c>
      <c r="R1234" s="102" t="s">
        <v>30</v>
      </c>
      <c r="S1234" s="108"/>
      <c r="T1234" s="109"/>
      <c r="U1234" s="109"/>
      <c r="V1234" s="102"/>
      <c r="W1234" s="109"/>
      <c r="X1234" s="109"/>
      <c r="Y1234" s="110" t="s">
        <v>803</v>
      </c>
      <c r="Z1234" s="111" t="str">
        <f>MID(E1234,4,2)</f>
        <v>CA</v>
      </c>
    </row>
    <row r="1235" spans="1:26" s="111" customFormat="1" x14ac:dyDescent="0.2">
      <c r="A1235" s="101">
        <v>46252</v>
      </c>
      <c r="B1235" s="91" t="s">
        <v>1498</v>
      </c>
      <c r="C1235" s="102" t="s">
        <v>1499</v>
      </c>
      <c r="D1235" s="103" t="s">
        <v>196</v>
      </c>
      <c r="E1235" s="91" t="s">
        <v>1500</v>
      </c>
      <c r="F1235" s="91" t="s">
        <v>1501</v>
      </c>
      <c r="G1235" s="91" t="s">
        <v>1502</v>
      </c>
      <c r="H1235" s="104" t="str">
        <f t="shared" si="79"/>
        <v>F4036J20</v>
      </c>
      <c r="I1235" s="104"/>
      <c r="J1235" s="105">
        <v>2.72</v>
      </c>
      <c r="K1235" s="106"/>
      <c r="L1235" s="106">
        <v>0</v>
      </c>
      <c r="M1235" s="106">
        <f t="shared" si="78"/>
        <v>0</v>
      </c>
      <c r="N1235" s="106">
        <v>0</v>
      </c>
      <c r="O1235" s="107">
        <v>0</v>
      </c>
      <c r="P1235" s="107">
        <v>25870</v>
      </c>
      <c r="Q1235" s="107">
        <v>0</v>
      </c>
      <c r="R1235" s="102"/>
      <c r="S1235" s="108"/>
      <c r="T1235" s="109"/>
      <c r="U1235" s="109"/>
      <c r="V1235" s="102" t="s">
        <v>30</v>
      </c>
      <c r="W1235" s="109"/>
      <c r="X1235" s="109"/>
      <c r="Y1235" s="110" t="s">
        <v>31</v>
      </c>
      <c r="Z1235" s="111" t="str">
        <f>MID(E1235,4,2)</f>
        <v>WA</v>
      </c>
    </row>
    <row r="1236" spans="1:26" s="111" customFormat="1" x14ac:dyDescent="0.2">
      <c r="A1236" s="101">
        <v>46252</v>
      </c>
      <c r="B1236" s="91" t="s">
        <v>1503</v>
      </c>
      <c r="C1236" s="102" t="s">
        <v>1504</v>
      </c>
      <c r="D1236" s="103" t="s">
        <v>1505</v>
      </c>
      <c r="E1236" s="91" t="s">
        <v>1506</v>
      </c>
      <c r="F1236" s="91" t="s">
        <v>1507</v>
      </c>
      <c r="G1236" s="91" t="s">
        <v>1507</v>
      </c>
      <c r="H1236" s="104" t="str">
        <f t="shared" si="79"/>
        <v>JG260J20</v>
      </c>
      <c r="I1236" s="104"/>
      <c r="J1236" s="105">
        <v>0.31</v>
      </c>
      <c r="K1236" s="106">
        <f t="shared" ref="K1236:K1238" si="80">L1236</f>
        <v>325.39</v>
      </c>
      <c r="L1236" s="106">
        <v>325.39</v>
      </c>
      <c r="M1236" s="106">
        <f t="shared" si="78"/>
        <v>0</v>
      </c>
      <c r="N1236" s="106">
        <v>325.39</v>
      </c>
      <c r="O1236" s="107">
        <v>100.87</v>
      </c>
      <c r="P1236" s="107">
        <v>25870</v>
      </c>
      <c r="Q1236" s="107">
        <v>2609507</v>
      </c>
      <c r="R1236" s="102"/>
      <c r="S1236" s="108" t="s">
        <v>30</v>
      </c>
      <c r="T1236" s="109"/>
      <c r="U1236" s="109"/>
      <c r="V1236" s="102"/>
      <c r="W1236" s="109"/>
      <c r="X1236" s="109"/>
      <c r="Y1236" s="110" t="s">
        <v>31</v>
      </c>
      <c r="Z1236" s="111" t="str">
        <f>MID(E1236,4,2)</f>
        <v>JG</v>
      </c>
    </row>
    <row r="1237" spans="1:26" s="111" customFormat="1" x14ac:dyDescent="0.2">
      <c r="A1237" s="101">
        <v>46252</v>
      </c>
      <c r="B1237" s="91" t="s">
        <v>1503</v>
      </c>
      <c r="C1237" s="102" t="s">
        <v>1504</v>
      </c>
      <c r="D1237" s="103" t="s">
        <v>1505</v>
      </c>
      <c r="E1237" s="91" t="s">
        <v>1506</v>
      </c>
      <c r="F1237" s="91" t="s">
        <v>1508</v>
      </c>
      <c r="G1237" s="91" t="s">
        <v>1508</v>
      </c>
      <c r="H1237" s="104" t="str">
        <f t="shared" si="79"/>
        <v>JG260J20</v>
      </c>
      <c r="I1237" s="104"/>
      <c r="J1237" s="105">
        <v>0.09</v>
      </c>
      <c r="K1237" s="106">
        <f t="shared" si="80"/>
        <v>325.33</v>
      </c>
      <c r="L1237" s="106">
        <v>325.33</v>
      </c>
      <c r="M1237" s="106">
        <f t="shared" si="78"/>
        <v>0</v>
      </c>
      <c r="N1237" s="106">
        <v>325.33</v>
      </c>
      <c r="O1237" s="107">
        <v>29.28</v>
      </c>
      <c r="P1237" s="107">
        <v>25870</v>
      </c>
      <c r="Q1237" s="107">
        <v>757474</v>
      </c>
      <c r="R1237" s="102"/>
      <c r="S1237" s="108" t="s">
        <v>30</v>
      </c>
      <c r="T1237" s="109"/>
      <c r="U1237" s="109"/>
      <c r="V1237" s="102"/>
      <c r="W1237" s="109"/>
      <c r="X1237" s="109"/>
      <c r="Y1237" s="110" t="s">
        <v>31</v>
      </c>
      <c r="Z1237" s="111" t="str">
        <f>MID(E1237,4,2)</f>
        <v>JG</v>
      </c>
    </row>
    <row r="1238" spans="1:26" s="111" customFormat="1" x14ac:dyDescent="0.2">
      <c r="A1238" s="101">
        <v>46252</v>
      </c>
      <c r="B1238" s="91" t="s">
        <v>1503</v>
      </c>
      <c r="C1238" s="102" t="s">
        <v>1504</v>
      </c>
      <c r="D1238" s="103" t="s">
        <v>1505</v>
      </c>
      <c r="E1238" s="91" t="s">
        <v>1506</v>
      </c>
      <c r="F1238" s="91" t="s">
        <v>1509</v>
      </c>
      <c r="G1238" s="91" t="s">
        <v>1509</v>
      </c>
      <c r="H1238" s="104" t="str">
        <f t="shared" si="79"/>
        <v>JG260J20</v>
      </c>
      <c r="I1238" s="104"/>
      <c r="J1238" s="105">
        <v>0.77</v>
      </c>
      <c r="K1238" s="106">
        <f t="shared" si="80"/>
        <v>325.39</v>
      </c>
      <c r="L1238" s="106">
        <v>325.39</v>
      </c>
      <c r="M1238" s="106">
        <f t="shared" si="78"/>
        <v>0</v>
      </c>
      <c r="N1238" s="106">
        <v>325.39</v>
      </c>
      <c r="O1238" s="107">
        <v>250.55</v>
      </c>
      <c r="P1238" s="107">
        <v>25870</v>
      </c>
      <c r="Q1238" s="107">
        <v>6481729</v>
      </c>
      <c r="R1238" s="102"/>
      <c r="S1238" s="108" t="s">
        <v>30</v>
      </c>
      <c r="T1238" s="109"/>
      <c r="U1238" s="109"/>
      <c r="V1238" s="102"/>
      <c r="W1238" s="109"/>
      <c r="X1238" s="109"/>
      <c r="Y1238" s="110" t="s">
        <v>31</v>
      </c>
      <c r="Z1238" s="111" t="str">
        <f>MID(E1238,4,2)</f>
        <v>JG</v>
      </c>
    </row>
    <row r="1239" spans="1:26" s="111" customFormat="1" x14ac:dyDescent="0.2">
      <c r="A1239" s="101">
        <v>46252</v>
      </c>
      <c r="B1239" s="91" t="s">
        <v>1510</v>
      </c>
      <c r="C1239" s="102" t="s">
        <v>1511</v>
      </c>
      <c r="D1239" s="103" t="s">
        <v>26</v>
      </c>
      <c r="E1239" s="91" t="s">
        <v>1512</v>
      </c>
      <c r="F1239" s="91" t="s">
        <v>991</v>
      </c>
      <c r="G1239" s="91" t="s">
        <v>992</v>
      </c>
      <c r="H1239" s="104" t="str">
        <f t="shared" si="79"/>
        <v>C4023J30</v>
      </c>
      <c r="I1239" s="104"/>
      <c r="J1239" s="105">
        <v>76.23</v>
      </c>
      <c r="K1239" s="106">
        <f>+L1239</f>
        <v>74.8</v>
      </c>
      <c r="L1239" s="106">
        <v>74.8</v>
      </c>
      <c r="M1239" s="106">
        <f t="shared" si="78"/>
        <v>0</v>
      </c>
      <c r="N1239" s="106">
        <v>74.8</v>
      </c>
      <c r="O1239" s="107">
        <v>5702.06</v>
      </c>
      <c r="P1239" s="107">
        <v>25870</v>
      </c>
      <c r="Q1239" s="107">
        <v>147512292</v>
      </c>
      <c r="R1239" s="102" t="s">
        <v>30</v>
      </c>
      <c r="S1239" s="108"/>
      <c r="T1239" s="109"/>
      <c r="U1239" s="109"/>
      <c r="V1239" s="102"/>
      <c r="W1239" s="109"/>
      <c r="X1239" s="109"/>
      <c r="Y1239" s="110" t="s">
        <v>358</v>
      </c>
      <c r="Z1239" s="111" t="str">
        <f>MID(E1239,4,2)</f>
        <v>CA</v>
      </c>
    </row>
    <row r="1240" spans="1:26" s="111" customFormat="1" x14ac:dyDescent="0.2">
      <c r="A1240" s="101">
        <v>46252</v>
      </c>
      <c r="B1240" s="91" t="s">
        <v>1510</v>
      </c>
      <c r="C1240" s="102" t="s">
        <v>1511</v>
      </c>
      <c r="D1240" s="103" t="s">
        <v>26</v>
      </c>
      <c r="E1240" s="91" t="s">
        <v>1512</v>
      </c>
      <c r="F1240" s="91" t="s">
        <v>1208</v>
      </c>
      <c r="G1240" s="91" t="s">
        <v>1209</v>
      </c>
      <c r="H1240" s="104" t="str">
        <f t="shared" si="79"/>
        <v>C5110J20</v>
      </c>
      <c r="I1240" s="104"/>
      <c r="J1240" s="105">
        <v>108.9</v>
      </c>
      <c r="K1240" s="106">
        <f>IF(D1240="CAESARSTONE LTD",VLOOKUP(H1240,'[2]GIA CA'!G:H,2,0),IF(OR(D1240="STONE FACINGS LIMITED",D1240="NORDIA SA",D1240="INVICTUS STONE COUNTERTOPS INC",D1240="QUARTZTOP LLC"),VLOOKUP(H1240,'[2] Giá ngoài Mỹ - SI-GR'!$B$5:$AZ$84,51,0),IF(OR(D1240="HYUNDAI L&amp;C CANADA INC",D1240="Hyundai L&amp; C USA LLC"),VLOOKUP(H1240,'[2]GIA HS'!A:D,4,0),IF(Y1240="Mỹ",VLOOKUP(H1240,'[2]giá mỹ từ 6.8.2025'!B:I,2,0),VLOOKUP(H1240,'[2]giá ngoài mỹ 6.8.2025 (final)'!B:BP,51,0)))))</f>
        <v>57</v>
      </c>
      <c r="L1240" s="106">
        <v>62</v>
      </c>
      <c r="M1240" s="106">
        <f t="shared" si="78"/>
        <v>5</v>
      </c>
      <c r="N1240" s="106">
        <v>62</v>
      </c>
      <c r="O1240" s="107">
        <v>6751.8</v>
      </c>
      <c r="P1240" s="107">
        <v>25870</v>
      </c>
      <c r="Q1240" s="107">
        <v>174669066</v>
      </c>
      <c r="R1240" s="102" t="s">
        <v>30</v>
      </c>
      <c r="S1240" s="108"/>
      <c r="T1240" s="109"/>
      <c r="U1240" s="109"/>
      <c r="V1240" s="102"/>
      <c r="W1240" s="109"/>
      <c r="X1240" s="109"/>
      <c r="Y1240" s="110" t="s">
        <v>358</v>
      </c>
      <c r="Z1240" s="111" t="str">
        <f>MID(E1240,4,2)</f>
        <v>CA</v>
      </c>
    </row>
    <row r="1241" spans="1:26" s="111" customFormat="1" x14ac:dyDescent="0.2">
      <c r="A1241" s="101">
        <v>46252</v>
      </c>
      <c r="B1241" s="91" t="s">
        <v>1510</v>
      </c>
      <c r="C1241" s="102" t="s">
        <v>1511</v>
      </c>
      <c r="D1241" s="103" t="s">
        <v>26</v>
      </c>
      <c r="E1241" s="91" t="s">
        <v>1512</v>
      </c>
      <c r="F1241" s="91" t="s">
        <v>125</v>
      </c>
      <c r="G1241" s="91" t="s">
        <v>126</v>
      </c>
      <c r="H1241" s="104" t="str">
        <f t="shared" si="79"/>
        <v>C6046J20</v>
      </c>
      <c r="I1241" s="104"/>
      <c r="J1241" s="105">
        <v>87.12</v>
      </c>
      <c r="K1241" s="106">
        <f>IF(D1241="CAESARSTONE LTD",VLOOKUP(H1241,'[2]GIA CA'!G:H,2,0),IF(OR(D1241="STONE FACINGS LIMITED",D1241="NORDIA SA",D1241="INVICTUS STONE COUNTERTOPS INC",D1241="QUARTZTOP LLC"),VLOOKUP(H1241,'[2] Giá ngoài Mỹ - SI-GR'!$B$5:$AZ$84,51,0),IF(OR(D1241="HYUNDAI L&amp;C CANADA INC",D1241="Hyundai L&amp; C USA LLC"),VLOOKUP(H1241,'[2]GIA HS'!A:D,4,0),IF(Y1241="Mỹ",VLOOKUP(H1241,'[2]giá mỹ từ 6.8.2025'!B:I,2,0),VLOOKUP(H1241,'[2]giá ngoài mỹ 6.8.2025 (final)'!B:BP,51,0)))))</f>
        <v>59</v>
      </c>
      <c r="L1241" s="106">
        <v>62</v>
      </c>
      <c r="M1241" s="106">
        <f t="shared" si="78"/>
        <v>3</v>
      </c>
      <c r="N1241" s="106">
        <v>62</v>
      </c>
      <c r="O1241" s="107">
        <v>5401.44</v>
      </c>
      <c r="P1241" s="107">
        <v>25870</v>
      </c>
      <c r="Q1241" s="107">
        <v>139735253</v>
      </c>
      <c r="R1241" s="102" t="s">
        <v>30</v>
      </c>
      <c r="S1241" s="108"/>
      <c r="T1241" s="109"/>
      <c r="U1241" s="109"/>
      <c r="V1241" s="102"/>
      <c r="W1241" s="109"/>
      <c r="X1241" s="109"/>
      <c r="Y1241" s="110" t="s">
        <v>358</v>
      </c>
      <c r="Z1241" s="111" t="str">
        <f>MID(E1241,4,2)</f>
        <v>CA</v>
      </c>
    </row>
    <row r="1242" spans="1:26" s="111" customFormat="1" x14ac:dyDescent="0.2">
      <c r="A1242" s="101">
        <v>46252</v>
      </c>
      <c r="B1242" s="91" t="s">
        <v>1510</v>
      </c>
      <c r="C1242" s="102" t="s">
        <v>1511</v>
      </c>
      <c r="D1242" s="103" t="s">
        <v>26</v>
      </c>
      <c r="E1242" s="91" t="s">
        <v>1512</v>
      </c>
      <c r="F1242" s="91" t="s">
        <v>379</v>
      </c>
      <c r="G1242" s="91" t="s">
        <v>126</v>
      </c>
      <c r="H1242" s="104" t="str">
        <f t="shared" si="79"/>
        <v>C6046J20</v>
      </c>
      <c r="I1242" s="104"/>
      <c r="J1242" s="105">
        <v>21.78</v>
      </c>
      <c r="K1242" s="106">
        <f>IF(D1242="CAESARSTONE LTD",VLOOKUP(H1242,'[2]GIA CA'!G:H,2,0),IF(OR(D1242="STONE FACINGS LIMITED",D1242="NORDIA SA",D1242="INVICTUS STONE COUNTERTOPS INC",D1242="QUARTZTOP LLC"),VLOOKUP(H1242,'[2] Giá ngoài Mỹ - SI-GR'!$B$5:$AZ$84,51,0),IF(OR(D1242="HYUNDAI L&amp;C CANADA INC",D1242="Hyundai L&amp; C USA LLC"),VLOOKUP(H1242,'[2]GIA HS'!A:D,4,0),IF(Y1242="Mỹ",VLOOKUP(H1242,'[2]giá mỹ từ 6.8.2025'!B:I,2,0),VLOOKUP(H1242,'[2]giá ngoài mỹ 6.8.2025 (final)'!B:BP,51,0)))))</f>
        <v>59</v>
      </c>
      <c r="L1242" s="106">
        <v>62</v>
      </c>
      <c r="M1242" s="106">
        <f t="shared" si="78"/>
        <v>3</v>
      </c>
      <c r="N1242" s="106">
        <v>62</v>
      </c>
      <c r="O1242" s="107">
        <v>1350.36</v>
      </c>
      <c r="P1242" s="107">
        <v>25870</v>
      </c>
      <c r="Q1242" s="107">
        <v>34933813</v>
      </c>
      <c r="R1242" s="102" t="s">
        <v>30</v>
      </c>
      <c r="S1242" s="108"/>
      <c r="T1242" s="109"/>
      <c r="U1242" s="109"/>
      <c r="V1242" s="102"/>
      <c r="W1242" s="109"/>
      <c r="X1242" s="109"/>
      <c r="Y1242" s="110" t="s">
        <v>358</v>
      </c>
      <c r="Z1242" s="111" t="str">
        <f>MID(E1242,4,2)</f>
        <v>CA</v>
      </c>
    </row>
    <row r="1243" spans="1:26" s="111" customFormat="1" x14ac:dyDescent="0.2">
      <c r="A1243" s="101">
        <v>46252</v>
      </c>
      <c r="B1243" s="91" t="s">
        <v>1510</v>
      </c>
      <c r="C1243" s="102" t="s">
        <v>1511</v>
      </c>
      <c r="D1243" s="103" t="s">
        <v>26</v>
      </c>
      <c r="E1243" s="91" t="s">
        <v>1512</v>
      </c>
      <c r="F1243" s="91" t="s">
        <v>1189</v>
      </c>
      <c r="G1243" s="91" t="s">
        <v>1190</v>
      </c>
      <c r="H1243" s="104" t="str">
        <f t="shared" si="79"/>
        <v>C6338J20</v>
      </c>
      <c r="I1243" s="104"/>
      <c r="J1243" s="105">
        <v>108.9</v>
      </c>
      <c r="K1243" s="106">
        <f>+L1243</f>
        <v>59.9</v>
      </c>
      <c r="L1243" s="106">
        <v>59.9</v>
      </c>
      <c r="M1243" s="106">
        <f t="shared" si="78"/>
        <v>0</v>
      </c>
      <c r="N1243" s="106">
        <v>59.9</v>
      </c>
      <c r="O1243" s="107">
        <v>6523.2</v>
      </c>
      <c r="P1243" s="107">
        <v>25870</v>
      </c>
      <c r="Q1243" s="107">
        <v>168755184</v>
      </c>
      <c r="R1243" s="102" t="s">
        <v>30</v>
      </c>
      <c r="S1243" s="108"/>
      <c r="T1243" s="109"/>
      <c r="U1243" s="109"/>
      <c r="V1243" s="102"/>
      <c r="W1243" s="109"/>
      <c r="X1243" s="109"/>
      <c r="Y1243" s="110" t="s">
        <v>358</v>
      </c>
      <c r="Z1243" s="111" t="str">
        <f>MID(E1243,4,2)</f>
        <v>CA</v>
      </c>
    </row>
    <row r="1244" spans="1:26" s="111" customFormat="1" x14ac:dyDescent="0.2">
      <c r="A1244" s="101">
        <v>46252</v>
      </c>
      <c r="B1244" s="91" t="s">
        <v>1510</v>
      </c>
      <c r="C1244" s="102" t="s">
        <v>1511</v>
      </c>
      <c r="D1244" s="103" t="s">
        <v>26</v>
      </c>
      <c r="E1244" s="91" t="s">
        <v>1512</v>
      </c>
      <c r="F1244" s="91" t="s">
        <v>1513</v>
      </c>
      <c r="G1244" s="91" t="s">
        <v>1514</v>
      </c>
      <c r="H1244" s="104" t="str">
        <f t="shared" si="79"/>
        <v>F8251J20</v>
      </c>
      <c r="I1244" s="104"/>
      <c r="J1244" s="105">
        <v>108.9</v>
      </c>
      <c r="K1244" s="106">
        <f>IF(D1244="CAESARSTONE LTD",VLOOKUP(H1244,'[2]GIA CA'!G:H,2,0),IF(OR(D1244="STONE FACINGS LIMITED",D1244="NORDIA SA",D1244="INVICTUS STONE COUNTERTOPS INC",D1244="QUARTZTOP LLC"),VLOOKUP(H1244,'[2] Giá ngoài Mỹ - SI-GR'!$B$5:$AZ$84,51,0),IF(OR(D1244="HYUNDAI L&amp;C CANADA INC",D1244="Hyundai L&amp; C USA LLC"),VLOOKUP(H1244,'[2]GIA HS'!A:D,4,0),IF(Y1244="Mỹ",VLOOKUP(H1244,'[2]giá mỹ từ 6.8.2025'!B:I,2,0),VLOOKUP(H1244,'[2]giá ngoài mỹ 6.8.2025 (final)'!B:BP,51,0)))))</f>
        <v>74</v>
      </c>
      <c r="L1244" s="106">
        <v>77.7</v>
      </c>
      <c r="M1244" s="106">
        <f t="shared" si="78"/>
        <v>3.7000000000000028</v>
      </c>
      <c r="N1244" s="106">
        <v>77.7</v>
      </c>
      <c r="O1244" s="107">
        <v>8461.6</v>
      </c>
      <c r="P1244" s="107">
        <v>25870</v>
      </c>
      <c r="Q1244" s="107">
        <v>218901592</v>
      </c>
      <c r="R1244" s="102" t="s">
        <v>30</v>
      </c>
      <c r="S1244" s="108"/>
      <c r="T1244" s="109"/>
      <c r="U1244" s="109"/>
      <c r="V1244" s="102"/>
      <c r="W1244" s="109"/>
      <c r="X1244" s="109"/>
      <c r="Y1244" s="110" t="s">
        <v>358</v>
      </c>
      <c r="Z1244" s="111" t="str">
        <f>MID(E1244,4,2)</f>
        <v>CA</v>
      </c>
    </row>
    <row r="1245" spans="1:26" s="111" customFormat="1" x14ac:dyDescent="0.2">
      <c r="A1245" s="101">
        <v>46252</v>
      </c>
      <c r="B1245" s="91" t="s">
        <v>1515</v>
      </c>
      <c r="C1245" s="102" t="s">
        <v>1516</v>
      </c>
      <c r="D1245" s="103" t="s">
        <v>26</v>
      </c>
      <c r="E1245" s="91" t="s">
        <v>1517</v>
      </c>
      <c r="F1245" s="91" t="s">
        <v>975</v>
      </c>
      <c r="G1245" s="91" t="s">
        <v>976</v>
      </c>
      <c r="H1245" s="104" t="str">
        <f t="shared" si="79"/>
        <v>C5000J20</v>
      </c>
      <c r="I1245" s="104"/>
      <c r="J1245" s="105">
        <v>5.45</v>
      </c>
      <c r="K1245" s="106">
        <f>IF(D1245="CAESARSTONE LTD",VLOOKUP(H1245,'[2]GIA CA'!G:H,2,0),IF(OR(D1245="STONE FACINGS LIMITED",D1245="NORDIA SA",D1245="INVICTUS STONE COUNTERTOPS INC",D1245="QUARTZTOP LLC"),VLOOKUP(H1245,'[2] Giá ngoài Mỹ - SI-GR'!$B$5:$AZ$84,51,0),IF(OR(D1245="HYUNDAI L&amp;C CANADA INC",D1245="Hyundai L&amp; C USA LLC"),VLOOKUP(H1245,'[2]GIA HS'!A:D,4,0),IF(Y1245="Mỹ",VLOOKUP(H1245,'[2]giá mỹ từ 6.8.2025'!B:I,2,0),VLOOKUP(H1245,'[2]giá ngoài mỹ 6.8.2025 (final)'!B:BP,51,0)))))</f>
        <v>55</v>
      </c>
      <c r="L1245" s="106">
        <v>59.901000000000003</v>
      </c>
      <c r="M1245" s="106">
        <f t="shared" si="78"/>
        <v>4.9010000000000034</v>
      </c>
      <c r="N1245" s="106">
        <v>59.9</v>
      </c>
      <c r="O1245" s="107">
        <v>326.45999999999998</v>
      </c>
      <c r="P1245" s="107">
        <v>25870</v>
      </c>
      <c r="Q1245" s="107">
        <v>8445520</v>
      </c>
      <c r="R1245" s="102" t="s">
        <v>30</v>
      </c>
      <c r="S1245" s="108"/>
      <c r="T1245" s="109"/>
      <c r="U1245" s="109"/>
      <c r="V1245" s="102"/>
      <c r="W1245" s="109"/>
      <c r="X1245" s="109"/>
      <c r="Y1245" s="110" t="s">
        <v>803</v>
      </c>
      <c r="Z1245" s="111" t="str">
        <f>MID(E1245,4,2)</f>
        <v>CA</v>
      </c>
    </row>
    <row r="1246" spans="1:26" s="111" customFormat="1" x14ac:dyDescent="0.2">
      <c r="A1246" s="101">
        <v>46252</v>
      </c>
      <c r="B1246" s="91" t="s">
        <v>1515</v>
      </c>
      <c r="C1246" s="102" t="s">
        <v>1516</v>
      </c>
      <c r="D1246" s="103" t="s">
        <v>26</v>
      </c>
      <c r="E1246" s="91" t="s">
        <v>1517</v>
      </c>
      <c r="F1246" s="91" t="s">
        <v>975</v>
      </c>
      <c r="G1246" s="91" t="s">
        <v>976</v>
      </c>
      <c r="H1246" s="104" t="str">
        <f t="shared" si="79"/>
        <v>C5000J20</v>
      </c>
      <c r="I1246" s="104"/>
      <c r="J1246" s="105">
        <v>103.45</v>
      </c>
      <c r="K1246" s="106">
        <f>IF(D1246="CAESARSTONE LTD",VLOOKUP(H1246,'[2]GIA CA'!G:H,2,0),IF(OR(D1246="STONE FACINGS LIMITED",D1246="NORDIA SA",D1246="INVICTUS STONE COUNTERTOPS INC",D1246="QUARTZTOP LLC"),VLOOKUP(H1246,'[2] Giá ngoài Mỹ - SI-GR'!$B$5:$AZ$84,51,0),IF(OR(D1246="HYUNDAI L&amp;C CANADA INC",D1246="Hyundai L&amp; C USA LLC"),VLOOKUP(H1246,'[2]GIA HS'!A:D,4,0),IF(Y1246="Mỹ",VLOOKUP(H1246,'[2]giá mỹ từ 6.8.2025'!B:I,2,0),VLOOKUP(H1246,'[2]giá ngoài mỹ 6.8.2025 (final)'!B:BP,51,0)))))</f>
        <v>55</v>
      </c>
      <c r="L1246" s="106">
        <v>59.901000000000003</v>
      </c>
      <c r="M1246" s="106">
        <f t="shared" si="78"/>
        <v>4.9010000000000034</v>
      </c>
      <c r="N1246" s="106">
        <v>59.9</v>
      </c>
      <c r="O1246" s="107">
        <v>6196.74</v>
      </c>
      <c r="P1246" s="107">
        <v>25870</v>
      </c>
      <c r="Q1246" s="107">
        <v>160309664</v>
      </c>
      <c r="R1246" s="102" t="s">
        <v>30</v>
      </c>
      <c r="S1246" s="108"/>
      <c r="T1246" s="109"/>
      <c r="U1246" s="109"/>
      <c r="V1246" s="102"/>
      <c r="W1246" s="109"/>
      <c r="X1246" s="109"/>
      <c r="Y1246" s="110" t="s">
        <v>803</v>
      </c>
      <c r="Z1246" s="111" t="str">
        <f>MID(E1246,4,2)</f>
        <v>CA</v>
      </c>
    </row>
    <row r="1247" spans="1:26" s="111" customFormat="1" x14ac:dyDescent="0.2">
      <c r="A1247" s="101">
        <v>46252</v>
      </c>
      <c r="B1247" s="91" t="s">
        <v>1515</v>
      </c>
      <c r="C1247" s="102" t="s">
        <v>1516</v>
      </c>
      <c r="D1247" s="103" t="s">
        <v>26</v>
      </c>
      <c r="E1247" s="91" t="s">
        <v>1517</v>
      </c>
      <c r="F1247" s="91" t="s">
        <v>32</v>
      </c>
      <c r="G1247" s="91" t="s">
        <v>33</v>
      </c>
      <c r="H1247" s="104" t="str">
        <f t="shared" si="79"/>
        <v>F4001J30</v>
      </c>
      <c r="I1247" s="104"/>
      <c r="J1247" s="105">
        <v>152.46</v>
      </c>
      <c r="K1247" s="106">
        <f>IF(D1247="CAESARSTONE LTD",VLOOKUP(H1247,'[2]GIA CA'!G:H,2,0),IF(OR(D1247="STONE FACINGS LIMITED",D1247="NORDIA SA",D1247="INVICTUS STONE COUNTERTOPS INC",D1247="QUARTZTOP LLC"),VLOOKUP(H1247,'[2] Giá ngoài Mỹ - SI-GR'!$B$5:$AZ$84,51,0),IF(OR(D1247="HYUNDAI L&amp;C CANADA INC",D1247="Hyundai L&amp; C USA LLC"),VLOOKUP(H1247,'[2]GIA HS'!A:D,4,0),IF(Y1247="Mỹ",VLOOKUP(H1247,'[2]giá mỹ từ 6.8.2025'!B:I,2,0),VLOOKUP(H1247,'[2]giá ngoài mỹ 6.8.2025 (final)'!B:BP,51,0)))))</f>
        <v>72.5</v>
      </c>
      <c r="L1247" s="106">
        <v>76.099000000000004</v>
      </c>
      <c r="M1247" s="106">
        <f t="shared" si="78"/>
        <v>3.5990000000000038</v>
      </c>
      <c r="N1247" s="106">
        <v>76.099999999999994</v>
      </c>
      <c r="O1247" s="107">
        <v>11602.08</v>
      </c>
      <c r="P1247" s="107">
        <v>25870</v>
      </c>
      <c r="Q1247" s="107">
        <v>300145810</v>
      </c>
      <c r="R1247" s="102" t="s">
        <v>30</v>
      </c>
      <c r="S1247" s="108"/>
      <c r="T1247" s="109"/>
      <c r="U1247" s="109"/>
      <c r="V1247" s="102"/>
      <c r="W1247" s="109"/>
      <c r="X1247" s="109"/>
      <c r="Y1247" s="110" t="s">
        <v>803</v>
      </c>
      <c r="Z1247" s="111" t="str">
        <f>MID(E1247,4,2)</f>
        <v>CA</v>
      </c>
    </row>
    <row r="1248" spans="1:26" s="111" customFormat="1" x14ac:dyDescent="0.2">
      <c r="A1248" s="101">
        <v>46252</v>
      </c>
      <c r="B1248" s="91" t="s">
        <v>1515</v>
      </c>
      <c r="C1248" s="102" t="s">
        <v>1516</v>
      </c>
      <c r="D1248" s="103" t="s">
        <v>26</v>
      </c>
      <c r="E1248" s="91" t="s">
        <v>1517</v>
      </c>
      <c r="F1248" s="91" t="s">
        <v>1518</v>
      </c>
      <c r="G1248" s="91" t="s">
        <v>1519</v>
      </c>
      <c r="H1248" s="104" t="str">
        <f t="shared" si="79"/>
        <v>F4044J30</v>
      </c>
      <c r="I1248" s="104"/>
      <c r="J1248" s="105">
        <v>76.239999999999995</v>
      </c>
      <c r="K1248" s="106">
        <f>+L1248</f>
        <v>78.790000000000006</v>
      </c>
      <c r="L1248" s="106">
        <v>78.790000000000006</v>
      </c>
      <c r="M1248" s="106">
        <f t="shared" si="78"/>
        <v>0</v>
      </c>
      <c r="N1248" s="106">
        <v>78.790000000000006</v>
      </c>
      <c r="O1248" s="107">
        <v>6006.98</v>
      </c>
      <c r="P1248" s="107">
        <v>25870</v>
      </c>
      <c r="Q1248" s="107">
        <v>155400573</v>
      </c>
      <c r="R1248" s="102" t="s">
        <v>30</v>
      </c>
      <c r="S1248" s="108"/>
      <c r="T1248" s="109"/>
      <c r="U1248" s="109"/>
      <c r="V1248" s="102"/>
      <c r="W1248" s="109"/>
      <c r="X1248" s="109"/>
      <c r="Y1248" s="110" t="s">
        <v>803</v>
      </c>
      <c r="Z1248" s="111" t="str">
        <f>MID(E1248,4,2)</f>
        <v>CA</v>
      </c>
    </row>
    <row r="1249" spans="1:26" s="111" customFormat="1" x14ac:dyDescent="0.2">
      <c r="A1249" s="101">
        <v>46252</v>
      </c>
      <c r="B1249" s="91" t="s">
        <v>1520</v>
      </c>
      <c r="C1249" s="102" t="s">
        <v>1521</v>
      </c>
      <c r="D1249" s="103" t="s">
        <v>26</v>
      </c>
      <c r="E1249" s="91" t="s">
        <v>1522</v>
      </c>
      <c r="F1249" s="91" t="s">
        <v>1249</v>
      </c>
      <c r="G1249" s="91" t="s">
        <v>1250</v>
      </c>
      <c r="H1249" s="104" t="str">
        <f t="shared" si="79"/>
        <v>C5130J20</v>
      </c>
      <c r="I1249" s="104"/>
      <c r="J1249" s="105">
        <v>0.28999999999999998</v>
      </c>
      <c r="K1249" s="106">
        <f>IF(D1249="CAESARSTONE LTD",VLOOKUP(H1249,'[2]GIA CA'!G:H,2,0),IF(OR(D1249="STONE FACINGS LIMITED",D1249="NORDIA SA",D1249="INVICTUS STONE COUNTERTOPS INC",D1249="QUARTZTOP LLC"),VLOOKUP(H1249,'[2] Giá ngoài Mỹ - SI-GR'!$B$5:$AZ$84,51,0),IF(OR(D1249="HYUNDAI L&amp;C CANADA INC",D1249="Hyundai L&amp; C USA LLC"),VLOOKUP(H1249,'[2]GIA HS'!A:D,4,0),IF(Y1249="Mỹ",VLOOKUP(H1249,'[2]giá mỹ từ 6.8.2025'!B:I,2,0),VLOOKUP(H1249,'[2]giá ngoài mỹ 6.8.2025 (final)'!B:BP,51,0)))))</f>
        <v>59</v>
      </c>
      <c r="L1249" s="106">
        <v>96.55</v>
      </c>
      <c r="M1249" s="106">
        <f t="shared" si="78"/>
        <v>37.549999999999997</v>
      </c>
      <c r="N1249" s="106">
        <v>96.55</v>
      </c>
      <c r="O1249" s="107">
        <v>28</v>
      </c>
      <c r="P1249" s="107">
        <v>25870</v>
      </c>
      <c r="Q1249" s="107">
        <v>724360</v>
      </c>
      <c r="R1249" s="102"/>
      <c r="S1249" s="108"/>
      <c r="T1249" s="109" t="s">
        <v>30</v>
      </c>
      <c r="U1249" s="109"/>
      <c r="V1249" s="102"/>
      <c r="W1249" s="109"/>
      <c r="X1249" s="109"/>
      <c r="Y1249" s="110" t="s">
        <v>803</v>
      </c>
      <c r="Z1249" s="111" t="str">
        <f>MID(E1249,4,2)</f>
        <v>CA</v>
      </c>
    </row>
    <row r="1250" spans="1:26" s="111" customFormat="1" x14ac:dyDescent="0.2">
      <c r="A1250" s="101">
        <v>46252</v>
      </c>
      <c r="B1250" s="91" t="s">
        <v>1520</v>
      </c>
      <c r="C1250" s="102" t="s">
        <v>1521</v>
      </c>
      <c r="D1250" s="103" t="s">
        <v>26</v>
      </c>
      <c r="E1250" s="91" t="s">
        <v>1522</v>
      </c>
      <c r="F1250" s="91" t="s">
        <v>1523</v>
      </c>
      <c r="G1250" s="91" t="s">
        <v>1524</v>
      </c>
      <c r="H1250" s="104" t="str">
        <f t="shared" si="79"/>
        <v>F5113J20</v>
      </c>
      <c r="I1250" s="104"/>
      <c r="J1250" s="105">
        <v>1.25</v>
      </c>
      <c r="K1250" s="106">
        <f>IF(D1250="CAESARSTONE LTD",VLOOKUP(H1250,'[2]GIA CA'!G:H,2,0),IF(OR(D1250="STONE FACINGS LIMITED",D1250="NORDIA SA",D1250="INVICTUS STONE COUNTERTOPS INC",D1250="QUARTZTOP LLC"),VLOOKUP(H1250,'[2] Giá ngoài Mỹ - SI-GR'!$B$5:$AZ$84,51,0),IF(OR(D1250="HYUNDAI L&amp;C CANADA INC",D1250="Hyundai L&amp; C USA LLC"),VLOOKUP(H1250,'[2]GIA HS'!A:D,4,0),IF(Y1250="Mỹ",VLOOKUP(H1250,'[2]giá mỹ từ 6.8.2025'!B:I,2,0),VLOOKUP(H1250,'[2]giá ngoài mỹ 6.8.2025 (final)'!B:BP,51,0)))))</f>
        <v>62</v>
      </c>
      <c r="L1250" s="106">
        <v>129.28</v>
      </c>
      <c r="M1250" s="106">
        <f t="shared" si="78"/>
        <v>67.28</v>
      </c>
      <c r="N1250" s="106">
        <v>129.28</v>
      </c>
      <c r="O1250" s="107">
        <v>161.6</v>
      </c>
      <c r="P1250" s="107">
        <v>25870</v>
      </c>
      <c r="Q1250" s="107">
        <v>4180592</v>
      </c>
      <c r="R1250" s="102"/>
      <c r="S1250" s="108"/>
      <c r="T1250" s="109" t="s">
        <v>30</v>
      </c>
      <c r="U1250" s="109"/>
      <c r="V1250" s="102"/>
      <c r="W1250" s="109"/>
      <c r="X1250" s="109"/>
      <c r="Y1250" s="110" t="s">
        <v>803</v>
      </c>
      <c r="Z1250" s="111" t="str">
        <f>MID(E1250,4,2)</f>
        <v>CA</v>
      </c>
    </row>
    <row r="1251" spans="1:26" s="111" customFormat="1" x14ac:dyDescent="0.2">
      <c r="A1251" s="101">
        <v>46252</v>
      </c>
      <c r="B1251" s="91" t="s">
        <v>1520</v>
      </c>
      <c r="C1251" s="102" t="s">
        <v>1521</v>
      </c>
      <c r="D1251" s="103" t="s">
        <v>26</v>
      </c>
      <c r="E1251" s="91" t="s">
        <v>1522</v>
      </c>
      <c r="F1251" s="91" t="s">
        <v>1251</v>
      </c>
      <c r="G1251" s="91" t="s">
        <v>1252</v>
      </c>
      <c r="H1251" s="104" t="str">
        <f t="shared" si="79"/>
        <v>F5132J20</v>
      </c>
      <c r="I1251" s="104"/>
      <c r="J1251" s="105">
        <v>0.6</v>
      </c>
      <c r="K1251" s="106">
        <f>IF(D1251="CAESARSTONE LTD",VLOOKUP(H1251,'[2]GIA CA'!G:H,2,0),IF(OR(D1251="STONE FACINGS LIMITED",D1251="NORDIA SA",D1251="INVICTUS STONE COUNTERTOPS INC",D1251="QUARTZTOP LLC"),VLOOKUP(H1251,'[2] Giá ngoài Mỹ - SI-GR'!$B$5:$AZ$84,51,0),IF(OR(D1251="HYUNDAI L&amp;C CANADA INC",D1251="Hyundai L&amp; C USA LLC"),VLOOKUP(H1251,'[2]GIA HS'!A:D,4,0),IF(Y1251="Mỹ",VLOOKUP(H1251,'[2]giá mỹ từ 6.8.2025'!B:I,2,0),VLOOKUP(H1251,'[2]giá ngoài mỹ 6.8.2025 (final)'!B:BP,51,0)))))</f>
        <v>62</v>
      </c>
      <c r="L1251" s="106">
        <v>129.47999999999999</v>
      </c>
      <c r="M1251" s="106">
        <f t="shared" si="78"/>
        <v>67.47999999999999</v>
      </c>
      <c r="N1251" s="106">
        <v>129.47999999999999</v>
      </c>
      <c r="O1251" s="107">
        <v>77.69</v>
      </c>
      <c r="P1251" s="107">
        <v>25870</v>
      </c>
      <c r="Q1251" s="107">
        <v>2009840</v>
      </c>
      <c r="R1251" s="102"/>
      <c r="S1251" s="108"/>
      <c r="T1251" s="109" t="s">
        <v>30</v>
      </c>
      <c r="U1251" s="109"/>
      <c r="V1251" s="102"/>
      <c r="W1251" s="109"/>
      <c r="X1251" s="109"/>
      <c r="Y1251" s="110" t="s">
        <v>803</v>
      </c>
      <c r="Z1251" s="111" t="str">
        <f>MID(E1251,4,2)</f>
        <v>CA</v>
      </c>
    </row>
    <row r="1252" spans="1:26" s="111" customFormat="1" x14ac:dyDescent="0.2">
      <c r="A1252" s="101">
        <v>46252</v>
      </c>
      <c r="B1252" s="91" t="s">
        <v>1520</v>
      </c>
      <c r="C1252" s="102" t="s">
        <v>1521</v>
      </c>
      <c r="D1252" s="103" t="s">
        <v>26</v>
      </c>
      <c r="E1252" s="91" t="s">
        <v>1522</v>
      </c>
      <c r="F1252" s="91" t="s">
        <v>801</v>
      </c>
      <c r="G1252" s="91" t="s">
        <v>802</v>
      </c>
      <c r="H1252" s="104" t="str">
        <f t="shared" si="79"/>
        <v>F5130J30</v>
      </c>
      <c r="I1252" s="104"/>
      <c r="J1252" s="105">
        <v>108.9</v>
      </c>
      <c r="K1252" s="106">
        <f>IF(D1252="CAESARSTONE LTD",VLOOKUP(H1252,'[2]GIA CA'!G:H,2,0),IF(OR(D1252="STONE FACINGS LIMITED",D1252="NORDIA SA",D1252="INVICTUS STONE COUNTERTOPS INC",D1252="QUARTZTOP LLC"),VLOOKUP(H1252,'[2] Giá ngoài Mỹ - SI-GR'!$B$5:$AZ$84,51,0),IF(OR(D1252="HYUNDAI L&amp;C CANADA INC",D1252="Hyundai L&amp; C USA LLC"),VLOOKUP(H1252,'[2]GIA HS'!A:D,4,0),IF(Y1252="Mỹ",VLOOKUP(H1252,'[2]giá mỹ từ 6.8.2025'!B:I,2,0),VLOOKUP(H1252,'[2]giá ngoài mỹ 6.8.2025 (final)'!B:BP,51,0)))))</f>
        <v>77.5</v>
      </c>
      <c r="L1252" s="106">
        <v>81.400000000000006</v>
      </c>
      <c r="M1252" s="106">
        <f t="shared" si="78"/>
        <v>3.9000000000000057</v>
      </c>
      <c r="N1252" s="106">
        <v>81.400000000000006</v>
      </c>
      <c r="O1252" s="107">
        <v>8864.4</v>
      </c>
      <c r="P1252" s="107">
        <v>25870</v>
      </c>
      <c r="Q1252" s="107">
        <v>229322028</v>
      </c>
      <c r="R1252" s="102" t="s">
        <v>30</v>
      </c>
      <c r="S1252" s="108"/>
      <c r="T1252" s="109"/>
      <c r="U1252" s="109"/>
      <c r="V1252" s="102"/>
      <c r="W1252" s="109"/>
      <c r="X1252" s="109"/>
      <c r="Y1252" s="110" t="s">
        <v>803</v>
      </c>
      <c r="Z1252" s="111" t="str">
        <f>MID(E1252,4,2)</f>
        <v>CA</v>
      </c>
    </row>
    <row r="1253" spans="1:26" s="111" customFormat="1" x14ac:dyDescent="0.2">
      <c r="A1253" s="101">
        <v>46252</v>
      </c>
      <c r="B1253" s="91" t="s">
        <v>1520</v>
      </c>
      <c r="C1253" s="102" t="s">
        <v>1521</v>
      </c>
      <c r="D1253" s="103" t="s">
        <v>26</v>
      </c>
      <c r="E1253" s="91" t="s">
        <v>1522</v>
      </c>
      <c r="F1253" s="91" t="s">
        <v>456</v>
      </c>
      <c r="G1253" s="91" t="s">
        <v>457</v>
      </c>
      <c r="H1253" s="104" t="str">
        <f t="shared" si="79"/>
        <v>F5131J30</v>
      </c>
      <c r="I1253" s="104"/>
      <c r="J1253" s="105">
        <v>157.91</v>
      </c>
      <c r="K1253" s="106">
        <f>IF(D1253="CAESARSTONE LTD",VLOOKUP(H1253,'[2]GIA CA'!G:H,2,0),IF(OR(D1253="STONE FACINGS LIMITED",D1253="NORDIA SA",D1253="INVICTUS STONE COUNTERTOPS INC",D1253="QUARTZTOP LLC"),VLOOKUP(H1253,'[2] Giá ngoài Mỹ - SI-GR'!$B$5:$AZ$84,51,0),IF(OR(D1253="HYUNDAI L&amp;C CANADA INC",D1253="Hyundai L&amp; C USA LLC"),VLOOKUP(H1253,'[2]GIA HS'!A:D,4,0),IF(Y1253="Mỹ",VLOOKUP(H1253,'[2]giá mỹ từ 6.8.2025'!B:I,2,0),VLOOKUP(H1253,'[2]giá ngoài mỹ 6.8.2025 (final)'!B:BP,51,0)))))</f>
        <v>75</v>
      </c>
      <c r="L1253" s="106">
        <v>78.8</v>
      </c>
      <c r="M1253" s="106">
        <f t="shared" si="78"/>
        <v>3.7999999999999972</v>
      </c>
      <c r="N1253" s="106">
        <v>78.8</v>
      </c>
      <c r="O1253" s="107">
        <v>12443.03</v>
      </c>
      <c r="P1253" s="107">
        <v>25870</v>
      </c>
      <c r="Q1253" s="107">
        <v>321901186</v>
      </c>
      <c r="R1253" s="102" t="s">
        <v>30</v>
      </c>
      <c r="S1253" s="108"/>
      <c r="T1253" s="109"/>
      <c r="U1253" s="109"/>
      <c r="V1253" s="102"/>
      <c r="W1253" s="109"/>
      <c r="X1253" s="109"/>
      <c r="Y1253" s="110" t="s">
        <v>803</v>
      </c>
      <c r="Z1253" s="111" t="str">
        <f>MID(E1253,4,2)</f>
        <v>CA</v>
      </c>
    </row>
    <row r="1254" spans="1:26" s="111" customFormat="1" x14ac:dyDescent="0.2">
      <c r="A1254" s="101">
        <v>46252</v>
      </c>
      <c r="B1254" s="91" t="s">
        <v>1520</v>
      </c>
      <c r="C1254" s="102" t="s">
        <v>1521</v>
      </c>
      <c r="D1254" s="103" t="s">
        <v>26</v>
      </c>
      <c r="E1254" s="91" t="s">
        <v>1522</v>
      </c>
      <c r="F1254" s="91" t="s">
        <v>90</v>
      </c>
      <c r="G1254" s="91" t="s">
        <v>91</v>
      </c>
      <c r="H1254" s="104" t="str">
        <f t="shared" si="79"/>
        <v>F6131J30</v>
      </c>
      <c r="I1254" s="104"/>
      <c r="J1254" s="105">
        <v>38.119999999999997</v>
      </c>
      <c r="K1254" s="106">
        <f>IF(D1254="CAESARSTONE LTD",VLOOKUP(H1254,'[2]GIA CA'!G:H,2,0),IF(OR(D1254="STONE FACINGS LIMITED",D1254="NORDIA SA",D1254="INVICTUS STONE COUNTERTOPS INC",D1254="QUARTZTOP LLC"),VLOOKUP(H1254,'[2] Giá ngoài Mỹ - SI-GR'!$B$5:$AZ$84,51,0),IF(OR(D1254="HYUNDAI L&amp;C CANADA INC",D1254="Hyundai L&amp; C USA LLC"),VLOOKUP(H1254,'[2]GIA HS'!A:D,4,0),IF(Y1254="Mỹ",VLOOKUP(H1254,'[2]giá mỹ từ 6.8.2025'!B:I,2,0),VLOOKUP(H1254,'[2]giá ngoài mỹ 6.8.2025 (final)'!B:BP,51,0)))))</f>
        <v>77.5</v>
      </c>
      <c r="L1254" s="106">
        <v>81.41</v>
      </c>
      <c r="M1254" s="106">
        <f t="shared" si="78"/>
        <v>3.9099999999999966</v>
      </c>
      <c r="N1254" s="106">
        <v>81.41</v>
      </c>
      <c r="O1254" s="107">
        <v>3103.45</v>
      </c>
      <c r="P1254" s="107">
        <v>25870</v>
      </c>
      <c r="Q1254" s="107">
        <v>80286252</v>
      </c>
      <c r="R1254" s="102" t="s">
        <v>30</v>
      </c>
      <c r="S1254" s="108"/>
      <c r="T1254" s="109"/>
      <c r="U1254" s="109"/>
      <c r="V1254" s="102"/>
      <c r="W1254" s="109"/>
      <c r="X1254" s="109"/>
      <c r="Y1254" s="110" t="s">
        <v>803</v>
      </c>
      <c r="Z1254" s="111" t="str">
        <f>MID(E1254,4,2)</f>
        <v>CA</v>
      </c>
    </row>
    <row r="1255" spans="1:26" s="111" customFormat="1" x14ac:dyDescent="0.2">
      <c r="A1255" s="101">
        <v>46252</v>
      </c>
      <c r="B1255" s="91" t="s">
        <v>1525</v>
      </c>
      <c r="C1255" s="102" t="s">
        <v>1526</v>
      </c>
      <c r="D1255" s="103" t="s">
        <v>26</v>
      </c>
      <c r="E1255" s="91" t="s">
        <v>1527</v>
      </c>
      <c r="F1255" s="91" t="s">
        <v>1528</v>
      </c>
      <c r="G1255" s="91" t="s">
        <v>1529</v>
      </c>
      <c r="H1255" s="104" t="str">
        <f t="shared" si="79"/>
        <v>M4033J20</v>
      </c>
      <c r="I1255" s="104"/>
      <c r="J1255" s="105">
        <v>0.4</v>
      </c>
      <c r="K1255" s="106">
        <f>L1255</f>
        <v>50</v>
      </c>
      <c r="L1255" s="106">
        <v>50</v>
      </c>
      <c r="M1255" s="106">
        <f t="shared" si="78"/>
        <v>0</v>
      </c>
      <c r="N1255" s="106">
        <v>50</v>
      </c>
      <c r="O1255" s="107">
        <v>20</v>
      </c>
      <c r="P1255" s="107">
        <v>25870</v>
      </c>
      <c r="Q1255" s="107">
        <v>517400</v>
      </c>
      <c r="R1255" s="102"/>
      <c r="S1255" s="108"/>
      <c r="T1255" s="109"/>
      <c r="U1255" s="109"/>
      <c r="V1255" s="102"/>
      <c r="W1255" s="109" t="s">
        <v>30</v>
      </c>
      <c r="X1255" s="109"/>
      <c r="Y1255" s="110" t="s">
        <v>803</v>
      </c>
      <c r="Z1255" s="111" t="str">
        <f>MID(E1255,4,2)</f>
        <v>CA</v>
      </c>
    </row>
    <row r="1256" spans="1:26" s="111" customFormat="1" x14ac:dyDescent="0.2">
      <c r="A1256" s="101">
        <v>46252</v>
      </c>
      <c r="B1256" s="91" t="s">
        <v>1530</v>
      </c>
      <c r="C1256" s="102" t="s">
        <v>1531</v>
      </c>
      <c r="D1256" s="103" t="s">
        <v>26</v>
      </c>
      <c r="E1256" s="91" t="s">
        <v>1532</v>
      </c>
      <c r="F1256" s="91" t="s">
        <v>1533</v>
      </c>
      <c r="G1256" s="91" t="s">
        <v>1534</v>
      </c>
      <c r="H1256" s="104" t="str">
        <f t="shared" si="79"/>
        <v>C5031J20</v>
      </c>
      <c r="I1256" s="104"/>
      <c r="J1256" s="105">
        <v>1.56</v>
      </c>
      <c r="K1256" s="106">
        <f>IF(D1256="CAESARSTONE LTD",VLOOKUP(H1256,'[2]GIA CA'!G:H,2,0),IF(OR(D1256="STONE FACINGS LIMITED",D1256="NORDIA SA",D1256="INVICTUS STONE COUNTERTOPS INC",D1256="QUARTZTOP LLC"),VLOOKUP(H1256,'[2] Giá ngoài Mỹ - SI-GR'!$B$5:$AZ$84,51,0),IF(OR(D1256="HYUNDAI L&amp;C CANADA INC",D1256="Hyundai L&amp; C USA LLC"),VLOOKUP(H1256,'[2]GIA HS'!A:D,4,0),IF(Y1256="Mỹ",VLOOKUP(H1256,'[2]giá mỹ từ 6.8.2025'!B:I,2,0),VLOOKUP(H1256,'[2]giá ngoài mỹ 6.8.2025 (final)'!B:BP,51,0)))))</f>
        <v>57</v>
      </c>
      <c r="L1256" s="106">
        <v>119.55</v>
      </c>
      <c r="M1256" s="106">
        <f t="shared" si="78"/>
        <v>62.55</v>
      </c>
      <c r="N1256" s="106">
        <v>119.55</v>
      </c>
      <c r="O1256" s="107">
        <v>186.5</v>
      </c>
      <c r="P1256" s="107">
        <v>25870</v>
      </c>
      <c r="Q1256" s="107">
        <v>4824755</v>
      </c>
      <c r="R1256" s="102"/>
      <c r="S1256" s="108"/>
      <c r="T1256" s="109" t="s">
        <v>30</v>
      </c>
      <c r="U1256" s="109"/>
      <c r="V1256" s="102"/>
      <c r="W1256" s="109"/>
      <c r="X1256" s="109"/>
      <c r="Y1256" s="110" t="s">
        <v>97</v>
      </c>
      <c r="Z1256" s="111" t="str">
        <f>MID(E1256,4,2)</f>
        <v>CA</v>
      </c>
    </row>
    <row r="1257" spans="1:26" s="111" customFormat="1" x14ac:dyDescent="0.2">
      <c r="A1257" s="101">
        <v>46252</v>
      </c>
      <c r="B1257" s="91" t="s">
        <v>1530</v>
      </c>
      <c r="C1257" s="102" t="s">
        <v>1531</v>
      </c>
      <c r="D1257" s="103" t="s">
        <v>26</v>
      </c>
      <c r="E1257" s="91" t="s">
        <v>1532</v>
      </c>
      <c r="F1257" s="91" t="s">
        <v>863</v>
      </c>
      <c r="G1257" s="91" t="s">
        <v>864</v>
      </c>
      <c r="H1257" s="104" t="str">
        <f t="shared" si="79"/>
        <v>C5130J20</v>
      </c>
      <c r="I1257" s="104"/>
      <c r="J1257" s="105">
        <v>1.56</v>
      </c>
      <c r="K1257" s="106">
        <f>IF(D1257="CAESARSTONE LTD",VLOOKUP(H1257,'[2]GIA CA'!G:H,2,0),IF(OR(D1257="STONE FACINGS LIMITED",D1257="NORDIA SA",D1257="INVICTUS STONE COUNTERTOPS INC",D1257="QUARTZTOP LLC"),VLOOKUP(H1257,'[2] Giá ngoài Mỹ - SI-GR'!$B$5:$AZ$84,51,0),IF(OR(D1257="HYUNDAI L&amp;C CANADA INC",D1257="Hyundai L&amp; C USA LLC"),VLOOKUP(H1257,'[2]GIA HS'!A:D,4,0),IF(Y1257="Mỹ",VLOOKUP(H1257,'[2]giá mỹ từ 6.8.2025'!B:I,2,0),VLOOKUP(H1257,'[2]giá ngoài mỹ 6.8.2025 (final)'!B:BP,51,0)))))</f>
        <v>59</v>
      </c>
      <c r="L1257" s="106">
        <v>94.87</v>
      </c>
      <c r="M1257" s="106">
        <f t="shared" si="78"/>
        <v>35.870000000000005</v>
      </c>
      <c r="N1257" s="106">
        <v>94.87</v>
      </c>
      <c r="O1257" s="107">
        <v>148</v>
      </c>
      <c r="P1257" s="107">
        <v>25870</v>
      </c>
      <c r="Q1257" s="107">
        <v>3828760</v>
      </c>
      <c r="R1257" s="102"/>
      <c r="S1257" s="108"/>
      <c r="T1257" s="109" t="s">
        <v>30</v>
      </c>
      <c r="U1257" s="109"/>
      <c r="V1257" s="102"/>
      <c r="W1257" s="109"/>
      <c r="X1257" s="109"/>
      <c r="Y1257" s="110" t="s">
        <v>97</v>
      </c>
      <c r="Z1257" s="111" t="str">
        <f>MID(E1257,4,2)</f>
        <v>CA</v>
      </c>
    </row>
    <row r="1258" spans="1:26" s="111" customFormat="1" x14ac:dyDescent="0.2">
      <c r="A1258" s="101">
        <v>46252</v>
      </c>
      <c r="B1258" s="91" t="s">
        <v>1530</v>
      </c>
      <c r="C1258" s="102" t="s">
        <v>1531</v>
      </c>
      <c r="D1258" s="103" t="s">
        <v>26</v>
      </c>
      <c r="E1258" s="91" t="s">
        <v>1532</v>
      </c>
      <c r="F1258" s="91" t="s">
        <v>751</v>
      </c>
      <c r="G1258" s="91" t="s">
        <v>752</v>
      </c>
      <c r="H1258" s="104" t="str">
        <f t="shared" si="79"/>
        <v>C5151J20</v>
      </c>
      <c r="I1258" s="104"/>
      <c r="J1258" s="105">
        <v>1.56</v>
      </c>
      <c r="K1258" s="106">
        <f>IF(D1258="CAESARSTONE LTD",VLOOKUP(H1258,'[2]GIA CA'!G:H,2,0),IF(OR(D1258="STONE FACINGS LIMITED",D1258="NORDIA SA",D1258="INVICTUS STONE COUNTERTOPS INC",D1258="QUARTZTOP LLC"),VLOOKUP(H1258,'[2] Giá ngoài Mỹ - SI-GR'!$B$5:$AZ$84,51,0),IF(OR(D1258="HYUNDAI L&amp;C CANADA INC",D1258="Hyundai L&amp; C USA LLC"),VLOOKUP(H1258,'[2]GIA HS'!A:D,4,0),IF(Y1258="Mỹ",VLOOKUP(H1258,'[2]giá mỹ từ 6.8.2025'!B:I,2,0),VLOOKUP(H1258,'[2]giá ngoài mỹ 6.8.2025 (final)'!B:BP,51,0)))))</f>
        <v>65</v>
      </c>
      <c r="L1258" s="106">
        <v>129.49</v>
      </c>
      <c r="M1258" s="106">
        <f t="shared" si="78"/>
        <v>64.490000000000009</v>
      </c>
      <c r="N1258" s="106">
        <v>129.49</v>
      </c>
      <c r="O1258" s="107">
        <v>202</v>
      </c>
      <c r="P1258" s="107">
        <v>25870</v>
      </c>
      <c r="Q1258" s="107">
        <v>5225740</v>
      </c>
      <c r="R1258" s="102"/>
      <c r="S1258" s="108"/>
      <c r="T1258" s="109" t="s">
        <v>30</v>
      </c>
      <c r="U1258" s="109"/>
      <c r="V1258" s="102"/>
      <c r="W1258" s="109"/>
      <c r="X1258" s="109"/>
      <c r="Y1258" s="110" t="s">
        <v>97</v>
      </c>
      <c r="Z1258" s="111" t="str">
        <f>MID(E1258,4,2)</f>
        <v>CA</v>
      </c>
    </row>
    <row r="1259" spans="1:26" s="111" customFormat="1" x14ac:dyDescent="0.2">
      <c r="A1259" s="101">
        <v>46252</v>
      </c>
      <c r="B1259" s="91" t="s">
        <v>1530</v>
      </c>
      <c r="C1259" s="102" t="s">
        <v>1531</v>
      </c>
      <c r="D1259" s="103" t="s">
        <v>26</v>
      </c>
      <c r="E1259" s="91" t="s">
        <v>1532</v>
      </c>
      <c r="F1259" s="91" t="s">
        <v>751</v>
      </c>
      <c r="G1259" s="91" t="s">
        <v>752</v>
      </c>
      <c r="H1259" s="104" t="str">
        <f t="shared" si="79"/>
        <v>C5151J20</v>
      </c>
      <c r="I1259" s="104"/>
      <c r="J1259" s="105">
        <v>1.56</v>
      </c>
      <c r="K1259" s="106">
        <f>IF(D1259="CAESARSTONE LTD",VLOOKUP(H1259,'[2]GIA CA'!G:H,2,0),IF(OR(D1259="STONE FACINGS LIMITED",D1259="NORDIA SA",D1259="INVICTUS STONE COUNTERTOPS INC",D1259="QUARTZTOP LLC"),VLOOKUP(H1259,'[2] Giá ngoài Mỹ - SI-GR'!$B$5:$AZ$84,51,0),IF(OR(D1259="HYUNDAI L&amp;C CANADA INC",D1259="Hyundai L&amp; C USA LLC"),VLOOKUP(H1259,'[2]GIA HS'!A:D,4,0),IF(Y1259="Mỹ",VLOOKUP(H1259,'[2]giá mỹ từ 6.8.2025'!B:I,2,0),VLOOKUP(H1259,'[2]giá ngoài mỹ 6.8.2025 (final)'!B:BP,51,0)))))</f>
        <v>65</v>
      </c>
      <c r="L1259" s="106">
        <v>129.49</v>
      </c>
      <c r="M1259" s="106">
        <f t="shared" si="78"/>
        <v>64.490000000000009</v>
      </c>
      <c r="N1259" s="106">
        <v>129.49</v>
      </c>
      <c r="O1259" s="107">
        <v>202</v>
      </c>
      <c r="P1259" s="107">
        <v>25870</v>
      </c>
      <c r="Q1259" s="107">
        <v>5225740</v>
      </c>
      <c r="R1259" s="102"/>
      <c r="S1259" s="108"/>
      <c r="T1259" s="109" t="s">
        <v>30</v>
      </c>
      <c r="U1259" s="109"/>
      <c r="V1259" s="102"/>
      <c r="W1259" s="109"/>
      <c r="X1259" s="109"/>
      <c r="Y1259" s="110" t="s">
        <v>97</v>
      </c>
      <c r="Z1259" s="111" t="str">
        <f>MID(E1259,4,2)</f>
        <v>CA</v>
      </c>
    </row>
    <row r="1260" spans="1:26" s="111" customFormat="1" x14ac:dyDescent="0.2">
      <c r="A1260" s="101">
        <v>46252</v>
      </c>
      <c r="B1260" s="91" t="s">
        <v>1530</v>
      </c>
      <c r="C1260" s="102" t="s">
        <v>1531</v>
      </c>
      <c r="D1260" s="103" t="s">
        <v>26</v>
      </c>
      <c r="E1260" s="91" t="s">
        <v>1532</v>
      </c>
      <c r="F1260" s="91" t="s">
        <v>1446</v>
      </c>
      <c r="G1260" s="91" t="s">
        <v>1447</v>
      </c>
      <c r="H1260" s="104" t="str">
        <f t="shared" si="79"/>
        <v>C5222J20</v>
      </c>
      <c r="I1260" s="104"/>
      <c r="J1260" s="105">
        <v>1.56</v>
      </c>
      <c r="K1260" s="106">
        <f t="shared" ref="K1260:K1263" si="81">+L1260</f>
        <v>94.87</v>
      </c>
      <c r="L1260" s="106">
        <v>94.87</v>
      </c>
      <c r="M1260" s="106">
        <f t="shared" si="78"/>
        <v>0</v>
      </c>
      <c r="N1260" s="106">
        <v>94.87</v>
      </c>
      <c r="O1260" s="107">
        <v>148</v>
      </c>
      <c r="P1260" s="107">
        <v>25870</v>
      </c>
      <c r="Q1260" s="107">
        <v>3828760</v>
      </c>
      <c r="R1260" s="102"/>
      <c r="S1260" s="108"/>
      <c r="T1260" s="109" t="s">
        <v>30</v>
      </c>
      <c r="U1260" s="109"/>
      <c r="V1260" s="102"/>
      <c r="W1260" s="109"/>
      <c r="X1260" s="109"/>
      <c r="Y1260" s="110" t="s">
        <v>97</v>
      </c>
      <c r="Z1260" s="111" t="str">
        <f>MID(E1260,4,2)</f>
        <v>CA</v>
      </c>
    </row>
    <row r="1261" spans="1:26" s="111" customFormat="1" x14ac:dyDescent="0.2">
      <c r="A1261" s="101">
        <v>46252</v>
      </c>
      <c r="B1261" s="91" t="s">
        <v>1530</v>
      </c>
      <c r="C1261" s="102" t="s">
        <v>1531</v>
      </c>
      <c r="D1261" s="103" t="s">
        <v>26</v>
      </c>
      <c r="E1261" s="91" t="s">
        <v>1532</v>
      </c>
      <c r="F1261" s="91" t="s">
        <v>1063</v>
      </c>
      <c r="G1261" s="91" t="s">
        <v>1064</v>
      </c>
      <c r="H1261" s="104" t="str">
        <f t="shared" si="79"/>
        <v>C4023J13</v>
      </c>
      <c r="I1261" s="104"/>
      <c r="J1261" s="105">
        <v>152.46</v>
      </c>
      <c r="K1261" s="106">
        <f t="shared" si="81"/>
        <v>50.9</v>
      </c>
      <c r="L1261" s="106">
        <v>50.9</v>
      </c>
      <c r="M1261" s="106">
        <f t="shared" si="78"/>
        <v>0</v>
      </c>
      <c r="N1261" s="106">
        <v>50.9</v>
      </c>
      <c r="O1261" s="107">
        <v>7760.2</v>
      </c>
      <c r="P1261" s="107">
        <v>25870</v>
      </c>
      <c r="Q1261" s="107">
        <v>200756374</v>
      </c>
      <c r="R1261" s="102" t="s">
        <v>30</v>
      </c>
      <c r="S1261" s="108"/>
      <c r="T1261" s="109"/>
      <c r="U1261" s="109"/>
      <c r="V1261" s="102"/>
      <c r="W1261" s="109"/>
      <c r="X1261" s="109"/>
      <c r="Y1261" s="110" t="s">
        <v>97</v>
      </c>
      <c r="Z1261" s="111" t="str">
        <f>MID(E1261,4,2)</f>
        <v>CA</v>
      </c>
    </row>
    <row r="1262" spans="1:26" s="111" customFormat="1" x14ac:dyDescent="0.2">
      <c r="A1262" s="101">
        <v>46252</v>
      </c>
      <c r="B1262" s="91" t="s">
        <v>1530</v>
      </c>
      <c r="C1262" s="102" t="s">
        <v>1531</v>
      </c>
      <c r="D1262" s="103" t="s">
        <v>26</v>
      </c>
      <c r="E1262" s="91" t="s">
        <v>1532</v>
      </c>
      <c r="F1262" s="91" t="s">
        <v>110</v>
      </c>
      <c r="G1262" s="91" t="s">
        <v>111</v>
      </c>
      <c r="H1262" s="104" t="str">
        <f t="shared" si="79"/>
        <v>C4023J20</v>
      </c>
      <c r="I1262" s="104"/>
      <c r="J1262" s="105">
        <v>212.36</v>
      </c>
      <c r="K1262" s="106">
        <f t="shared" si="81"/>
        <v>59.9</v>
      </c>
      <c r="L1262" s="106">
        <v>59.9</v>
      </c>
      <c r="M1262" s="106">
        <f t="shared" si="78"/>
        <v>0</v>
      </c>
      <c r="N1262" s="106">
        <v>59.9</v>
      </c>
      <c r="O1262" s="107">
        <v>12720.54</v>
      </c>
      <c r="P1262" s="107">
        <v>25870</v>
      </c>
      <c r="Q1262" s="107">
        <v>329080370</v>
      </c>
      <c r="R1262" s="102" t="s">
        <v>30</v>
      </c>
      <c r="S1262" s="108"/>
      <c r="T1262" s="109"/>
      <c r="U1262" s="109"/>
      <c r="V1262" s="102"/>
      <c r="W1262" s="109"/>
      <c r="X1262" s="109"/>
      <c r="Y1262" s="110" t="s">
        <v>97</v>
      </c>
      <c r="Z1262" s="111" t="str">
        <f>MID(E1262,4,2)</f>
        <v>CA</v>
      </c>
    </row>
    <row r="1263" spans="1:26" s="111" customFormat="1" x14ac:dyDescent="0.2">
      <c r="A1263" s="101">
        <v>46252</v>
      </c>
      <c r="B1263" s="91" t="s">
        <v>1530</v>
      </c>
      <c r="C1263" s="102" t="s">
        <v>1531</v>
      </c>
      <c r="D1263" s="103" t="s">
        <v>26</v>
      </c>
      <c r="E1263" s="91" t="s">
        <v>1532</v>
      </c>
      <c r="F1263" s="91" t="s">
        <v>1535</v>
      </c>
      <c r="G1263" s="91" t="s">
        <v>111</v>
      </c>
      <c r="H1263" s="104" t="str">
        <f t="shared" si="79"/>
        <v>C4023J20</v>
      </c>
      <c r="I1263" s="104"/>
      <c r="J1263" s="105">
        <v>16.329999999999998</v>
      </c>
      <c r="K1263" s="106">
        <f t="shared" si="81"/>
        <v>59.9</v>
      </c>
      <c r="L1263" s="106">
        <v>59.9</v>
      </c>
      <c r="M1263" s="106">
        <f t="shared" si="78"/>
        <v>0</v>
      </c>
      <c r="N1263" s="106">
        <v>59.9</v>
      </c>
      <c r="O1263" s="107">
        <v>978.18</v>
      </c>
      <c r="P1263" s="107">
        <v>25870</v>
      </c>
      <c r="Q1263" s="107">
        <v>25305517</v>
      </c>
      <c r="R1263" s="102" t="s">
        <v>30</v>
      </c>
      <c r="S1263" s="108"/>
      <c r="T1263" s="109"/>
      <c r="U1263" s="109"/>
      <c r="V1263" s="102"/>
      <c r="W1263" s="109"/>
      <c r="X1263" s="109"/>
      <c r="Y1263" s="110" t="s">
        <v>97</v>
      </c>
      <c r="Z1263" s="111" t="str">
        <f>MID(E1263,4,2)</f>
        <v>CA</v>
      </c>
    </row>
    <row r="1264" spans="1:26" s="111" customFormat="1" x14ac:dyDescent="0.2">
      <c r="A1264" s="101">
        <v>46252</v>
      </c>
      <c r="B1264" s="91" t="s">
        <v>1530</v>
      </c>
      <c r="C1264" s="102" t="s">
        <v>1531</v>
      </c>
      <c r="D1264" s="103" t="s">
        <v>26</v>
      </c>
      <c r="E1264" s="91" t="s">
        <v>1532</v>
      </c>
      <c r="F1264" s="91" t="s">
        <v>1208</v>
      </c>
      <c r="G1264" s="91" t="s">
        <v>1209</v>
      </c>
      <c r="H1264" s="104" t="str">
        <f t="shared" si="79"/>
        <v>C5110J20</v>
      </c>
      <c r="I1264" s="104"/>
      <c r="J1264" s="105">
        <v>108.9</v>
      </c>
      <c r="K1264" s="106">
        <f>IF(D1264="CAESARSTONE LTD",VLOOKUP(H1264,'[2]GIA CA'!G:H,2,0),IF(OR(D1264="STONE FACINGS LIMITED",D1264="NORDIA SA",D1264="INVICTUS STONE COUNTERTOPS INC",D1264="QUARTZTOP LLC"),VLOOKUP(H1264,'[2] Giá ngoài Mỹ - SI-GR'!$B$5:$AZ$84,51,0),IF(OR(D1264="HYUNDAI L&amp;C CANADA INC",D1264="Hyundai L&amp; C USA LLC"),VLOOKUP(H1264,'[2]GIA HS'!A:D,4,0),IF(Y1264="Mỹ",VLOOKUP(H1264,'[2]giá mỹ từ 6.8.2025'!B:I,2,0),VLOOKUP(H1264,'[2]giá ngoài mỹ 6.8.2025 (final)'!B:BP,51,0)))))</f>
        <v>57</v>
      </c>
      <c r="L1264" s="106">
        <v>62</v>
      </c>
      <c r="M1264" s="106">
        <f t="shared" si="78"/>
        <v>5</v>
      </c>
      <c r="N1264" s="106">
        <v>62</v>
      </c>
      <c r="O1264" s="107">
        <v>6751.8</v>
      </c>
      <c r="P1264" s="107">
        <v>25870</v>
      </c>
      <c r="Q1264" s="107">
        <v>174669066</v>
      </c>
      <c r="R1264" s="102" t="s">
        <v>30</v>
      </c>
      <c r="S1264" s="108"/>
      <c r="T1264" s="109"/>
      <c r="U1264" s="109"/>
      <c r="V1264" s="102"/>
      <c r="W1264" s="109"/>
      <c r="X1264" s="109"/>
      <c r="Y1264" s="110" t="s">
        <v>97</v>
      </c>
      <c r="Z1264" s="111" t="str">
        <f>MID(E1264,4,2)</f>
        <v>CA</v>
      </c>
    </row>
    <row r="1265" spans="1:26" s="111" customFormat="1" x14ac:dyDescent="0.2">
      <c r="A1265" s="101">
        <v>46252</v>
      </c>
      <c r="B1265" s="91" t="s">
        <v>1530</v>
      </c>
      <c r="C1265" s="102" t="s">
        <v>1531</v>
      </c>
      <c r="D1265" s="103" t="s">
        <v>26</v>
      </c>
      <c r="E1265" s="91" t="s">
        <v>1532</v>
      </c>
      <c r="F1265" s="91" t="s">
        <v>1189</v>
      </c>
      <c r="G1265" s="91" t="s">
        <v>1190</v>
      </c>
      <c r="H1265" s="104" t="str">
        <f t="shared" si="79"/>
        <v>C6338J20</v>
      </c>
      <c r="I1265" s="104"/>
      <c r="J1265" s="105">
        <v>108.9</v>
      </c>
      <c r="K1265" s="106">
        <f>+L1265</f>
        <v>59.9</v>
      </c>
      <c r="L1265" s="106">
        <v>59.9</v>
      </c>
      <c r="M1265" s="106">
        <f t="shared" si="78"/>
        <v>0</v>
      </c>
      <c r="N1265" s="106">
        <v>59.9</v>
      </c>
      <c r="O1265" s="107">
        <v>6523.2</v>
      </c>
      <c r="P1265" s="107">
        <v>25870</v>
      </c>
      <c r="Q1265" s="107">
        <v>168755184</v>
      </c>
      <c r="R1265" s="102" t="s">
        <v>30</v>
      </c>
      <c r="S1265" s="108"/>
      <c r="T1265" s="109"/>
      <c r="U1265" s="109"/>
      <c r="V1265" s="102"/>
      <c r="W1265" s="109"/>
      <c r="X1265" s="109"/>
      <c r="Y1265" s="110" t="s">
        <v>97</v>
      </c>
      <c r="Z1265" s="111" t="str">
        <f>MID(E1265,4,2)</f>
        <v>CA</v>
      </c>
    </row>
    <row r="1266" spans="1:26" s="111" customFormat="1" x14ac:dyDescent="0.2">
      <c r="A1266" s="101">
        <v>46252</v>
      </c>
      <c r="B1266" s="91" t="s">
        <v>1536</v>
      </c>
      <c r="C1266" s="102" t="s">
        <v>1537</v>
      </c>
      <c r="D1266" s="103" t="s">
        <v>26</v>
      </c>
      <c r="E1266" s="91" t="s">
        <v>1538</v>
      </c>
      <c r="F1266" s="91" t="s">
        <v>1259</v>
      </c>
      <c r="G1266" s="91" t="s">
        <v>1260</v>
      </c>
      <c r="H1266" s="104" t="str">
        <f t="shared" si="79"/>
        <v>C4143J20</v>
      </c>
      <c r="I1266" s="104"/>
      <c r="J1266" s="105">
        <v>54.45</v>
      </c>
      <c r="K1266" s="106">
        <f>IF(D1266="CAESARSTONE LTD",VLOOKUP(H1266,'[2]GIA CA'!G:H,2,0),IF(OR(D1266="STONE FACINGS LIMITED",D1266="NORDIA SA",D1266="INVICTUS STONE COUNTERTOPS INC",D1266="QUARTZTOP LLC"),VLOOKUP(H1266,'[2] Giá ngoài Mỹ - SI-GR'!$B$5:$AZ$84,51,0),IF(OR(D1266="HYUNDAI L&amp;C CANADA INC",D1266="Hyundai L&amp; C USA LLC"),VLOOKUP(H1266,'[2]GIA HS'!A:D,4,0),IF(Y1266="Mỹ",VLOOKUP(H1266,'[2]giá mỹ từ 6.8.2025'!B:I,2,0),VLOOKUP(H1266,'[2]giá ngoài mỹ 6.8.2025 (final)'!B:BP,51,0)))))</f>
        <v>57</v>
      </c>
      <c r="L1266" s="106">
        <v>74.801000000000002</v>
      </c>
      <c r="M1266" s="106">
        <f t="shared" si="78"/>
        <v>17.801000000000002</v>
      </c>
      <c r="N1266" s="106">
        <v>59.9</v>
      </c>
      <c r="O1266" s="107">
        <v>3261.6</v>
      </c>
      <c r="P1266" s="107">
        <v>25870</v>
      </c>
      <c r="Q1266" s="107">
        <v>84377592</v>
      </c>
      <c r="R1266" s="102" t="s">
        <v>30</v>
      </c>
      <c r="S1266" s="108"/>
      <c r="T1266" s="109"/>
      <c r="U1266" s="109"/>
      <c r="V1266" s="102"/>
      <c r="W1266" s="109"/>
      <c r="X1266" s="109"/>
      <c r="Y1266" s="110" t="s">
        <v>803</v>
      </c>
      <c r="Z1266" s="111" t="str">
        <f>MID(E1266,4,2)</f>
        <v>CA</v>
      </c>
    </row>
    <row r="1267" spans="1:26" s="111" customFormat="1" x14ac:dyDescent="0.2">
      <c r="A1267" s="101">
        <v>46252</v>
      </c>
      <c r="B1267" s="91" t="s">
        <v>1536</v>
      </c>
      <c r="C1267" s="102" t="s">
        <v>1537</v>
      </c>
      <c r="D1267" s="103" t="s">
        <v>26</v>
      </c>
      <c r="E1267" s="91" t="s">
        <v>1538</v>
      </c>
      <c r="F1267" s="91" t="s">
        <v>895</v>
      </c>
      <c r="G1267" s="91" t="s">
        <v>896</v>
      </c>
      <c r="H1267" s="104" t="str">
        <f t="shared" si="79"/>
        <v>C4143J30</v>
      </c>
      <c r="I1267" s="104"/>
      <c r="J1267" s="105">
        <v>196.02</v>
      </c>
      <c r="K1267" s="106">
        <f>IF(D1267="CAESARSTONE LTD",VLOOKUP(H1267,'[2]GIA CA'!G:H,2,0),IF(OR(D1267="STONE FACINGS LIMITED",D1267="NORDIA SA",D1267="INVICTUS STONE COUNTERTOPS INC",D1267="QUARTZTOP LLC"),VLOOKUP(H1267,'[2] Giá ngoài Mỹ - SI-GR'!$B$5:$AZ$84,51,0),IF(OR(D1267="HYUNDAI L&amp;C CANADA INC",D1267="Hyundai L&amp; C USA LLC"),VLOOKUP(H1267,'[2]GIA HS'!A:D,4,0),IF(Y1267="Mỹ",VLOOKUP(H1267,'[2]giá mỹ từ 6.8.2025'!B:I,2,0),VLOOKUP(H1267,'[2]giá ngoài mỹ 6.8.2025 (final)'!B:BP,51,0)))))</f>
        <v>71.3</v>
      </c>
      <c r="L1267" s="106">
        <f>+N1267</f>
        <v>74.8</v>
      </c>
      <c r="M1267" s="106">
        <f t="shared" si="78"/>
        <v>3.5</v>
      </c>
      <c r="N1267" s="106">
        <v>74.8</v>
      </c>
      <c r="O1267" s="107">
        <v>14662.44</v>
      </c>
      <c r="P1267" s="107">
        <v>25870</v>
      </c>
      <c r="Q1267" s="107">
        <v>379317323</v>
      </c>
      <c r="R1267" s="102" t="s">
        <v>30</v>
      </c>
      <c r="S1267" s="108"/>
      <c r="T1267" s="109"/>
      <c r="U1267" s="109"/>
      <c r="V1267" s="102"/>
      <c r="W1267" s="109"/>
      <c r="X1267" s="109"/>
      <c r="Y1267" s="110" t="s">
        <v>803</v>
      </c>
      <c r="Z1267" s="111" t="str">
        <f>MID(E1267,4,2)</f>
        <v>CA</v>
      </c>
    </row>
    <row r="1268" spans="1:26" s="111" customFormat="1" x14ac:dyDescent="0.2">
      <c r="A1268" s="101">
        <v>46252</v>
      </c>
      <c r="B1268" s="91" t="s">
        <v>1536</v>
      </c>
      <c r="C1268" s="102" t="s">
        <v>1537</v>
      </c>
      <c r="D1268" s="103" t="s">
        <v>26</v>
      </c>
      <c r="E1268" s="91" t="s">
        <v>1538</v>
      </c>
      <c r="F1268" s="91" t="s">
        <v>458</v>
      </c>
      <c r="G1268" s="91" t="s">
        <v>459</v>
      </c>
      <c r="H1268" s="104" t="str">
        <f t="shared" si="79"/>
        <v>F6131J20</v>
      </c>
      <c r="I1268" s="104"/>
      <c r="J1268" s="105">
        <v>108.9</v>
      </c>
      <c r="K1268" s="106">
        <f>IF(D1268="CAESARSTONE LTD",VLOOKUP(H1268,'[2]GIA CA'!G:H,2,0),IF(OR(D1268="STONE FACINGS LIMITED",D1268="NORDIA SA",D1268="INVICTUS STONE COUNTERTOPS INC",D1268="QUARTZTOP LLC"),VLOOKUP(H1268,'[2] Giá ngoài Mỹ - SI-GR'!$B$5:$AZ$84,51,0),IF(OR(D1268="HYUNDAI L&amp;C CANADA INC",D1268="Hyundai L&amp; C USA LLC"),VLOOKUP(H1268,'[2]GIA HS'!A:D,4,0),IF(Y1268="Mỹ",VLOOKUP(H1268,'[2]giá mỹ từ 6.8.2025'!B:I,2,0),VLOOKUP(H1268,'[2]giá ngoài mỹ 6.8.2025 (final)'!B:BP,51,0)))))</f>
        <v>62</v>
      </c>
      <c r="L1268" s="106">
        <v>65.099999999999994</v>
      </c>
      <c r="M1268" s="106">
        <f t="shared" si="78"/>
        <v>3.0999999999999943</v>
      </c>
      <c r="N1268" s="106">
        <v>65.099999999999994</v>
      </c>
      <c r="O1268" s="107">
        <v>7089.4</v>
      </c>
      <c r="P1268" s="107">
        <v>25870</v>
      </c>
      <c r="Q1268" s="107">
        <v>183402778</v>
      </c>
      <c r="R1268" s="102" t="s">
        <v>30</v>
      </c>
      <c r="S1268" s="108"/>
      <c r="T1268" s="109"/>
      <c r="U1268" s="109"/>
      <c r="V1268" s="102"/>
      <c r="W1268" s="109"/>
      <c r="X1268" s="109"/>
      <c r="Y1268" s="110" t="s">
        <v>803</v>
      </c>
      <c r="Z1268" s="111" t="str">
        <f>MID(E1268,4,2)</f>
        <v>CA</v>
      </c>
    </row>
    <row r="1269" spans="1:26" s="111" customFormat="1" x14ac:dyDescent="0.2">
      <c r="A1269" s="101">
        <v>46252</v>
      </c>
      <c r="B1269" s="91" t="s">
        <v>1539</v>
      </c>
      <c r="C1269" s="102" t="s">
        <v>1540</v>
      </c>
      <c r="D1269" s="103" t="s">
        <v>26</v>
      </c>
      <c r="E1269" s="91" t="s">
        <v>1541</v>
      </c>
      <c r="F1269" s="91" t="s">
        <v>1542</v>
      </c>
      <c r="G1269" s="91" t="s">
        <v>1543</v>
      </c>
      <c r="H1269" s="104" t="str">
        <f t="shared" si="79"/>
        <v>F5112J20</v>
      </c>
      <c r="I1269" s="104"/>
      <c r="J1269" s="105">
        <v>21.78</v>
      </c>
      <c r="K1269" s="106">
        <f>IF(D1269="CAESARSTONE LTD",VLOOKUP(H1269,'[2]GIA CA'!G:H,2,0),IF(OR(D1269="STONE FACINGS LIMITED",D1269="NORDIA SA",D1269="INVICTUS STONE COUNTERTOPS INC",D1269="QUARTZTOP LLC"),VLOOKUP(H1269,'[2] Giá ngoài Mỹ - SI-GR'!$B$5:$AZ$84,51,0),IF(OR(D1269="HYUNDAI L&amp;C CANADA INC",D1269="Hyundai L&amp; C USA LLC"),VLOOKUP(H1269,'[2]GIA HS'!A:D,4,0),IF(Y1269="Mỹ",VLOOKUP(H1269,'[2]giá mỹ từ 6.8.2025'!B:I,2,0),VLOOKUP(H1269,'[2]giá ngoài mỹ 6.8.2025 (final)'!B:BP,51,0)))))</f>
        <v>60</v>
      </c>
      <c r="L1269" s="106">
        <v>62.99</v>
      </c>
      <c r="M1269" s="106">
        <f t="shared" si="78"/>
        <v>2.990000000000002</v>
      </c>
      <c r="N1269" s="106">
        <v>62.99</v>
      </c>
      <c r="O1269" s="107">
        <v>1371.91</v>
      </c>
      <c r="P1269" s="107">
        <v>25870</v>
      </c>
      <c r="Q1269" s="107">
        <v>35491312</v>
      </c>
      <c r="R1269" s="102" t="s">
        <v>30</v>
      </c>
      <c r="S1269" s="108"/>
      <c r="T1269" s="109"/>
      <c r="U1269" s="109"/>
      <c r="V1269" s="102"/>
      <c r="W1269" s="109"/>
      <c r="X1269" s="109"/>
      <c r="Y1269" s="110" t="s">
        <v>803</v>
      </c>
      <c r="Z1269" s="111" t="str">
        <f>MID(E1269,4,2)</f>
        <v>CA</v>
      </c>
    </row>
    <row r="1270" spans="1:26" s="111" customFormat="1" x14ac:dyDescent="0.2">
      <c r="A1270" s="101">
        <v>46252</v>
      </c>
      <c r="B1270" s="91" t="s">
        <v>1539</v>
      </c>
      <c r="C1270" s="102" t="s">
        <v>1540</v>
      </c>
      <c r="D1270" s="103" t="s">
        <v>26</v>
      </c>
      <c r="E1270" s="91" t="s">
        <v>1541</v>
      </c>
      <c r="F1270" s="91" t="s">
        <v>1544</v>
      </c>
      <c r="G1270" s="91" t="s">
        <v>1543</v>
      </c>
      <c r="H1270" s="104" t="str">
        <f t="shared" si="79"/>
        <v>F5112J20</v>
      </c>
      <c r="I1270" s="104"/>
      <c r="J1270" s="105">
        <v>5.45</v>
      </c>
      <c r="K1270" s="106">
        <f>IF(D1270="CAESARSTONE LTD",VLOOKUP(H1270,'[2]GIA CA'!G:H,2,0),IF(OR(D1270="STONE FACINGS LIMITED",D1270="NORDIA SA",D1270="INVICTUS STONE COUNTERTOPS INC",D1270="QUARTZTOP LLC"),VLOOKUP(H1270,'[2] Giá ngoài Mỹ - SI-GR'!$B$5:$AZ$84,51,0),IF(OR(D1270="HYUNDAI L&amp;C CANADA INC",D1270="Hyundai L&amp; C USA LLC"),VLOOKUP(H1270,'[2]GIA HS'!A:D,4,0),IF(Y1270="Mỹ",VLOOKUP(H1270,'[2]giá mỹ từ 6.8.2025'!B:I,2,0),VLOOKUP(H1270,'[2]giá ngoài mỹ 6.8.2025 (final)'!B:BP,51,0)))))</f>
        <v>60</v>
      </c>
      <c r="L1270" s="106">
        <v>62.99</v>
      </c>
      <c r="M1270" s="106">
        <f t="shared" si="78"/>
        <v>2.990000000000002</v>
      </c>
      <c r="N1270" s="106">
        <v>62.99</v>
      </c>
      <c r="O1270" s="107">
        <v>343.29</v>
      </c>
      <c r="P1270" s="107">
        <v>25870</v>
      </c>
      <c r="Q1270" s="107">
        <v>8880912</v>
      </c>
      <c r="R1270" s="102" t="s">
        <v>30</v>
      </c>
      <c r="S1270" s="108"/>
      <c r="T1270" s="109"/>
      <c r="U1270" s="109"/>
      <c r="V1270" s="102"/>
      <c r="W1270" s="109"/>
      <c r="X1270" s="109"/>
      <c r="Y1270" s="110" t="s">
        <v>803</v>
      </c>
      <c r="Z1270" s="111" t="str">
        <f>MID(E1270,4,2)</f>
        <v>CA</v>
      </c>
    </row>
    <row r="1271" spans="1:26" s="111" customFormat="1" x14ac:dyDescent="0.2">
      <c r="A1271" s="101">
        <v>46252</v>
      </c>
      <c r="B1271" s="91" t="s">
        <v>1539</v>
      </c>
      <c r="C1271" s="102" t="s">
        <v>1540</v>
      </c>
      <c r="D1271" s="103" t="s">
        <v>26</v>
      </c>
      <c r="E1271" s="91" t="s">
        <v>1541</v>
      </c>
      <c r="F1271" s="91" t="s">
        <v>1545</v>
      </c>
      <c r="G1271" s="91" t="s">
        <v>1546</v>
      </c>
      <c r="H1271" s="104" t="str">
        <f t="shared" si="79"/>
        <v>F5112J20</v>
      </c>
      <c r="I1271" s="104"/>
      <c r="J1271" s="105">
        <v>27.23</v>
      </c>
      <c r="K1271" s="106">
        <v>20</v>
      </c>
      <c r="L1271" s="106">
        <v>31.49</v>
      </c>
      <c r="M1271" s="106">
        <f t="shared" si="78"/>
        <v>11.489999999999998</v>
      </c>
      <c r="N1271" s="106">
        <v>31.49</v>
      </c>
      <c r="O1271" s="107">
        <v>857.6</v>
      </c>
      <c r="P1271" s="107">
        <v>25870</v>
      </c>
      <c r="Q1271" s="107">
        <v>22186112</v>
      </c>
      <c r="R1271" s="102" t="s">
        <v>30</v>
      </c>
      <c r="S1271" s="108"/>
      <c r="T1271" s="109"/>
      <c r="U1271" s="109"/>
      <c r="V1271" s="102"/>
      <c r="W1271" s="109"/>
      <c r="X1271" s="109"/>
      <c r="Y1271" s="110" t="s">
        <v>803</v>
      </c>
      <c r="Z1271" s="111" t="str">
        <f>MID(E1271,4,2)</f>
        <v>CA</v>
      </c>
    </row>
    <row r="1272" spans="1:26" s="111" customFormat="1" x14ac:dyDescent="0.2">
      <c r="A1272" s="101">
        <v>46252</v>
      </c>
      <c r="B1272" s="91" t="s">
        <v>1539</v>
      </c>
      <c r="C1272" s="102" t="s">
        <v>1540</v>
      </c>
      <c r="D1272" s="103" t="s">
        <v>26</v>
      </c>
      <c r="E1272" s="91" t="s">
        <v>1541</v>
      </c>
      <c r="F1272" s="91" t="s">
        <v>456</v>
      </c>
      <c r="G1272" s="91" t="s">
        <v>457</v>
      </c>
      <c r="H1272" s="104" t="str">
        <f t="shared" si="79"/>
        <v>F5131J30</v>
      </c>
      <c r="I1272" s="104"/>
      <c r="J1272" s="105">
        <v>59.9</v>
      </c>
      <c r="K1272" s="106">
        <f>IF(D1272="CAESARSTONE LTD",VLOOKUP(H1272,'[2]GIA CA'!G:H,2,0),IF(OR(D1272="STONE FACINGS LIMITED",D1272="NORDIA SA",D1272="INVICTUS STONE COUNTERTOPS INC",D1272="QUARTZTOP LLC"),VLOOKUP(H1272,'[2] Giá ngoài Mỹ - SI-GR'!$B$5:$AZ$84,51,0),IF(OR(D1272="HYUNDAI L&amp;C CANADA INC",D1272="Hyundai L&amp; C USA LLC"),VLOOKUP(H1272,'[2]GIA HS'!A:D,4,0),IF(Y1272="Mỹ",VLOOKUP(H1272,'[2]giá mỹ từ 6.8.2025'!B:I,2,0),VLOOKUP(H1272,'[2]giá ngoài mỹ 6.8.2025 (final)'!B:BP,51,0)))))</f>
        <v>75</v>
      </c>
      <c r="L1272" s="106">
        <v>78.790000000000006</v>
      </c>
      <c r="M1272" s="106">
        <f t="shared" si="78"/>
        <v>3.7900000000000063</v>
      </c>
      <c r="N1272" s="106">
        <v>78.790000000000006</v>
      </c>
      <c r="O1272" s="107">
        <v>4719.7700000000004</v>
      </c>
      <c r="P1272" s="107">
        <v>25870</v>
      </c>
      <c r="Q1272" s="107">
        <v>122100450</v>
      </c>
      <c r="R1272" s="102" t="s">
        <v>30</v>
      </c>
      <c r="S1272" s="108"/>
      <c r="T1272" s="109"/>
      <c r="U1272" s="109"/>
      <c r="V1272" s="102"/>
      <c r="W1272" s="109"/>
      <c r="X1272" s="109"/>
      <c r="Y1272" s="110" t="s">
        <v>803</v>
      </c>
      <c r="Z1272" s="111" t="str">
        <f>MID(E1272,4,2)</f>
        <v>CA</v>
      </c>
    </row>
    <row r="1273" spans="1:26" s="111" customFormat="1" x14ac:dyDescent="0.2">
      <c r="A1273" s="101">
        <v>46252</v>
      </c>
      <c r="B1273" s="91" t="s">
        <v>1539</v>
      </c>
      <c r="C1273" s="102" t="s">
        <v>1540</v>
      </c>
      <c r="D1273" s="103" t="s">
        <v>26</v>
      </c>
      <c r="E1273" s="91" t="s">
        <v>1541</v>
      </c>
      <c r="F1273" s="91" t="s">
        <v>1343</v>
      </c>
      <c r="G1273" s="91" t="s">
        <v>1344</v>
      </c>
      <c r="H1273" s="104" t="str">
        <f t="shared" si="79"/>
        <v>F6134J20</v>
      </c>
      <c r="I1273" s="104"/>
      <c r="J1273" s="105">
        <v>304.92</v>
      </c>
      <c r="K1273" s="106">
        <f>IF(D1273="CAESARSTONE LTD",VLOOKUP(H1273,'[2]GIA CA'!G:H,2,0),IF(OR(D1273="STONE FACINGS LIMITED",D1273="NORDIA SA",D1273="INVICTUS STONE COUNTERTOPS INC",D1273="QUARTZTOP LLC"),VLOOKUP(H1273,'[2] Giá ngoài Mỹ - SI-GR'!$B$5:$AZ$84,51,0),IF(OR(D1273="HYUNDAI L&amp;C CANADA INC",D1273="Hyundai L&amp; C USA LLC"),VLOOKUP(H1273,'[2]GIA HS'!A:D,4,0),IF(Y1273="Mỹ",VLOOKUP(H1273,'[2]giá mỹ từ 6.8.2025'!B:I,2,0),VLOOKUP(H1273,'[2]giá ngoài mỹ 6.8.2025 (final)'!B:BP,51,0)))))</f>
        <v>62</v>
      </c>
      <c r="L1273" s="106">
        <v>65.099999999999994</v>
      </c>
      <c r="M1273" s="106">
        <f t="shared" si="78"/>
        <v>3.0999999999999943</v>
      </c>
      <c r="N1273" s="106">
        <v>65.099999999999994</v>
      </c>
      <c r="O1273" s="107">
        <v>19850.32</v>
      </c>
      <c r="P1273" s="107">
        <v>25870</v>
      </c>
      <c r="Q1273" s="107">
        <v>513527778</v>
      </c>
      <c r="R1273" s="102" t="s">
        <v>30</v>
      </c>
      <c r="S1273" s="108"/>
      <c r="T1273" s="109"/>
      <c r="U1273" s="109"/>
      <c r="V1273" s="102"/>
      <c r="W1273" s="109"/>
      <c r="X1273" s="109"/>
      <c r="Y1273" s="110" t="s">
        <v>803</v>
      </c>
      <c r="Z1273" s="111" t="str">
        <f>MID(E1273,4,2)</f>
        <v>CA</v>
      </c>
    </row>
    <row r="1274" spans="1:26" s="111" customFormat="1" x14ac:dyDescent="0.2">
      <c r="A1274" s="101">
        <v>46252</v>
      </c>
      <c r="B1274" s="91" t="s">
        <v>1547</v>
      </c>
      <c r="C1274" s="102" t="s">
        <v>1548</v>
      </c>
      <c r="D1274" s="103" t="s">
        <v>26</v>
      </c>
      <c r="E1274" s="91" t="s">
        <v>1549</v>
      </c>
      <c r="F1274" s="91" t="s">
        <v>943</v>
      </c>
      <c r="G1274" s="91" t="s">
        <v>944</v>
      </c>
      <c r="H1274" s="104" t="str">
        <f t="shared" si="79"/>
        <v>C5000J20</v>
      </c>
      <c r="I1274" s="104"/>
      <c r="J1274" s="105">
        <v>0.94</v>
      </c>
      <c r="K1274" s="106">
        <f>IF(D1274="CAESARSTONE LTD",VLOOKUP(H1274,'[2]GIA CA'!G:H,2,0),IF(OR(D1274="STONE FACINGS LIMITED",D1274="NORDIA SA",D1274="INVICTUS STONE COUNTERTOPS INC",D1274="QUARTZTOP LLC"),VLOOKUP(H1274,'[2] Giá ngoài Mỹ - SI-GR'!$B$5:$AZ$84,51,0),IF(OR(D1274="HYUNDAI L&amp;C CANADA INC",D1274="Hyundai L&amp; C USA LLC"),VLOOKUP(H1274,'[2]GIA HS'!A:D,4,0),IF(Y1274="Mỹ",VLOOKUP(H1274,'[2]giá mỹ từ 6.8.2025'!B:I,2,0),VLOOKUP(H1274,'[2]giá ngoài mỹ 6.8.2025 (final)'!B:BP,51,0)))))</f>
        <v>55</v>
      </c>
      <c r="L1274" s="106">
        <v>94.47</v>
      </c>
      <c r="M1274" s="106">
        <f t="shared" si="78"/>
        <v>39.47</v>
      </c>
      <c r="N1274" s="106">
        <v>94.47</v>
      </c>
      <c r="O1274" s="107">
        <v>88.8</v>
      </c>
      <c r="P1274" s="107">
        <v>25870</v>
      </c>
      <c r="Q1274" s="107">
        <v>2297256</v>
      </c>
      <c r="R1274" s="102"/>
      <c r="S1274" s="108"/>
      <c r="T1274" s="109" t="s">
        <v>30</v>
      </c>
      <c r="U1274" s="109"/>
      <c r="V1274" s="102"/>
      <c r="W1274" s="109"/>
      <c r="X1274" s="109"/>
      <c r="Y1274" s="110" t="s">
        <v>803</v>
      </c>
      <c r="Z1274" s="111" t="str">
        <f>MID(E1274,4,2)</f>
        <v>CA</v>
      </c>
    </row>
    <row r="1275" spans="1:26" s="111" customFormat="1" x14ac:dyDescent="0.2">
      <c r="A1275" s="101">
        <v>46252</v>
      </c>
      <c r="B1275" s="91" t="s">
        <v>1547</v>
      </c>
      <c r="C1275" s="102" t="s">
        <v>1548</v>
      </c>
      <c r="D1275" s="103" t="s">
        <v>26</v>
      </c>
      <c r="E1275" s="91" t="s">
        <v>1549</v>
      </c>
      <c r="F1275" s="91" t="s">
        <v>98</v>
      </c>
      <c r="G1275" s="91" t="s">
        <v>99</v>
      </c>
      <c r="H1275" s="104" t="str">
        <f t="shared" si="79"/>
        <v>C5820J20</v>
      </c>
      <c r="I1275" s="104"/>
      <c r="J1275" s="105">
        <v>0.31</v>
      </c>
      <c r="K1275" s="106">
        <f t="shared" ref="K1275:K1276" si="82">+L1275</f>
        <v>95.48</v>
      </c>
      <c r="L1275" s="106">
        <v>95.48</v>
      </c>
      <c r="M1275" s="106">
        <f t="shared" si="78"/>
        <v>0</v>
      </c>
      <c r="N1275" s="106">
        <v>95.48</v>
      </c>
      <c r="O1275" s="107">
        <v>29.6</v>
      </c>
      <c r="P1275" s="107">
        <v>25870</v>
      </c>
      <c r="Q1275" s="107">
        <v>765752</v>
      </c>
      <c r="R1275" s="102"/>
      <c r="S1275" s="108"/>
      <c r="T1275" s="109" t="s">
        <v>30</v>
      </c>
      <c r="U1275" s="109"/>
      <c r="V1275" s="102"/>
      <c r="W1275" s="109"/>
      <c r="X1275" s="109"/>
      <c r="Y1275" s="110" t="s">
        <v>803</v>
      </c>
      <c r="Z1275" s="111" t="str">
        <f>MID(E1275,4,2)</f>
        <v>CA</v>
      </c>
    </row>
    <row r="1276" spans="1:26" s="111" customFormat="1" x14ac:dyDescent="0.2">
      <c r="A1276" s="101">
        <v>46252</v>
      </c>
      <c r="B1276" s="91" t="s">
        <v>1547</v>
      </c>
      <c r="C1276" s="102" t="s">
        <v>1548</v>
      </c>
      <c r="D1276" s="103" t="s">
        <v>26</v>
      </c>
      <c r="E1276" s="91" t="s">
        <v>1549</v>
      </c>
      <c r="F1276" s="91" t="s">
        <v>1324</v>
      </c>
      <c r="G1276" s="91" t="s">
        <v>1325</v>
      </c>
      <c r="H1276" s="104" t="str">
        <f t="shared" si="79"/>
        <v>F4033J20</v>
      </c>
      <c r="I1276" s="104"/>
      <c r="J1276" s="105">
        <v>1.56</v>
      </c>
      <c r="K1276" s="106">
        <f t="shared" si="82"/>
        <v>94.87</v>
      </c>
      <c r="L1276" s="106">
        <v>94.87</v>
      </c>
      <c r="M1276" s="106">
        <f t="shared" si="78"/>
        <v>0</v>
      </c>
      <c r="N1276" s="106">
        <v>94.87</v>
      </c>
      <c r="O1276" s="107">
        <v>148</v>
      </c>
      <c r="P1276" s="107">
        <v>25870</v>
      </c>
      <c r="Q1276" s="107">
        <v>3828760</v>
      </c>
      <c r="R1276" s="102"/>
      <c r="S1276" s="108"/>
      <c r="T1276" s="109" t="s">
        <v>30</v>
      </c>
      <c r="U1276" s="109"/>
      <c r="V1276" s="102"/>
      <c r="W1276" s="109"/>
      <c r="X1276" s="109"/>
      <c r="Y1276" s="110" t="s">
        <v>803</v>
      </c>
      <c r="Z1276" s="111" t="str">
        <f>MID(E1276,4,2)</f>
        <v>CA</v>
      </c>
    </row>
    <row r="1277" spans="1:26" s="111" customFormat="1" x14ac:dyDescent="0.2">
      <c r="A1277" s="101">
        <v>46252</v>
      </c>
      <c r="B1277" s="91" t="s">
        <v>1547</v>
      </c>
      <c r="C1277" s="102" t="s">
        <v>1548</v>
      </c>
      <c r="D1277" s="103" t="s">
        <v>26</v>
      </c>
      <c r="E1277" s="91" t="s">
        <v>1549</v>
      </c>
      <c r="F1277" s="91" t="s">
        <v>306</v>
      </c>
      <c r="G1277" s="91" t="s">
        <v>307</v>
      </c>
      <c r="H1277" s="104" t="str">
        <f t="shared" si="79"/>
        <v>F5105J20</v>
      </c>
      <c r="I1277" s="104"/>
      <c r="J1277" s="105">
        <v>1.56</v>
      </c>
      <c r="K1277" s="106">
        <f>IF(D1277="CAESARSTONE LTD",VLOOKUP(H1277,'[2]GIA CA'!G:H,2,0),IF(OR(D1277="STONE FACINGS LIMITED",D1277="NORDIA SA",D1277="INVICTUS STONE COUNTERTOPS INC",D1277="QUARTZTOP LLC"),VLOOKUP(H1277,'[2] Giá ngoài Mỹ - SI-GR'!$B$5:$AZ$84,51,0),IF(OR(D1277="HYUNDAI L&amp;C CANADA INC",D1277="Hyundai L&amp; C USA LLC"),VLOOKUP(H1277,'[2]GIA HS'!A:D,4,0),IF(Y1277="Mỹ",VLOOKUP(H1277,'[2]giá mỹ từ 6.8.2025'!B:I,2,0),VLOOKUP(H1277,'[2]giá ngoài mỹ 6.8.2025 (final)'!B:BP,51,0)))))</f>
        <v>68</v>
      </c>
      <c r="L1277" s="106">
        <v>129.49</v>
      </c>
      <c r="M1277" s="106">
        <f t="shared" si="78"/>
        <v>61.490000000000009</v>
      </c>
      <c r="N1277" s="106">
        <v>129.49</v>
      </c>
      <c r="O1277" s="107">
        <v>202</v>
      </c>
      <c r="P1277" s="107">
        <v>25870</v>
      </c>
      <c r="Q1277" s="107">
        <v>5225740</v>
      </c>
      <c r="R1277" s="102"/>
      <c r="S1277" s="108"/>
      <c r="T1277" s="109" t="s">
        <v>30</v>
      </c>
      <c r="U1277" s="109"/>
      <c r="V1277" s="102"/>
      <c r="W1277" s="109"/>
      <c r="X1277" s="109"/>
      <c r="Y1277" s="110" t="s">
        <v>803</v>
      </c>
      <c r="Z1277" s="111" t="str">
        <f>MID(E1277,4,2)</f>
        <v>CA</v>
      </c>
    </row>
    <row r="1278" spans="1:26" s="111" customFormat="1" x14ac:dyDescent="0.2">
      <c r="A1278" s="101">
        <v>46252</v>
      </c>
      <c r="B1278" s="91" t="s">
        <v>1547</v>
      </c>
      <c r="C1278" s="102" t="s">
        <v>1548</v>
      </c>
      <c r="D1278" s="103" t="s">
        <v>26</v>
      </c>
      <c r="E1278" s="91" t="s">
        <v>1549</v>
      </c>
      <c r="F1278" s="91" t="s">
        <v>1550</v>
      </c>
      <c r="G1278" s="91" t="s">
        <v>1551</v>
      </c>
      <c r="H1278" s="104" t="str">
        <f t="shared" si="79"/>
        <v>F5130J20</v>
      </c>
      <c r="I1278" s="104"/>
      <c r="J1278" s="105">
        <v>0.4</v>
      </c>
      <c r="K1278" s="106">
        <f>IF(D1278="CAESARSTONE LTD",VLOOKUP(H1278,'[2]GIA CA'!G:H,2,0),IF(OR(D1278="STONE FACINGS LIMITED",D1278="NORDIA SA",D1278="INVICTUS STONE COUNTERTOPS INC",D1278="QUARTZTOP LLC"),VLOOKUP(H1278,'[2] Giá ngoài Mỹ - SI-GR'!$B$5:$AZ$84,51,0),IF(OR(D1278="HYUNDAI L&amp;C CANADA INC",D1278="Hyundai L&amp; C USA LLC"),VLOOKUP(H1278,'[2]GIA HS'!A:D,4,0),IF(Y1278="Mỹ",VLOOKUP(H1278,'[2]giá mỹ từ 6.8.2025'!B:I,2,0),VLOOKUP(H1278,'[2]giá ngoài mỹ 6.8.2025 (final)'!B:BP,51,0)))))</f>
        <v>62</v>
      </c>
      <c r="L1278" s="106">
        <v>96</v>
      </c>
      <c r="M1278" s="106">
        <f t="shared" si="78"/>
        <v>34</v>
      </c>
      <c r="N1278" s="106">
        <v>96</v>
      </c>
      <c r="O1278" s="107">
        <v>38.4</v>
      </c>
      <c r="P1278" s="107">
        <v>25870</v>
      </c>
      <c r="Q1278" s="107">
        <v>993408</v>
      </c>
      <c r="R1278" s="102"/>
      <c r="S1278" s="108"/>
      <c r="T1278" s="109" t="s">
        <v>30</v>
      </c>
      <c r="U1278" s="109"/>
      <c r="V1278" s="102"/>
      <c r="W1278" s="109"/>
      <c r="X1278" s="109"/>
      <c r="Y1278" s="110" t="s">
        <v>803</v>
      </c>
      <c r="Z1278" s="111" t="str">
        <f>MID(E1278,4,2)</f>
        <v>CA</v>
      </c>
    </row>
    <row r="1279" spans="1:26" s="111" customFormat="1" x14ac:dyDescent="0.2">
      <c r="A1279" s="101">
        <v>46252</v>
      </c>
      <c r="B1279" s="91" t="s">
        <v>1547</v>
      </c>
      <c r="C1279" s="102" t="s">
        <v>1548</v>
      </c>
      <c r="D1279" s="103" t="s">
        <v>26</v>
      </c>
      <c r="E1279" s="91" t="s">
        <v>1549</v>
      </c>
      <c r="F1279" s="91" t="s">
        <v>1222</v>
      </c>
      <c r="G1279" s="91" t="s">
        <v>1223</v>
      </c>
      <c r="H1279" s="104" t="str">
        <f t="shared" si="79"/>
        <v>F5132J20</v>
      </c>
      <c r="I1279" s="104"/>
      <c r="J1279" s="105">
        <v>1.56</v>
      </c>
      <c r="K1279" s="106">
        <f>IF(D1279="CAESARSTONE LTD",VLOOKUP(H1279,'[2]GIA CA'!G:H,2,0),IF(OR(D1279="STONE FACINGS LIMITED",D1279="NORDIA SA",D1279="INVICTUS STONE COUNTERTOPS INC",D1279="QUARTZTOP LLC"),VLOOKUP(H1279,'[2] Giá ngoài Mỹ - SI-GR'!$B$5:$AZ$84,51,0),IF(OR(D1279="HYUNDAI L&amp;C CANADA INC",D1279="Hyundai L&amp; C USA LLC"),VLOOKUP(H1279,'[2]GIA HS'!A:D,4,0),IF(Y1279="Mỹ",VLOOKUP(H1279,'[2]giá mỹ từ 6.8.2025'!B:I,2,0),VLOOKUP(H1279,'[2]giá ngoài mỹ 6.8.2025 (final)'!B:BP,51,0)))))</f>
        <v>62</v>
      </c>
      <c r="L1279" s="106">
        <v>129.49</v>
      </c>
      <c r="M1279" s="106">
        <f t="shared" si="78"/>
        <v>67.490000000000009</v>
      </c>
      <c r="N1279" s="106">
        <v>129.49</v>
      </c>
      <c r="O1279" s="107">
        <v>202</v>
      </c>
      <c r="P1279" s="107">
        <v>25870</v>
      </c>
      <c r="Q1279" s="107">
        <v>5225740</v>
      </c>
      <c r="R1279" s="102"/>
      <c r="S1279" s="108"/>
      <c r="T1279" s="109" t="s">
        <v>30</v>
      </c>
      <c r="U1279" s="109"/>
      <c r="V1279" s="102"/>
      <c r="W1279" s="109"/>
      <c r="X1279" s="109"/>
      <c r="Y1279" s="110" t="s">
        <v>803</v>
      </c>
      <c r="Z1279" s="111" t="str">
        <f>MID(E1279,4,2)</f>
        <v>CA</v>
      </c>
    </row>
    <row r="1280" spans="1:26" s="111" customFormat="1" x14ac:dyDescent="0.2">
      <c r="A1280" s="101">
        <v>46252</v>
      </c>
      <c r="B1280" s="91" t="s">
        <v>1547</v>
      </c>
      <c r="C1280" s="102" t="s">
        <v>1548</v>
      </c>
      <c r="D1280" s="103" t="s">
        <v>26</v>
      </c>
      <c r="E1280" s="91" t="s">
        <v>1549</v>
      </c>
      <c r="F1280" s="91" t="s">
        <v>718</v>
      </c>
      <c r="G1280" s="91" t="s">
        <v>719</v>
      </c>
      <c r="H1280" s="104" t="str">
        <f t="shared" si="79"/>
        <v>F5140J20</v>
      </c>
      <c r="I1280" s="104"/>
      <c r="J1280" s="105">
        <v>0.63</v>
      </c>
      <c r="K1280" s="106">
        <f>IF(D1280="CAESARSTONE LTD",VLOOKUP(H1280,'[2]GIA CA'!G:H,2,0),IF(OR(D1280="STONE FACINGS LIMITED",D1280="NORDIA SA",D1280="INVICTUS STONE COUNTERTOPS INC",D1280="QUARTZTOP LLC"),VLOOKUP(H1280,'[2] Giá ngoài Mỹ - SI-GR'!$B$5:$AZ$84,51,0),IF(OR(D1280="HYUNDAI L&amp;C CANADA INC",D1280="Hyundai L&amp; C USA LLC"),VLOOKUP(H1280,'[2]GIA HS'!A:D,4,0),IF(Y1280="Mỹ",VLOOKUP(H1280,'[2]giá mỹ từ 6.8.2025'!B:I,2,0),VLOOKUP(H1280,'[2]giá ngoài mỹ 6.8.2025 (final)'!B:BP,51,0)))))</f>
        <v>62</v>
      </c>
      <c r="L1280" s="106">
        <v>93.97</v>
      </c>
      <c r="M1280" s="106">
        <f t="shared" si="78"/>
        <v>31.97</v>
      </c>
      <c r="N1280" s="106">
        <v>93.97</v>
      </c>
      <c r="O1280" s="107">
        <v>59.2</v>
      </c>
      <c r="P1280" s="107">
        <v>25870</v>
      </c>
      <c r="Q1280" s="107">
        <v>1531504</v>
      </c>
      <c r="R1280" s="102"/>
      <c r="S1280" s="108"/>
      <c r="T1280" s="109" t="s">
        <v>30</v>
      </c>
      <c r="U1280" s="109"/>
      <c r="V1280" s="102"/>
      <c r="W1280" s="109"/>
      <c r="X1280" s="109"/>
      <c r="Y1280" s="110" t="s">
        <v>803</v>
      </c>
      <c r="Z1280" s="111" t="str">
        <f>MID(E1280,4,2)</f>
        <v>CA</v>
      </c>
    </row>
    <row r="1281" spans="1:26" s="111" customFormat="1" x14ac:dyDescent="0.2">
      <c r="A1281" s="101">
        <v>46252</v>
      </c>
      <c r="B1281" s="91" t="s">
        <v>1547</v>
      </c>
      <c r="C1281" s="102" t="s">
        <v>1548</v>
      </c>
      <c r="D1281" s="103" t="s">
        <v>26</v>
      </c>
      <c r="E1281" s="91" t="s">
        <v>1549</v>
      </c>
      <c r="F1281" s="91" t="s">
        <v>716</v>
      </c>
      <c r="G1281" s="91" t="s">
        <v>717</v>
      </c>
      <c r="H1281" s="104" t="str">
        <f t="shared" si="79"/>
        <v>F5140J20</v>
      </c>
      <c r="I1281" s="104"/>
      <c r="J1281" s="105">
        <v>0.32</v>
      </c>
      <c r="K1281" s="106">
        <f>IF(D1281="CAESARSTONE LTD",VLOOKUP(H1281,'[2]GIA CA'!G:H,2,0),IF(OR(D1281="STONE FACINGS LIMITED",D1281="NORDIA SA",D1281="INVICTUS STONE COUNTERTOPS INC",D1281="QUARTZTOP LLC"),VLOOKUP(H1281,'[2] Giá ngoài Mỹ - SI-GR'!$B$5:$AZ$84,51,0),IF(OR(D1281="HYUNDAI L&amp;C CANADA INC",D1281="Hyundai L&amp; C USA LLC"),VLOOKUP(H1281,'[2]GIA HS'!A:D,4,0),IF(Y1281="Mỹ",VLOOKUP(H1281,'[2]giá mỹ từ 6.8.2025'!B:I,2,0),VLOOKUP(H1281,'[2]giá ngoài mỹ 6.8.2025 (final)'!B:BP,51,0)))))</f>
        <v>62</v>
      </c>
      <c r="L1281" s="106">
        <v>95.16</v>
      </c>
      <c r="M1281" s="106">
        <f t="shared" si="78"/>
        <v>33.159999999999997</v>
      </c>
      <c r="N1281" s="106">
        <v>95.16</v>
      </c>
      <c r="O1281" s="107">
        <v>30.45</v>
      </c>
      <c r="P1281" s="107">
        <v>25870</v>
      </c>
      <c r="Q1281" s="107">
        <v>787742</v>
      </c>
      <c r="R1281" s="102"/>
      <c r="S1281" s="108"/>
      <c r="T1281" s="109" t="s">
        <v>30</v>
      </c>
      <c r="U1281" s="109"/>
      <c r="V1281" s="102"/>
      <c r="W1281" s="109"/>
      <c r="X1281" s="109"/>
      <c r="Y1281" s="110" t="s">
        <v>803</v>
      </c>
      <c r="Z1281" s="111" t="str">
        <f>MID(E1281,4,2)</f>
        <v>CA</v>
      </c>
    </row>
    <row r="1282" spans="1:26" s="111" customFormat="1" x14ac:dyDescent="0.2">
      <c r="A1282" s="101">
        <v>46252</v>
      </c>
      <c r="B1282" s="91" t="s">
        <v>1547</v>
      </c>
      <c r="C1282" s="102" t="s">
        <v>1548</v>
      </c>
      <c r="D1282" s="103" t="s">
        <v>26</v>
      </c>
      <c r="E1282" s="91" t="s">
        <v>1549</v>
      </c>
      <c r="F1282" s="91" t="s">
        <v>1552</v>
      </c>
      <c r="G1282" s="91" t="s">
        <v>1553</v>
      </c>
      <c r="H1282" s="104" t="str">
        <f t="shared" si="79"/>
        <v>F5143J20</v>
      </c>
      <c r="I1282" s="104"/>
      <c r="J1282" s="105">
        <v>0.94</v>
      </c>
      <c r="K1282" s="106">
        <f>IF(D1282="CAESARSTONE LTD",VLOOKUP(H1282,'[2]GIA CA'!G:H,2,0),IF(OR(D1282="STONE FACINGS LIMITED",D1282="NORDIA SA",D1282="INVICTUS STONE COUNTERTOPS INC",D1282="QUARTZTOP LLC"),VLOOKUP(H1282,'[2] Giá ngoài Mỹ - SI-GR'!$B$5:$AZ$84,51,0),IF(OR(D1282="HYUNDAI L&amp;C CANADA INC",D1282="Hyundai L&amp; C USA LLC"),VLOOKUP(H1282,'[2]GIA HS'!A:D,4,0),IF(Y1282="Mỹ",VLOOKUP(H1282,'[2]giá mỹ từ 6.8.2025'!B:I,2,0),VLOOKUP(H1282,'[2]giá ngoài mỹ 6.8.2025 (final)'!B:BP,51,0)))))</f>
        <v>62</v>
      </c>
      <c r="L1282" s="106">
        <v>94.47</v>
      </c>
      <c r="M1282" s="106">
        <f t="shared" si="78"/>
        <v>32.47</v>
      </c>
      <c r="N1282" s="106">
        <v>94.47</v>
      </c>
      <c r="O1282" s="107">
        <v>88.8</v>
      </c>
      <c r="P1282" s="107">
        <v>25870</v>
      </c>
      <c r="Q1282" s="107">
        <v>2297256</v>
      </c>
      <c r="R1282" s="102"/>
      <c r="S1282" s="108"/>
      <c r="T1282" s="109" t="s">
        <v>30</v>
      </c>
      <c r="U1282" s="109"/>
      <c r="V1282" s="102"/>
      <c r="W1282" s="109"/>
      <c r="X1282" s="109"/>
      <c r="Y1282" s="110" t="s">
        <v>803</v>
      </c>
      <c r="Z1282" s="111" t="str">
        <f>MID(E1282,4,2)</f>
        <v>CA</v>
      </c>
    </row>
    <row r="1283" spans="1:26" s="111" customFormat="1" x14ac:dyDescent="0.2">
      <c r="A1283" s="101">
        <v>46252</v>
      </c>
      <c r="B1283" s="91" t="s">
        <v>1547</v>
      </c>
      <c r="C1283" s="102" t="s">
        <v>1548</v>
      </c>
      <c r="D1283" s="103" t="s">
        <v>26</v>
      </c>
      <c r="E1283" s="91" t="s">
        <v>1549</v>
      </c>
      <c r="F1283" s="91" t="s">
        <v>253</v>
      </c>
      <c r="G1283" s="91" t="s">
        <v>254</v>
      </c>
      <c r="H1283" s="104" t="str">
        <f t="shared" si="79"/>
        <v>F5144J20</v>
      </c>
      <c r="I1283" s="104"/>
      <c r="J1283" s="105">
        <v>1.25</v>
      </c>
      <c r="K1283" s="106">
        <f>IF(D1283="CAESARSTONE LTD",VLOOKUP(H1283,'[2]GIA CA'!G:H,2,0),IF(OR(D1283="STONE FACINGS LIMITED",D1283="NORDIA SA",D1283="INVICTUS STONE COUNTERTOPS INC",D1283="QUARTZTOP LLC"),VLOOKUP(H1283,'[2] Giá ngoài Mỹ - SI-GR'!$B$5:$AZ$84,51,0),IF(OR(D1283="HYUNDAI L&amp;C CANADA INC",D1283="Hyundai L&amp; C USA LLC"),VLOOKUP(H1283,'[2]GIA HS'!A:D,4,0),IF(Y1283="Mỹ",VLOOKUP(H1283,'[2]giá mỹ từ 6.8.2025'!B:I,2,0),VLOOKUP(H1283,'[2]giá ngoài mỹ 6.8.2025 (final)'!B:BP,51,0)))))</f>
        <v>62</v>
      </c>
      <c r="L1283" s="106">
        <v>94.72</v>
      </c>
      <c r="M1283" s="106">
        <f t="shared" si="78"/>
        <v>32.72</v>
      </c>
      <c r="N1283" s="106">
        <v>94.72</v>
      </c>
      <c r="O1283" s="107">
        <v>118.4</v>
      </c>
      <c r="P1283" s="107">
        <v>25870</v>
      </c>
      <c r="Q1283" s="107">
        <v>3063008</v>
      </c>
      <c r="R1283" s="102"/>
      <c r="S1283" s="108"/>
      <c r="T1283" s="109" t="s">
        <v>30</v>
      </c>
      <c r="U1283" s="109"/>
      <c r="V1283" s="102"/>
      <c r="W1283" s="109"/>
      <c r="X1283" s="109"/>
      <c r="Y1283" s="110" t="s">
        <v>803</v>
      </c>
      <c r="Z1283" s="111" t="str">
        <f>MID(E1283,4,2)</f>
        <v>CA</v>
      </c>
    </row>
    <row r="1284" spans="1:26" s="111" customFormat="1" x14ac:dyDescent="0.2">
      <c r="A1284" s="101">
        <v>46252</v>
      </c>
      <c r="B1284" s="91" t="s">
        <v>1547</v>
      </c>
      <c r="C1284" s="102" t="s">
        <v>1548</v>
      </c>
      <c r="D1284" s="103" t="s">
        <v>26</v>
      </c>
      <c r="E1284" s="91" t="s">
        <v>1549</v>
      </c>
      <c r="F1284" s="91" t="s">
        <v>1392</v>
      </c>
      <c r="G1284" s="91" t="s">
        <v>1393</v>
      </c>
      <c r="H1284" s="104" t="str">
        <f t="shared" si="79"/>
        <v>F5144J20</v>
      </c>
      <c r="I1284" s="104"/>
      <c r="J1284" s="105">
        <v>0.64</v>
      </c>
      <c r="K1284" s="106">
        <f>IF(D1284="CAESARSTONE LTD",VLOOKUP(H1284,'[2]GIA CA'!G:H,2,0),IF(OR(D1284="STONE FACINGS LIMITED",D1284="NORDIA SA",D1284="INVICTUS STONE COUNTERTOPS INC",D1284="QUARTZTOP LLC"),VLOOKUP(H1284,'[2] Giá ngoài Mỹ - SI-GR'!$B$5:$AZ$84,51,0),IF(OR(D1284="HYUNDAI L&amp;C CANADA INC",D1284="Hyundai L&amp; C USA LLC"),VLOOKUP(H1284,'[2]GIA HS'!A:D,4,0),IF(Y1284="Mỹ",VLOOKUP(H1284,'[2]giá mỹ từ 6.8.2025'!B:I,2,0),VLOOKUP(H1284,'[2]giá ngoài mỹ 6.8.2025 (final)'!B:BP,51,0)))))</f>
        <v>62</v>
      </c>
      <c r="L1284" s="106">
        <v>95.16</v>
      </c>
      <c r="M1284" s="106">
        <f t="shared" si="78"/>
        <v>33.159999999999997</v>
      </c>
      <c r="N1284" s="106">
        <v>95.16</v>
      </c>
      <c r="O1284" s="107">
        <v>60.9</v>
      </c>
      <c r="P1284" s="107">
        <v>25870</v>
      </c>
      <c r="Q1284" s="107">
        <v>1575483</v>
      </c>
      <c r="R1284" s="102"/>
      <c r="S1284" s="108"/>
      <c r="T1284" s="109" t="s">
        <v>30</v>
      </c>
      <c r="U1284" s="109"/>
      <c r="V1284" s="102"/>
      <c r="W1284" s="109"/>
      <c r="X1284" s="109"/>
      <c r="Y1284" s="110" t="s">
        <v>803</v>
      </c>
      <c r="Z1284" s="111" t="str">
        <f>MID(E1284,4,2)</f>
        <v>CA</v>
      </c>
    </row>
    <row r="1285" spans="1:26" s="111" customFormat="1" x14ac:dyDescent="0.2">
      <c r="A1285" s="101">
        <v>46252</v>
      </c>
      <c r="B1285" s="91" t="s">
        <v>1547</v>
      </c>
      <c r="C1285" s="102" t="s">
        <v>1548</v>
      </c>
      <c r="D1285" s="103" t="s">
        <v>26</v>
      </c>
      <c r="E1285" s="91" t="s">
        <v>1549</v>
      </c>
      <c r="F1285" s="91" t="s">
        <v>1554</v>
      </c>
      <c r="G1285" s="91" t="s">
        <v>1555</v>
      </c>
      <c r="H1285" s="104" t="str">
        <f t="shared" si="79"/>
        <v>F5310J20</v>
      </c>
      <c r="I1285" s="104"/>
      <c r="J1285" s="105">
        <v>0.31</v>
      </c>
      <c r="K1285" s="106">
        <f>IF(D1285="CAESARSTONE LTD",VLOOKUP(H1285,'[2]GIA CA'!G:H,2,0),IF(OR(D1285="STONE FACINGS LIMITED",D1285="NORDIA SA",D1285="INVICTUS STONE COUNTERTOPS INC",D1285="QUARTZTOP LLC"),VLOOKUP(H1285,'[2] Giá ngoài Mỹ - SI-GR'!$B$5:$AZ$84,51,0),IF(OR(D1285="HYUNDAI L&amp;C CANADA INC",D1285="Hyundai L&amp; C USA LLC"),VLOOKUP(H1285,'[2]GIA HS'!A:D,4,0),IF(Y1285="Mỹ",VLOOKUP(H1285,'[2]giá mỹ từ 6.8.2025'!B:I,2,0),VLOOKUP(H1285,'[2]giá ngoài mỹ 6.8.2025 (final)'!B:BP,51,0)))))</f>
        <v>62</v>
      </c>
      <c r="L1285" s="106">
        <v>130.32</v>
      </c>
      <c r="M1285" s="106">
        <f t="shared" si="78"/>
        <v>68.319999999999993</v>
      </c>
      <c r="N1285" s="106">
        <v>130.32</v>
      </c>
      <c r="O1285" s="107">
        <v>40.39</v>
      </c>
      <c r="P1285" s="107">
        <v>25870</v>
      </c>
      <c r="Q1285" s="107">
        <v>1044889</v>
      </c>
      <c r="R1285" s="102"/>
      <c r="S1285" s="108"/>
      <c r="T1285" s="109" t="s">
        <v>30</v>
      </c>
      <c r="U1285" s="109"/>
      <c r="V1285" s="102"/>
      <c r="W1285" s="109"/>
      <c r="X1285" s="109"/>
      <c r="Y1285" s="110" t="s">
        <v>803</v>
      </c>
      <c r="Z1285" s="111" t="str">
        <f>MID(E1285,4,2)</f>
        <v>CA</v>
      </c>
    </row>
    <row r="1286" spans="1:26" s="111" customFormat="1" x14ac:dyDescent="0.2">
      <c r="A1286" s="101">
        <v>46252</v>
      </c>
      <c r="B1286" s="91" t="s">
        <v>1547</v>
      </c>
      <c r="C1286" s="102" t="s">
        <v>1548</v>
      </c>
      <c r="D1286" s="103" t="s">
        <v>26</v>
      </c>
      <c r="E1286" s="91" t="s">
        <v>1549</v>
      </c>
      <c r="F1286" s="91" t="s">
        <v>861</v>
      </c>
      <c r="G1286" s="91" t="s">
        <v>862</v>
      </c>
      <c r="H1286" s="104" t="str">
        <f t="shared" si="79"/>
        <v>F5310J20</v>
      </c>
      <c r="I1286" s="104"/>
      <c r="J1286" s="105">
        <v>0.64</v>
      </c>
      <c r="K1286" s="106">
        <f>IF(D1286="CAESARSTONE LTD",VLOOKUP(H1286,'[2]GIA CA'!G:H,2,0),IF(OR(D1286="STONE FACINGS LIMITED",D1286="NORDIA SA",D1286="INVICTUS STONE COUNTERTOPS INC",D1286="QUARTZTOP LLC"),VLOOKUP(H1286,'[2] Giá ngoài Mỹ - SI-GR'!$B$5:$AZ$84,51,0),IF(OR(D1286="HYUNDAI L&amp;C CANADA INC",D1286="Hyundai L&amp; C USA LLC"),VLOOKUP(H1286,'[2]GIA HS'!A:D,4,0),IF(Y1286="Mỹ",VLOOKUP(H1286,'[2]giá mỹ từ 6.8.2025'!B:I,2,0),VLOOKUP(H1286,'[2]giá ngoài mỹ 6.8.2025 (final)'!B:BP,51,0)))))</f>
        <v>62</v>
      </c>
      <c r="L1286" s="106">
        <v>130.16</v>
      </c>
      <c r="M1286" s="106">
        <f t="shared" si="78"/>
        <v>68.16</v>
      </c>
      <c r="N1286" s="106">
        <v>130.16</v>
      </c>
      <c r="O1286" s="107">
        <v>83.3</v>
      </c>
      <c r="P1286" s="107">
        <v>25870</v>
      </c>
      <c r="Q1286" s="107">
        <v>2154971</v>
      </c>
      <c r="R1286" s="102"/>
      <c r="S1286" s="108"/>
      <c r="T1286" s="109" t="s">
        <v>30</v>
      </c>
      <c r="U1286" s="109"/>
      <c r="V1286" s="102"/>
      <c r="W1286" s="109"/>
      <c r="X1286" s="109"/>
      <c r="Y1286" s="110" t="s">
        <v>803</v>
      </c>
      <c r="Z1286" s="111" t="str">
        <f>MID(E1286,4,2)</f>
        <v>CA</v>
      </c>
    </row>
    <row r="1287" spans="1:26" s="111" customFormat="1" x14ac:dyDescent="0.2">
      <c r="A1287" s="101">
        <v>46252</v>
      </c>
      <c r="B1287" s="91" t="s">
        <v>1547</v>
      </c>
      <c r="C1287" s="102" t="s">
        <v>1548</v>
      </c>
      <c r="D1287" s="103" t="s">
        <v>26</v>
      </c>
      <c r="E1287" s="91" t="s">
        <v>1549</v>
      </c>
      <c r="F1287" s="91" t="s">
        <v>1039</v>
      </c>
      <c r="G1287" s="91" t="s">
        <v>1040</v>
      </c>
      <c r="H1287" s="104" t="str">
        <f t="shared" si="79"/>
        <v>F6131J20</v>
      </c>
      <c r="I1287" s="104"/>
      <c r="J1287" s="105">
        <v>1.25</v>
      </c>
      <c r="K1287" s="106">
        <f>IF(D1287="CAESARSTONE LTD",VLOOKUP(H1287,'[2]GIA CA'!G:H,2,0),IF(OR(D1287="STONE FACINGS LIMITED",D1287="NORDIA SA",D1287="INVICTUS STONE COUNTERTOPS INC",D1287="QUARTZTOP LLC"),VLOOKUP(H1287,'[2] Giá ngoài Mỹ - SI-GR'!$B$5:$AZ$84,51,0),IF(OR(D1287="HYUNDAI L&amp;C CANADA INC",D1287="Hyundai L&amp; C USA LLC"),VLOOKUP(H1287,'[2]GIA HS'!A:D,4,0),IF(Y1287="Mỹ",VLOOKUP(H1287,'[2]giá mỹ từ 6.8.2025'!B:I,2,0),VLOOKUP(H1287,'[2]giá ngoài mỹ 6.8.2025 (final)'!B:BP,51,0)))))</f>
        <v>62</v>
      </c>
      <c r="L1287" s="106">
        <v>94.72</v>
      </c>
      <c r="M1287" s="106">
        <f t="shared" si="78"/>
        <v>32.72</v>
      </c>
      <c r="N1287" s="106">
        <v>94.72</v>
      </c>
      <c r="O1287" s="107">
        <v>118.4</v>
      </c>
      <c r="P1287" s="107">
        <v>25870</v>
      </c>
      <c r="Q1287" s="107">
        <v>3063008</v>
      </c>
      <c r="R1287" s="102"/>
      <c r="S1287" s="108"/>
      <c r="T1287" s="109" t="s">
        <v>30</v>
      </c>
      <c r="U1287" s="109"/>
      <c r="V1287" s="102"/>
      <c r="W1287" s="109"/>
      <c r="X1287" s="109"/>
      <c r="Y1287" s="110" t="s">
        <v>803</v>
      </c>
      <c r="Z1287" s="111" t="str">
        <f>MID(E1287,4,2)</f>
        <v>CA</v>
      </c>
    </row>
    <row r="1288" spans="1:26" s="111" customFormat="1" x14ac:dyDescent="0.2">
      <c r="A1288" s="101">
        <v>46252</v>
      </c>
      <c r="B1288" s="91" t="s">
        <v>1547</v>
      </c>
      <c r="C1288" s="102" t="s">
        <v>1548</v>
      </c>
      <c r="D1288" s="103" t="s">
        <v>26</v>
      </c>
      <c r="E1288" s="91" t="s">
        <v>1549</v>
      </c>
      <c r="F1288" s="91" t="s">
        <v>1332</v>
      </c>
      <c r="G1288" s="91" t="s">
        <v>1333</v>
      </c>
      <c r="H1288" s="104" t="str">
        <f t="shared" si="79"/>
        <v>F6134J20</v>
      </c>
      <c r="I1288" s="104"/>
      <c r="J1288" s="105">
        <v>1.25</v>
      </c>
      <c r="K1288" s="106">
        <f>IF(D1288="CAESARSTONE LTD",VLOOKUP(H1288,'[2]GIA CA'!G:H,2,0),IF(OR(D1288="STONE FACINGS LIMITED",D1288="NORDIA SA",D1288="INVICTUS STONE COUNTERTOPS INC",D1288="QUARTZTOP LLC"),VLOOKUP(H1288,'[2] Giá ngoài Mỹ - SI-GR'!$B$5:$AZ$84,51,0),IF(OR(D1288="HYUNDAI L&amp;C CANADA INC",D1288="Hyundai L&amp; C USA LLC"),VLOOKUP(H1288,'[2]GIA HS'!A:D,4,0),IF(Y1288="Mỹ",VLOOKUP(H1288,'[2]giá mỹ từ 6.8.2025'!B:I,2,0),VLOOKUP(H1288,'[2]giá ngoài mỹ 6.8.2025 (final)'!B:BP,51,0)))))</f>
        <v>62</v>
      </c>
      <c r="L1288" s="106">
        <v>94.72</v>
      </c>
      <c r="M1288" s="106">
        <f t="shared" si="78"/>
        <v>32.72</v>
      </c>
      <c r="N1288" s="106">
        <v>94.72</v>
      </c>
      <c r="O1288" s="107">
        <v>118.4</v>
      </c>
      <c r="P1288" s="107">
        <v>25870</v>
      </c>
      <c r="Q1288" s="107">
        <v>3063008</v>
      </c>
      <c r="R1288" s="102"/>
      <c r="S1288" s="108"/>
      <c r="T1288" s="109" t="s">
        <v>30</v>
      </c>
      <c r="U1288" s="109"/>
      <c r="V1288" s="102"/>
      <c r="W1288" s="109"/>
      <c r="X1288" s="109"/>
      <c r="Y1288" s="110" t="s">
        <v>803</v>
      </c>
      <c r="Z1288" s="111" t="str">
        <f>MID(E1288,4,2)</f>
        <v>CA</v>
      </c>
    </row>
    <row r="1289" spans="1:26" s="111" customFormat="1" x14ac:dyDescent="0.2">
      <c r="A1289" s="101">
        <v>46252</v>
      </c>
      <c r="B1289" s="91" t="s">
        <v>1547</v>
      </c>
      <c r="C1289" s="102" t="s">
        <v>1548</v>
      </c>
      <c r="D1289" s="103" t="s">
        <v>26</v>
      </c>
      <c r="E1289" s="91" t="s">
        <v>1549</v>
      </c>
      <c r="F1289" s="91" t="s">
        <v>1556</v>
      </c>
      <c r="G1289" s="91" t="s">
        <v>1557</v>
      </c>
      <c r="H1289" s="104" t="str">
        <f t="shared" si="79"/>
        <v>F8103J20</v>
      </c>
      <c r="I1289" s="104"/>
      <c r="J1289" s="105">
        <v>1.56</v>
      </c>
      <c r="K1289" s="106">
        <f>IF(D1289="CAESARSTONE LTD",VLOOKUP(H1289,'[2]GIA CA'!G:H,2,0),IF(OR(D1289="STONE FACINGS LIMITED",D1289="NORDIA SA",D1289="INVICTUS STONE COUNTERTOPS INC",D1289="QUARTZTOP LLC"),VLOOKUP(H1289,'[2] Giá ngoài Mỹ - SI-GR'!$B$5:$AZ$84,51,0),IF(OR(D1289="HYUNDAI L&amp;C CANADA INC",D1289="Hyundai L&amp; C USA LLC"),VLOOKUP(H1289,'[2]GIA HS'!A:D,4,0),IF(Y1289="Mỹ",VLOOKUP(H1289,'[2]giá mỹ từ 6.8.2025'!B:I,2,0),VLOOKUP(H1289,'[2]giá ngoài mỹ 6.8.2025 (final)'!B:BP,51,0)))))</f>
        <v>74</v>
      </c>
      <c r="L1289" s="106">
        <v>140.71</v>
      </c>
      <c r="M1289" s="106">
        <f t="shared" si="78"/>
        <v>66.710000000000008</v>
      </c>
      <c r="N1289" s="106">
        <v>140.71</v>
      </c>
      <c r="O1289" s="107">
        <v>219.5</v>
      </c>
      <c r="P1289" s="107">
        <v>25870</v>
      </c>
      <c r="Q1289" s="107">
        <v>5678465</v>
      </c>
      <c r="R1289" s="102"/>
      <c r="S1289" s="108"/>
      <c r="T1289" s="109" t="s">
        <v>30</v>
      </c>
      <c r="U1289" s="109"/>
      <c r="V1289" s="102"/>
      <c r="W1289" s="109"/>
      <c r="X1289" s="109"/>
      <c r="Y1289" s="110" t="s">
        <v>803</v>
      </c>
      <c r="Z1289" s="111" t="str">
        <f>MID(E1289,4,2)</f>
        <v>CA</v>
      </c>
    </row>
    <row r="1290" spans="1:26" s="111" customFormat="1" x14ac:dyDescent="0.2">
      <c r="A1290" s="101">
        <v>46252</v>
      </c>
      <c r="B1290" s="91" t="s">
        <v>1547</v>
      </c>
      <c r="C1290" s="102" t="s">
        <v>1548</v>
      </c>
      <c r="D1290" s="103" t="s">
        <v>26</v>
      </c>
      <c r="E1290" s="91" t="s">
        <v>1549</v>
      </c>
      <c r="F1290" s="91" t="s">
        <v>1394</v>
      </c>
      <c r="G1290" s="91" t="s">
        <v>1395</v>
      </c>
      <c r="H1290" s="104" t="str">
        <f t="shared" si="79"/>
        <v>F8103J20</v>
      </c>
      <c r="I1290" s="104"/>
      <c r="J1290" s="105">
        <v>0.32</v>
      </c>
      <c r="K1290" s="106">
        <f>IF(D1290="CAESARSTONE LTD",VLOOKUP(H1290,'[2]GIA CA'!G:H,2,0),IF(OR(D1290="STONE FACINGS LIMITED",D1290="NORDIA SA",D1290="INVICTUS STONE COUNTERTOPS INC",D1290="QUARTZTOP LLC"),VLOOKUP(H1290,'[2] Giá ngoài Mỹ - SI-GR'!$B$5:$AZ$84,51,0),IF(OR(D1290="HYUNDAI L&amp;C CANADA INC",D1290="Hyundai L&amp; C USA LLC"),VLOOKUP(H1290,'[2]GIA HS'!A:D,4,0),IF(Y1290="Mỹ",VLOOKUP(H1290,'[2]giá mỹ từ 6.8.2025'!B:I,2,0),VLOOKUP(H1290,'[2]giá ngoài mỹ 6.8.2025 (final)'!B:BP,51,0)))))</f>
        <v>74</v>
      </c>
      <c r="L1290" s="106">
        <v>141.09</v>
      </c>
      <c r="M1290" s="106">
        <f t="shared" si="78"/>
        <v>67.09</v>
      </c>
      <c r="N1290" s="106">
        <v>141.09</v>
      </c>
      <c r="O1290" s="107">
        <v>45.15</v>
      </c>
      <c r="P1290" s="107">
        <v>25870</v>
      </c>
      <c r="Q1290" s="107">
        <v>1168031</v>
      </c>
      <c r="R1290" s="102"/>
      <c r="S1290" s="108"/>
      <c r="T1290" s="109" t="s">
        <v>30</v>
      </c>
      <c r="U1290" s="109"/>
      <c r="V1290" s="102"/>
      <c r="W1290" s="109"/>
      <c r="X1290" s="109"/>
      <c r="Y1290" s="110" t="s">
        <v>803</v>
      </c>
      <c r="Z1290" s="111" t="str">
        <f>MID(E1290,4,2)</f>
        <v>CA</v>
      </c>
    </row>
    <row r="1291" spans="1:26" s="111" customFormat="1" x14ac:dyDescent="0.2">
      <c r="A1291" s="101">
        <v>46252</v>
      </c>
      <c r="B1291" s="91" t="s">
        <v>1547</v>
      </c>
      <c r="C1291" s="102" t="s">
        <v>1548</v>
      </c>
      <c r="D1291" s="103" t="s">
        <v>26</v>
      </c>
      <c r="E1291" s="91" t="s">
        <v>1549</v>
      </c>
      <c r="F1291" s="91" t="s">
        <v>1396</v>
      </c>
      <c r="G1291" s="91" t="s">
        <v>1397</v>
      </c>
      <c r="H1291" s="104" t="str">
        <f t="shared" si="79"/>
        <v>F8251J20</v>
      </c>
      <c r="I1291" s="104"/>
      <c r="J1291" s="105">
        <v>0.64</v>
      </c>
      <c r="K1291" s="106">
        <f>IF(D1291="CAESARSTONE LTD",VLOOKUP(H1291,'[2]GIA CA'!G:H,2,0),IF(OR(D1291="STONE FACINGS LIMITED",D1291="NORDIA SA",D1291="INVICTUS STONE COUNTERTOPS INC",D1291="QUARTZTOP LLC"),VLOOKUP(H1291,'[2] Giá ngoài Mỹ - SI-GR'!$B$5:$AZ$84,51,0),IF(OR(D1291="HYUNDAI L&amp;C CANADA INC",D1291="Hyundai L&amp; C USA LLC"),VLOOKUP(H1291,'[2]GIA HS'!A:D,4,0),IF(Y1291="Mỹ",VLOOKUP(H1291,'[2]giá mỹ từ 6.8.2025'!B:I,2,0),VLOOKUP(H1291,'[2]giá ngoài mỹ 6.8.2025 (final)'!B:BP,51,0)))))</f>
        <v>74</v>
      </c>
      <c r="L1291" s="106">
        <v>95.16</v>
      </c>
      <c r="M1291" s="106">
        <f t="shared" si="78"/>
        <v>21.159999999999997</v>
      </c>
      <c r="N1291" s="106">
        <v>95.16</v>
      </c>
      <c r="O1291" s="107">
        <v>60.9</v>
      </c>
      <c r="P1291" s="107">
        <v>25870</v>
      </c>
      <c r="Q1291" s="107">
        <v>1575483</v>
      </c>
      <c r="R1291" s="102"/>
      <c r="S1291" s="108"/>
      <c r="T1291" s="109" t="s">
        <v>30</v>
      </c>
      <c r="U1291" s="109"/>
      <c r="V1291" s="102"/>
      <c r="W1291" s="109"/>
      <c r="X1291" s="109"/>
      <c r="Y1291" s="110" t="s">
        <v>803</v>
      </c>
      <c r="Z1291" s="111" t="str">
        <f>MID(E1291,4,2)</f>
        <v>CA</v>
      </c>
    </row>
    <row r="1292" spans="1:26" s="111" customFormat="1" x14ac:dyDescent="0.2">
      <c r="A1292" s="101">
        <v>46252</v>
      </c>
      <c r="B1292" s="91" t="s">
        <v>1547</v>
      </c>
      <c r="C1292" s="102" t="s">
        <v>1548</v>
      </c>
      <c r="D1292" s="103" t="s">
        <v>26</v>
      </c>
      <c r="E1292" s="91" t="s">
        <v>1549</v>
      </c>
      <c r="F1292" s="91" t="s">
        <v>322</v>
      </c>
      <c r="G1292" s="91" t="s">
        <v>323</v>
      </c>
      <c r="H1292" s="104" t="str">
        <f t="shared" si="79"/>
        <v>F8252J20</v>
      </c>
      <c r="I1292" s="104"/>
      <c r="J1292" s="105">
        <v>1.56</v>
      </c>
      <c r="K1292" s="106">
        <f>IF(D1292="CAESARSTONE LTD",VLOOKUP(H1292,'[2]GIA CA'!G:H,2,0),IF(OR(D1292="STONE FACINGS LIMITED",D1292="NORDIA SA",D1292="INVICTUS STONE COUNTERTOPS INC",D1292="QUARTZTOP LLC"),VLOOKUP(H1292,'[2] Giá ngoài Mỹ - SI-GR'!$B$5:$AZ$84,51,0),IF(OR(D1292="HYUNDAI L&amp;C CANADA INC",D1292="Hyundai L&amp; C USA LLC"),VLOOKUP(H1292,'[2]GIA HS'!A:D,4,0),IF(Y1292="Mỹ",VLOOKUP(H1292,'[2]giá mỹ từ 6.8.2025'!B:I,2,0),VLOOKUP(H1292,'[2]giá ngoài mỹ 6.8.2025 (final)'!B:BP,51,0)))))</f>
        <v>68</v>
      </c>
      <c r="L1292" s="106">
        <v>129.49</v>
      </c>
      <c r="M1292" s="106">
        <f t="shared" si="78"/>
        <v>61.490000000000009</v>
      </c>
      <c r="N1292" s="106">
        <v>129.49</v>
      </c>
      <c r="O1292" s="107">
        <v>202</v>
      </c>
      <c r="P1292" s="107">
        <v>25870</v>
      </c>
      <c r="Q1292" s="107">
        <v>5225740</v>
      </c>
      <c r="R1292" s="102"/>
      <c r="S1292" s="108"/>
      <c r="T1292" s="109" t="s">
        <v>30</v>
      </c>
      <c r="U1292" s="109"/>
      <c r="V1292" s="102"/>
      <c r="W1292" s="109"/>
      <c r="X1292" s="109"/>
      <c r="Y1292" s="110" t="s">
        <v>803</v>
      </c>
      <c r="Z1292" s="111" t="str">
        <f>MID(E1292,4,2)</f>
        <v>CA</v>
      </c>
    </row>
    <row r="1293" spans="1:26" s="111" customFormat="1" x14ac:dyDescent="0.2">
      <c r="A1293" s="101">
        <v>46252</v>
      </c>
      <c r="B1293" s="91" t="s">
        <v>1547</v>
      </c>
      <c r="C1293" s="102" t="s">
        <v>1548</v>
      </c>
      <c r="D1293" s="103" t="s">
        <v>26</v>
      </c>
      <c r="E1293" s="91" t="s">
        <v>1549</v>
      </c>
      <c r="F1293" s="91" t="s">
        <v>867</v>
      </c>
      <c r="G1293" s="91" t="s">
        <v>868</v>
      </c>
      <c r="H1293" s="104" t="str">
        <f t="shared" si="79"/>
        <v>C5003J20</v>
      </c>
      <c r="I1293" s="104"/>
      <c r="J1293" s="105">
        <v>108.9</v>
      </c>
      <c r="K1293" s="106">
        <f>+L1293</f>
        <v>59.9</v>
      </c>
      <c r="L1293" s="106">
        <v>59.9</v>
      </c>
      <c r="M1293" s="106">
        <f t="shared" ref="M1293:M1356" si="83">L1293-K1293</f>
        <v>0</v>
      </c>
      <c r="N1293" s="106">
        <v>59.9</v>
      </c>
      <c r="O1293" s="107">
        <v>6523.2</v>
      </c>
      <c r="P1293" s="107">
        <v>25870</v>
      </c>
      <c r="Q1293" s="107">
        <v>168755184</v>
      </c>
      <c r="R1293" s="102" t="s">
        <v>30</v>
      </c>
      <c r="S1293" s="108"/>
      <c r="T1293" s="109"/>
      <c r="U1293" s="109"/>
      <c r="V1293" s="102"/>
      <c r="W1293" s="109"/>
      <c r="X1293" s="109"/>
      <c r="Y1293" s="110" t="s">
        <v>803</v>
      </c>
      <c r="Z1293" s="111" t="str">
        <f>MID(E1293,4,2)</f>
        <v>CA</v>
      </c>
    </row>
    <row r="1294" spans="1:26" s="111" customFormat="1" x14ac:dyDescent="0.2">
      <c r="A1294" s="101">
        <v>46252</v>
      </c>
      <c r="B1294" s="91" t="s">
        <v>1547</v>
      </c>
      <c r="C1294" s="102" t="s">
        <v>1548</v>
      </c>
      <c r="D1294" s="103" t="s">
        <v>26</v>
      </c>
      <c r="E1294" s="91" t="s">
        <v>1549</v>
      </c>
      <c r="F1294" s="91" t="s">
        <v>1558</v>
      </c>
      <c r="G1294" s="91" t="s">
        <v>1559</v>
      </c>
      <c r="H1294" s="104" t="str">
        <f t="shared" ref="H1294:H1357" si="84">IF(LEN(G1294)=13,LEFT(G1294,5)&amp;MID(G1294,SEARCH("-J",G1294)+1,3),LEFT(G1294,5)&amp;"J20")</f>
        <v>C5111J20</v>
      </c>
      <c r="I1294" s="104"/>
      <c r="J1294" s="105">
        <v>54.45</v>
      </c>
      <c r="K1294" s="106">
        <f>IF(D1294="CAESARSTONE LTD",VLOOKUP(H1294,'[2]GIA CA'!G:H,2,0),IF(OR(D1294="STONE FACINGS LIMITED",D1294="NORDIA SA",D1294="INVICTUS STONE COUNTERTOPS INC",D1294="QUARTZTOP LLC"),VLOOKUP(H1294,'[2] Giá ngoài Mỹ - SI-GR'!$B$5:$AZ$84,51,0),IF(OR(D1294="HYUNDAI L&amp;C CANADA INC",D1294="Hyundai L&amp; C USA LLC"),VLOOKUP(H1294,'[2]GIA HS'!A:D,4,0),IF(Y1294="Mỹ",VLOOKUP(H1294,'[2]giá mỹ từ 6.8.2025'!B:I,2,0),VLOOKUP(H1294,'[2]giá ngoài mỹ 6.8.2025 (final)'!B:BP,51,0)))))</f>
        <v>55</v>
      </c>
      <c r="L1294" s="106">
        <v>57.8</v>
      </c>
      <c r="M1294" s="106">
        <f t="shared" si="83"/>
        <v>2.7999999999999972</v>
      </c>
      <c r="N1294" s="106">
        <v>57.8</v>
      </c>
      <c r="O1294" s="107">
        <v>3147.2</v>
      </c>
      <c r="P1294" s="107">
        <v>25870</v>
      </c>
      <c r="Q1294" s="107">
        <v>81418064</v>
      </c>
      <c r="R1294" s="102" t="s">
        <v>30</v>
      </c>
      <c r="S1294" s="108"/>
      <c r="T1294" s="109"/>
      <c r="U1294" s="109"/>
      <c r="V1294" s="102"/>
      <c r="W1294" s="109"/>
      <c r="X1294" s="109"/>
      <c r="Y1294" s="110" t="s">
        <v>803</v>
      </c>
      <c r="Z1294" s="111" t="str">
        <f>MID(E1294,4,2)</f>
        <v>CA</v>
      </c>
    </row>
    <row r="1295" spans="1:26" s="111" customFormat="1" x14ac:dyDescent="0.2">
      <c r="A1295" s="101">
        <v>46252</v>
      </c>
      <c r="B1295" s="91" t="s">
        <v>1547</v>
      </c>
      <c r="C1295" s="102" t="s">
        <v>1548</v>
      </c>
      <c r="D1295" s="103" t="s">
        <v>26</v>
      </c>
      <c r="E1295" s="91" t="s">
        <v>1549</v>
      </c>
      <c r="F1295" s="91" t="s">
        <v>270</v>
      </c>
      <c r="G1295" s="91" t="s">
        <v>271</v>
      </c>
      <c r="H1295" s="104" t="str">
        <f t="shared" si="84"/>
        <v>F4044J20</v>
      </c>
      <c r="I1295" s="104"/>
      <c r="J1295" s="105">
        <v>76.23</v>
      </c>
      <c r="K1295" s="106">
        <f>+L1295</f>
        <v>63</v>
      </c>
      <c r="L1295" s="106">
        <v>63</v>
      </c>
      <c r="M1295" s="106">
        <f t="shared" si="83"/>
        <v>0</v>
      </c>
      <c r="N1295" s="106">
        <v>63</v>
      </c>
      <c r="O1295" s="107">
        <v>4802.5600000000004</v>
      </c>
      <c r="P1295" s="107">
        <v>25870</v>
      </c>
      <c r="Q1295" s="107">
        <v>124242227</v>
      </c>
      <c r="R1295" s="102" t="s">
        <v>30</v>
      </c>
      <c r="S1295" s="108"/>
      <c r="T1295" s="109"/>
      <c r="U1295" s="109"/>
      <c r="V1295" s="102"/>
      <c r="W1295" s="109"/>
      <c r="X1295" s="109"/>
      <c r="Y1295" s="110" t="s">
        <v>803</v>
      </c>
      <c r="Z1295" s="111" t="str">
        <f>MID(E1295,4,2)</f>
        <v>CA</v>
      </c>
    </row>
    <row r="1296" spans="1:26" s="111" customFormat="1" x14ac:dyDescent="0.2">
      <c r="A1296" s="101">
        <v>46252</v>
      </c>
      <c r="B1296" s="91" t="s">
        <v>1547</v>
      </c>
      <c r="C1296" s="102" t="s">
        <v>1548</v>
      </c>
      <c r="D1296" s="103" t="s">
        <v>26</v>
      </c>
      <c r="E1296" s="91" t="s">
        <v>1549</v>
      </c>
      <c r="F1296" s="91" t="s">
        <v>1560</v>
      </c>
      <c r="G1296" s="91" t="s">
        <v>1561</v>
      </c>
      <c r="H1296" s="104" t="str">
        <f t="shared" si="84"/>
        <v>F5110J30</v>
      </c>
      <c r="I1296" s="104"/>
      <c r="J1296" s="105">
        <v>76.23</v>
      </c>
      <c r="K1296" s="106">
        <f>IF(D1296="CAESARSTONE LTD",VLOOKUP(H1296,'[2]GIA CA'!G:H,2,0),IF(OR(D1296="STONE FACINGS LIMITED",D1296="NORDIA SA",D1296="INVICTUS STONE COUNTERTOPS INC",D1296="QUARTZTOP LLC"),VLOOKUP(H1296,'[2] Giá ngoài Mỹ - SI-GR'!$B$5:$AZ$84,51,0),IF(OR(D1296="HYUNDAI L&amp;C CANADA INC",D1296="Hyundai L&amp; C USA LLC"),VLOOKUP(H1296,'[2]GIA HS'!A:D,4,0),IF(Y1296="Mỹ",VLOOKUP(H1296,'[2]giá mỹ từ 6.8.2025'!B:I,2,0),VLOOKUP(H1296,'[2]giá ngoài mỹ 6.8.2025 (final)'!B:BP,51,0)))))</f>
        <v>75</v>
      </c>
      <c r="L1296" s="106">
        <v>78.8</v>
      </c>
      <c r="M1296" s="106">
        <f t="shared" si="83"/>
        <v>3.7999999999999972</v>
      </c>
      <c r="N1296" s="106">
        <v>78.8</v>
      </c>
      <c r="O1296" s="107">
        <v>6006.98</v>
      </c>
      <c r="P1296" s="107">
        <v>25870</v>
      </c>
      <c r="Q1296" s="107">
        <v>155400573</v>
      </c>
      <c r="R1296" s="102" t="s">
        <v>30</v>
      </c>
      <c r="S1296" s="108"/>
      <c r="T1296" s="109"/>
      <c r="U1296" s="109"/>
      <c r="V1296" s="102"/>
      <c r="W1296" s="109"/>
      <c r="X1296" s="109"/>
      <c r="Y1296" s="110" t="s">
        <v>803</v>
      </c>
      <c r="Z1296" s="111" t="str">
        <f>MID(E1296,4,2)</f>
        <v>CA</v>
      </c>
    </row>
    <row r="1297" spans="1:26" s="111" customFormat="1" x14ac:dyDescent="0.2">
      <c r="A1297" s="101">
        <v>46252</v>
      </c>
      <c r="B1297" s="91" t="s">
        <v>1547</v>
      </c>
      <c r="C1297" s="102" t="s">
        <v>1548</v>
      </c>
      <c r="D1297" s="103" t="s">
        <v>26</v>
      </c>
      <c r="E1297" s="91" t="s">
        <v>1549</v>
      </c>
      <c r="F1297" s="91" t="s">
        <v>1001</v>
      </c>
      <c r="G1297" s="91" t="s">
        <v>978</v>
      </c>
      <c r="H1297" s="104" t="str">
        <f t="shared" si="84"/>
        <v>F5310J20</v>
      </c>
      <c r="I1297" s="104"/>
      <c r="J1297" s="105">
        <v>27.23</v>
      </c>
      <c r="K1297" s="106">
        <f>IF(D1297="CAESARSTONE LTD",VLOOKUP(H1297,'[2]GIA CA'!G:H,2,0),IF(OR(D1297="STONE FACINGS LIMITED",D1297="NORDIA SA",D1297="INVICTUS STONE COUNTERTOPS INC",D1297="QUARTZTOP LLC"),VLOOKUP(H1297,'[2] Giá ngoài Mỹ - SI-GR'!$B$5:$AZ$84,51,0),IF(OR(D1297="HYUNDAI L&amp;C CANADA INC",D1297="Hyundai L&amp; C USA LLC"),VLOOKUP(H1297,'[2]GIA HS'!A:D,4,0),IF(Y1297="Mỹ",VLOOKUP(H1297,'[2]giá mỹ từ 6.8.2025'!B:I,2,0),VLOOKUP(H1297,'[2]giá ngoài mỹ 6.8.2025 (final)'!B:BP,51,0)))))</f>
        <v>62</v>
      </c>
      <c r="L1297" s="106">
        <v>65.09</v>
      </c>
      <c r="M1297" s="106">
        <f t="shared" si="83"/>
        <v>3.0900000000000034</v>
      </c>
      <c r="N1297" s="106">
        <v>65.09</v>
      </c>
      <c r="O1297" s="107">
        <v>1772.35</v>
      </c>
      <c r="P1297" s="107">
        <v>25870</v>
      </c>
      <c r="Q1297" s="107">
        <v>45850695</v>
      </c>
      <c r="R1297" s="102" t="s">
        <v>30</v>
      </c>
      <c r="S1297" s="108"/>
      <c r="T1297" s="109"/>
      <c r="U1297" s="109"/>
      <c r="V1297" s="102"/>
      <c r="W1297" s="109"/>
      <c r="X1297" s="109"/>
      <c r="Y1297" s="110" t="s">
        <v>803</v>
      </c>
      <c r="Z1297" s="111" t="str">
        <f>MID(E1297,4,2)</f>
        <v>CA</v>
      </c>
    </row>
    <row r="1298" spans="1:26" s="111" customFormat="1" x14ac:dyDescent="0.2">
      <c r="A1298" s="101">
        <v>46252</v>
      </c>
      <c r="B1298" s="91" t="s">
        <v>1547</v>
      </c>
      <c r="C1298" s="102" t="s">
        <v>1548</v>
      </c>
      <c r="D1298" s="103" t="s">
        <v>26</v>
      </c>
      <c r="E1298" s="91" t="s">
        <v>1549</v>
      </c>
      <c r="F1298" s="91" t="s">
        <v>1562</v>
      </c>
      <c r="G1298" s="91" t="s">
        <v>1563</v>
      </c>
      <c r="H1298" s="104" t="str">
        <f t="shared" si="84"/>
        <v>F5310J20</v>
      </c>
      <c r="I1298" s="104"/>
      <c r="J1298" s="105">
        <v>10.88</v>
      </c>
      <c r="K1298" s="106">
        <v>20</v>
      </c>
      <c r="L1298" s="106">
        <v>32.54</v>
      </c>
      <c r="M1298" s="106">
        <f t="shared" si="83"/>
        <v>12.54</v>
      </c>
      <c r="N1298" s="106">
        <v>32.54</v>
      </c>
      <c r="O1298" s="107">
        <v>354.08</v>
      </c>
      <c r="P1298" s="107">
        <v>25870</v>
      </c>
      <c r="Q1298" s="107">
        <v>9160050</v>
      </c>
      <c r="R1298" s="102" t="s">
        <v>30</v>
      </c>
      <c r="S1298" s="108"/>
      <c r="T1298" s="109"/>
      <c r="U1298" s="109"/>
      <c r="V1298" s="102"/>
      <c r="W1298" s="109"/>
      <c r="X1298" s="109"/>
      <c r="Y1298" s="110" t="s">
        <v>803</v>
      </c>
      <c r="Z1298" s="111" t="str">
        <f>MID(E1298,4,2)</f>
        <v>CA</v>
      </c>
    </row>
    <row r="1299" spans="1:26" s="111" customFormat="1" x14ac:dyDescent="0.2">
      <c r="A1299" s="101">
        <v>46252</v>
      </c>
      <c r="B1299" s="91" t="s">
        <v>1547</v>
      </c>
      <c r="C1299" s="102" t="s">
        <v>1548</v>
      </c>
      <c r="D1299" s="103" t="s">
        <v>26</v>
      </c>
      <c r="E1299" s="91" t="s">
        <v>1549</v>
      </c>
      <c r="F1299" s="91" t="s">
        <v>1562</v>
      </c>
      <c r="G1299" s="91" t="s">
        <v>1563</v>
      </c>
      <c r="H1299" s="104" t="str">
        <f t="shared" si="84"/>
        <v>F5310J20</v>
      </c>
      <c r="I1299" s="104"/>
      <c r="J1299" s="105">
        <v>5.45</v>
      </c>
      <c r="K1299" s="106">
        <v>20</v>
      </c>
      <c r="L1299" s="106">
        <v>32.54</v>
      </c>
      <c r="M1299" s="106">
        <f t="shared" si="83"/>
        <v>12.54</v>
      </c>
      <c r="N1299" s="106">
        <v>32.54</v>
      </c>
      <c r="O1299" s="107">
        <v>177.37</v>
      </c>
      <c r="P1299" s="107">
        <v>25870</v>
      </c>
      <c r="Q1299" s="107">
        <v>4588562</v>
      </c>
      <c r="R1299" s="102" t="s">
        <v>30</v>
      </c>
      <c r="S1299" s="108"/>
      <c r="T1299" s="109"/>
      <c r="U1299" s="109"/>
      <c r="V1299" s="102"/>
      <c r="W1299" s="109"/>
      <c r="X1299" s="109"/>
      <c r="Y1299" s="110" t="s">
        <v>803</v>
      </c>
      <c r="Z1299" s="111" t="str">
        <f>MID(E1299,4,2)</f>
        <v>CA</v>
      </c>
    </row>
    <row r="1300" spans="1:26" s="111" customFormat="1" x14ac:dyDescent="0.2">
      <c r="A1300" s="101">
        <v>46252</v>
      </c>
      <c r="B1300" s="91" t="s">
        <v>1547</v>
      </c>
      <c r="C1300" s="102" t="s">
        <v>1548</v>
      </c>
      <c r="D1300" s="103" t="s">
        <v>26</v>
      </c>
      <c r="E1300" s="91" t="s">
        <v>1549</v>
      </c>
      <c r="F1300" s="91" t="s">
        <v>1564</v>
      </c>
      <c r="G1300" s="91" t="s">
        <v>1565</v>
      </c>
      <c r="H1300" s="104" t="str">
        <f t="shared" si="84"/>
        <v>G5310J20</v>
      </c>
      <c r="I1300" s="104"/>
      <c r="J1300" s="105">
        <v>5.45</v>
      </c>
      <c r="K1300" s="106">
        <v>20</v>
      </c>
      <c r="L1300" s="106">
        <v>32.54</v>
      </c>
      <c r="M1300" s="106">
        <f t="shared" si="83"/>
        <v>12.54</v>
      </c>
      <c r="N1300" s="106">
        <v>32.54</v>
      </c>
      <c r="O1300" s="107">
        <v>177.37</v>
      </c>
      <c r="P1300" s="107">
        <v>25870</v>
      </c>
      <c r="Q1300" s="107">
        <v>4588562</v>
      </c>
      <c r="R1300" s="102" t="s">
        <v>30</v>
      </c>
      <c r="S1300" s="108"/>
      <c r="T1300" s="109"/>
      <c r="U1300" s="109"/>
      <c r="V1300" s="102"/>
      <c r="W1300" s="109"/>
      <c r="X1300" s="109"/>
      <c r="Y1300" s="110" t="s">
        <v>803</v>
      </c>
      <c r="Z1300" s="111" t="str">
        <f>MID(E1300,4,2)</f>
        <v>CA</v>
      </c>
    </row>
    <row r="1301" spans="1:26" s="111" customFormat="1" x14ac:dyDescent="0.2">
      <c r="A1301" s="101">
        <v>46252</v>
      </c>
      <c r="B1301" s="91" t="s">
        <v>1547</v>
      </c>
      <c r="C1301" s="102" t="s">
        <v>1548</v>
      </c>
      <c r="D1301" s="103" t="s">
        <v>26</v>
      </c>
      <c r="E1301" s="91" t="s">
        <v>1549</v>
      </c>
      <c r="F1301" s="91" t="s">
        <v>1566</v>
      </c>
      <c r="G1301" s="91" t="s">
        <v>1565</v>
      </c>
      <c r="H1301" s="104" t="str">
        <f t="shared" si="84"/>
        <v>G5310J20</v>
      </c>
      <c r="I1301" s="104"/>
      <c r="J1301" s="105">
        <v>5.45</v>
      </c>
      <c r="K1301" s="106">
        <v>20</v>
      </c>
      <c r="L1301" s="106">
        <v>32.54</v>
      </c>
      <c r="M1301" s="106">
        <f t="shared" si="83"/>
        <v>12.54</v>
      </c>
      <c r="N1301" s="106">
        <v>32.54</v>
      </c>
      <c r="O1301" s="107">
        <v>177.37</v>
      </c>
      <c r="P1301" s="107">
        <v>25870</v>
      </c>
      <c r="Q1301" s="107">
        <v>4588562</v>
      </c>
      <c r="R1301" s="102" t="s">
        <v>30</v>
      </c>
      <c r="S1301" s="108"/>
      <c r="T1301" s="109"/>
      <c r="U1301" s="109"/>
      <c r="V1301" s="102"/>
      <c r="W1301" s="109"/>
      <c r="X1301" s="109"/>
      <c r="Y1301" s="110" t="s">
        <v>803</v>
      </c>
      <c r="Z1301" s="111" t="str">
        <f>MID(E1301,4,2)</f>
        <v>CA</v>
      </c>
    </row>
    <row r="1302" spans="1:26" s="111" customFormat="1" x14ac:dyDescent="0.2">
      <c r="A1302" s="101">
        <v>46252</v>
      </c>
      <c r="B1302" s="91" t="s">
        <v>1567</v>
      </c>
      <c r="C1302" s="102" t="s">
        <v>1568</v>
      </c>
      <c r="D1302" s="103" t="s">
        <v>1351</v>
      </c>
      <c r="E1302" s="91" t="s">
        <v>1569</v>
      </c>
      <c r="F1302" s="91" t="s">
        <v>1570</v>
      </c>
      <c r="G1302" s="91" t="s">
        <v>1571</v>
      </c>
      <c r="H1302" s="104" t="str">
        <f t="shared" si="84"/>
        <v>C3311J30</v>
      </c>
      <c r="I1302" s="104"/>
      <c r="J1302" s="105">
        <v>272.25</v>
      </c>
      <c r="K1302" s="106">
        <f>IF(D1302="CAESARSTONE LTD",VLOOKUP(H1302,'[2]GIA CA'!G:H,2,0),IF(OR(D1302="STONE FACINGS LIMITED",D1302="NORDIA SA",D1302="INVICTUS STONE COUNTERTOPS INC",D1302="QUARTZTOP LLC"),VLOOKUP(H1302,'[2] Giá ngoài Mỹ - SI-GR'!$B$5:$AZ$84,51,0),IF(OR(D1302="HYUNDAI L&amp;C CANADA INC",D1302="Hyundai L&amp; C USA LLC"),VLOOKUP(H1302,'[2]GIA HS'!A:D,4,0),IF(Y1302="Mỹ",VLOOKUP(H1302,'[2]giá mỹ từ 6.8.2025'!B:I,2,0),VLOOKUP(H1302,'[2]giá ngoài mỹ 6.8.2025 (final)'!B:BP,51,0)))))</f>
        <v>73</v>
      </c>
      <c r="L1302" s="106">
        <v>75</v>
      </c>
      <c r="M1302" s="106">
        <f t="shared" si="83"/>
        <v>2</v>
      </c>
      <c r="N1302" s="106">
        <v>75</v>
      </c>
      <c r="O1302" s="107">
        <v>20418.75</v>
      </c>
      <c r="P1302" s="107">
        <v>25870</v>
      </c>
      <c r="Q1302" s="107">
        <v>528233063</v>
      </c>
      <c r="R1302" s="102" t="s">
        <v>30</v>
      </c>
      <c r="S1302" s="108"/>
      <c r="T1302" s="109"/>
      <c r="U1302" s="109"/>
      <c r="V1302" s="102"/>
      <c r="W1302" s="109"/>
      <c r="X1302" s="109"/>
      <c r="Y1302" s="110" t="s">
        <v>803</v>
      </c>
      <c r="Z1302" s="111" t="str">
        <f>MID(E1302,4,2)</f>
        <v>HS</v>
      </c>
    </row>
    <row r="1303" spans="1:26" s="111" customFormat="1" x14ac:dyDescent="0.2">
      <c r="A1303" s="101">
        <v>46252</v>
      </c>
      <c r="B1303" s="91" t="s">
        <v>1567</v>
      </c>
      <c r="C1303" s="102" t="s">
        <v>1568</v>
      </c>
      <c r="D1303" s="103" t="s">
        <v>1351</v>
      </c>
      <c r="E1303" s="91" t="s">
        <v>1569</v>
      </c>
      <c r="F1303" s="91" t="s">
        <v>1364</v>
      </c>
      <c r="G1303" s="91" t="s">
        <v>1365</v>
      </c>
      <c r="H1303" s="104" t="str">
        <f t="shared" si="84"/>
        <v>C4155J30</v>
      </c>
      <c r="I1303" s="104"/>
      <c r="J1303" s="105">
        <v>108.89</v>
      </c>
      <c r="K1303" s="106">
        <f>IF(D1303="CAESARSTONE LTD",VLOOKUP(H1303,'[2]GIA CA'!G:H,2,0),IF(OR(D1303="STONE FACINGS LIMITED",D1303="NORDIA SA",D1303="INVICTUS STONE COUNTERTOPS INC",D1303="QUARTZTOP LLC"),VLOOKUP(H1303,'[2] Giá ngoài Mỹ - SI-GR'!$B$5:$AZ$84,51,0),IF(OR(D1303="HYUNDAI L&amp;C CANADA INC",D1303="Hyundai L&amp; C USA LLC"),VLOOKUP(H1303,'[2]GIA HS'!A:D,4,0),IF(Y1303="Mỹ",VLOOKUP(H1303,'[2]giá mỹ từ 6.8.2025'!B:I,2,0),VLOOKUP(H1303,'[2]giá ngoài mỹ 6.8.2025 (final)'!B:BP,51,0)))))</f>
        <v>86</v>
      </c>
      <c r="L1303" s="106">
        <v>91.6</v>
      </c>
      <c r="M1303" s="106">
        <f t="shared" si="83"/>
        <v>5.5999999999999943</v>
      </c>
      <c r="N1303" s="106">
        <v>91.6</v>
      </c>
      <c r="O1303" s="107">
        <v>9974.32</v>
      </c>
      <c r="P1303" s="107">
        <v>25870</v>
      </c>
      <c r="Q1303" s="107">
        <v>258035658</v>
      </c>
      <c r="R1303" s="102" t="s">
        <v>30</v>
      </c>
      <c r="S1303" s="108"/>
      <c r="T1303" s="109"/>
      <c r="U1303" s="109"/>
      <c r="V1303" s="102"/>
      <c r="W1303" s="109"/>
      <c r="X1303" s="109"/>
      <c r="Y1303" s="110" t="s">
        <v>803</v>
      </c>
      <c r="Z1303" s="111" t="str">
        <f>MID(E1303,4,2)</f>
        <v>HS</v>
      </c>
    </row>
    <row r="1304" spans="1:26" s="111" customFormat="1" x14ac:dyDescent="0.2">
      <c r="A1304" s="101">
        <v>46252</v>
      </c>
      <c r="B1304" s="91" t="s">
        <v>1567</v>
      </c>
      <c r="C1304" s="102" t="s">
        <v>1568</v>
      </c>
      <c r="D1304" s="103" t="s">
        <v>1351</v>
      </c>
      <c r="E1304" s="91" t="s">
        <v>1569</v>
      </c>
      <c r="F1304" s="91" t="s">
        <v>1366</v>
      </c>
      <c r="G1304" s="91" t="s">
        <v>1365</v>
      </c>
      <c r="H1304" s="104" t="str">
        <f t="shared" si="84"/>
        <v>C4155J30</v>
      </c>
      <c r="I1304" s="104"/>
      <c r="J1304" s="105">
        <v>5.45</v>
      </c>
      <c r="K1304" s="106">
        <f>IF(D1304="CAESARSTONE LTD",VLOOKUP(H1304,'[2]GIA CA'!G:H,2,0),IF(OR(D1304="STONE FACINGS LIMITED",D1304="NORDIA SA",D1304="INVICTUS STONE COUNTERTOPS INC",D1304="QUARTZTOP LLC"),VLOOKUP(H1304,'[2] Giá ngoài Mỹ - SI-GR'!$B$5:$AZ$84,51,0),IF(OR(D1304="HYUNDAI L&amp;C CANADA INC",D1304="Hyundai L&amp; C USA LLC"),VLOOKUP(H1304,'[2]GIA HS'!A:D,4,0),IF(Y1304="Mỹ",VLOOKUP(H1304,'[2]giá mỹ từ 6.8.2025'!B:I,2,0),VLOOKUP(H1304,'[2]giá ngoài mỹ 6.8.2025 (final)'!B:BP,51,0)))))</f>
        <v>86</v>
      </c>
      <c r="L1304" s="106">
        <v>91.6</v>
      </c>
      <c r="M1304" s="106">
        <f t="shared" si="83"/>
        <v>5.5999999999999943</v>
      </c>
      <c r="N1304" s="106">
        <v>91.6</v>
      </c>
      <c r="O1304" s="107">
        <v>499.22</v>
      </c>
      <c r="P1304" s="107">
        <v>25870</v>
      </c>
      <c r="Q1304" s="107">
        <v>12914821</v>
      </c>
      <c r="R1304" s="102" t="s">
        <v>30</v>
      </c>
      <c r="S1304" s="108"/>
      <c r="T1304" s="109"/>
      <c r="U1304" s="109"/>
      <c r="V1304" s="102"/>
      <c r="W1304" s="109"/>
      <c r="X1304" s="109"/>
      <c r="Y1304" s="110" t="s">
        <v>803</v>
      </c>
      <c r="Z1304" s="111" t="str">
        <f>MID(E1304,4,2)</f>
        <v>HS</v>
      </c>
    </row>
    <row r="1305" spans="1:26" s="111" customFormat="1" x14ac:dyDescent="0.2">
      <c r="A1305" s="101">
        <v>46252</v>
      </c>
      <c r="B1305" s="91" t="s">
        <v>1567</v>
      </c>
      <c r="C1305" s="102" t="s">
        <v>1568</v>
      </c>
      <c r="D1305" s="103" t="s">
        <v>1351</v>
      </c>
      <c r="E1305" s="91" t="s">
        <v>1569</v>
      </c>
      <c r="F1305" s="91" t="s">
        <v>1367</v>
      </c>
      <c r="G1305" s="91" t="s">
        <v>1365</v>
      </c>
      <c r="H1305" s="104" t="str">
        <f t="shared" si="84"/>
        <v>C4155J30</v>
      </c>
      <c r="I1305" s="104"/>
      <c r="J1305" s="105">
        <v>157.91</v>
      </c>
      <c r="K1305" s="106">
        <f>IF(D1305="CAESARSTONE LTD",VLOOKUP(H1305,'[2]GIA CA'!G:H,2,0),IF(OR(D1305="STONE FACINGS LIMITED",D1305="NORDIA SA",D1305="INVICTUS STONE COUNTERTOPS INC",D1305="QUARTZTOP LLC"),VLOOKUP(H1305,'[2] Giá ngoài Mỹ - SI-GR'!$B$5:$AZ$84,51,0),IF(OR(D1305="HYUNDAI L&amp;C CANADA INC",D1305="Hyundai L&amp; C USA LLC"),VLOOKUP(H1305,'[2]GIA HS'!A:D,4,0),IF(Y1305="Mỹ",VLOOKUP(H1305,'[2]giá mỹ từ 6.8.2025'!B:I,2,0),VLOOKUP(H1305,'[2]giá ngoài mỹ 6.8.2025 (final)'!B:BP,51,0)))))</f>
        <v>86</v>
      </c>
      <c r="L1305" s="106">
        <v>91.6</v>
      </c>
      <c r="M1305" s="106">
        <f t="shared" si="83"/>
        <v>5.5999999999999943</v>
      </c>
      <c r="N1305" s="106">
        <v>91.6</v>
      </c>
      <c r="O1305" s="107">
        <v>14464.56</v>
      </c>
      <c r="P1305" s="107">
        <v>25870</v>
      </c>
      <c r="Q1305" s="107">
        <v>374198167</v>
      </c>
      <c r="R1305" s="102" t="s">
        <v>30</v>
      </c>
      <c r="S1305" s="108"/>
      <c r="T1305" s="109"/>
      <c r="U1305" s="109"/>
      <c r="V1305" s="102"/>
      <c r="W1305" s="109"/>
      <c r="X1305" s="109"/>
      <c r="Y1305" s="110" t="s">
        <v>803</v>
      </c>
      <c r="Z1305" s="111" t="str">
        <f>MID(E1305,4,2)</f>
        <v>HS</v>
      </c>
    </row>
    <row r="1306" spans="1:26" s="111" customFormat="1" x14ac:dyDescent="0.2">
      <c r="A1306" s="101">
        <v>46252</v>
      </c>
      <c r="B1306" s="91" t="s">
        <v>1567</v>
      </c>
      <c r="C1306" s="102" t="s">
        <v>1568</v>
      </c>
      <c r="D1306" s="103" t="s">
        <v>1351</v>
      </c>
      <c r="E1306" s="91" t="s">
        <v>1569</v>
      </c>
      <c r="F1306" s="91" t="s">
        <v>1570</v>
      </c>
      <c r="G1306" s="91" t="s">
        <v>1571</v>
      </c>
      <c r="H1306" s="104" t="str">
        <f t="shared" si="84"/>
        <v>C3311J30</v>
      </c>
      <c r="I1306" s="104"/>
      <c r="J1306" s="105">
        <v>272.25</v>
      </c>
      <c r="K1306" s="106">
        <f>IF(D1306="CAESARSTONE LTD",VLOOKUP(H1306,'[2]GIA CA'!G:H,2,0),IF(OR(D1306="STONE FACINGS LIMITED",D1306="NORDIA SA",D1306="INVICTUS STONE COUNTERTOPS INC",D1306="QUARTZTOP LLC"),VLOOKUP(H1306,'[2] Giá ngoài Mỹ - SI-GR'!$B$5:$AZ$84,51,0),IF(OR(D1306="HYUNDAI L&amp;C CANADA INC",D1306="Hyundai L&amp; C USA LLC"),VLOOKUP(H1306,'[2]GIA HS'!A:D,4,0),IF(Y1306="Mỹ",VLOOKUP(H1306,'[2]giá mỹ từ 6.8.2025'!B:I,2,0),VLOOKUP(H1306,'[2]giá ngoài mỹ 6.8.2025 (final)'!B:BP,51,0)))))</f>
        <v>73</v>
      </c>
      <c r="L1306" s="106">
        <v>75</v>
      </c>
      <c r="M1306" s="106">
        <f t="shared" si="83"/>
        <v>2</v>
      </c>
      <c r="N1306" s="106">
        <v>75</v>
      </c>
      <c r="O1306" s="107">
        <v>20418.75</v>
      </c>
      <c r="P1306" s="107">
        <v>25870</v>
      </c>
      <c r="Q1306" s="107">
        <v>528233063</v>
      </c>
      <c r="R1306" s="102" t="s">
        <v>30</v>
      </c>
      <c r="S1306" s="108"/>
      <c r="T1306" s="109"/>
      <c r="U1306" s="109"/>
      <c r="V1306" s="102"/>
      <c r="W1306" s="109"/>
      <c r="X1306" s="109"/>
      <c r="Y1306" s="110" t="s">
        <v>803</v>
      </c>
      <c r="Z1306" s="111" t="str">
        <f>MID(E1306,4,2)</f>
        <v>HS</v>
      </c>
    </row>
    <row r="1307" spans="1:26" s="111" customFormat="1" x14ac:dyDescent="0.2">
      <c r="A1307" s="101">
        <v>46252</v>
      </c>
      <c r="B1307" s="91" t="s">
        <v>1567</v>
      </c>
      <c r="C1307" s="102" t="s">
        <v>1568</v>
      </c>
      <c r="D1307" s="103" t="s">
        <v>1351</v>
      </c>
      <c r="E1307" s="91" t="s">
        <v>1569</v>
      </c>
      <c r="F1307" s="91" t="s">
        <v>1572</v>
      </c>
      <c r="G1307" s="91" t="s">
        <v>1573</v>
      </c>
      <c r="H1307" s="104" t="str">
        <f t="shared" si="84"/>
        <v>C1102J20</v>
      </c>
      <c r="I1307" s="104"/>
      <c r="J1307" s="105">
        <v>81.67</v>
      </c>
      <c r="K1307" s="106">
        <f>IF(D1307="CAESARSTONE LTD",VLOOKUP(H1307,'[2]GIA CA'!G:H,2,0),IF(OR(D1307="STONE FACINGS LIMITED",D1307="NORDIA SA",D1307="INVICTUS STONE COUNTERTOPS INC",D1307="QUARTZTOP LLC"),VLOOKUP(H1307,'[2] Giá ngoài Mỹ - SI-GR'!$B$5:$AZ$84,51,0),IF(OR(D1307="HYUNDAI L&amp;C CANADA INC",D1307="Hyundai L&amp; C USA LLC"),VLOOKUP(H1307,'[2]GIA HS'!A:D,4,0),IF(Y1307="Mỹ",VLOOKUP(H1307,'[2]giá mỹ từ 6.8.2025'!B:I,2,0),VLOOKUP(H1307,'[2]giá ngoài mỹ 6.8.2025 (final)'!B:BP,51,0)))))</f>
        <v>65</v>
      </c>
      <c r="L1307" s="106">
        <v>68.25</v>
      </c>
      <c r="M1307" s="106">
        <f t="shared" si="83"/>
        <v>3.25</v>
      </c>
      <c r="N1307" s="106">
        <v>68.25</v>
      </c>
      <c r="O1307" s="107">
        <v>5573.98</v>
      </c>
      <c r="P1307" s="107">
        <v>25870</v>
      </c>
      <c r="Q1307" s="107">
        <v>144198863</v>
      </c>
      <c r="R1307" s="102" t="s">
        <v>30</v>
      </c>
      <c r="S1307" s="108"/>
      <c r="T1307" s="109"/>
      <c r="U1307" s="109"/>
      <c r="V1307" s="102"/>
      <c r="W1307" s="109"/>
      <c r="X1307" s="109"/>
      <c r="Y1307" s="110" t="s">
        <v>803</v>
      </c>
      <c r="Z1307" s="111" t="str">
        <f>MID(E1307,4,2)</f>
        <v>HS</v>
      </c>
    </row>
    <row r="1308" spans="1:26" s="111" customFormat="1" x14ac:dyDescent="0.2">
      <c r="A1308" s="101">
        <v>46252</v>
      </c>
      <c r="B1308" s="91" t="s">
        <v>1567</v>
      </c>
      <c r="C1308" s="102" t="s">
        <v>1568</v>
      </c>
      <c r="D1308" s="103" t="s">
        <v>1351</v>
      </c>
      <c r="E1308" s="91" t="s">
        <v>1569</v>
      </c>
      <c r="F1308" s="91" t="s">
        <v>1572</v>
      </c>
      <c r="G1308" s="91" t="s">
        <v>1573</v>
      </c>
      <c r="H1308" s="104" t="str">
        <f t="shared" si="84"/>
        <v>C1102J20</v>
      </c>
      <c r="I1308" s="104"/>
      <c r="J1308" s="105">
        <v>114.35</v>
      </c>
      <c r="K1308" s="106">
        <f>IF(D1308="CAESARSTONE LTD",VLOOKUP(H1308,'[2]GIA CA'!G:H,2,0),IF(OR(D1308="STONE FACINGS LIMITED",D1308="NORDIA SA",D1308="INVICTUS STONE COUNTERTOPS INC",D1308="QUARTZTOP LLC"),VLOOKUP(H1308,'[2] Giá ngoài Mỹ - SI-GR'!$B$5:$AZ$84,51,0),IF(OR(D1308="HYUNDAI L&amp;C CANADA INC",D1308="Hyundai L&amp; C USA LLC"),VLOOKUP(H1308,'[2]GIA HS'!A:D,4,0),IF(Y1308="Mỹ",VLOOKUP(H1308,'[2]giá mỹ từ 6.8.2025'!B:I,2,0),VLOOKUP(H1308,'[2]giá ngoài mỹ 6.8.2025 (final)'!B:BP,51,0)))))</f>
        <v>65</v>
      </c>
      <c r="L1308" s="106">
        <v>68.25</v>
      </c>
      <c r="M1308" s="106">
        <f t="shared" si="83"/>
        <v>3.25</v>
      </c>
      <c r="N1308" s="106">
        <v>68.25</v>
      </c>
      <c r="O1308" s="107">
        <v>7804.39</v>
      </c>
      <c r="P1308" s="107">
        <v>25870</v>
      </c>
      <c r="Q1308" s="107">
        <v>201899569</v>
      </c>
      <c r="R1308" s="102" t="s">
        <v>30</v>
      </c>
      <c r="S1308" s="108"/>
      <c r="T1308" s="109"/>
      <c r="U1308" s="109"/>
      <c r="V1308" s="102"/>
      <c r="W1308" s="109"/>
      <c r="X1308" s="109"/>
      <c r="Y1308" s="110" t="s">
        <v>803</v>
      </c>
      <c r="Z1308" s="111" t="str">
        <f>MID(E1308,4,2)</f>
        <v>HS</v>
      </c>
    </row>
    <row r="1309" spans="1:26" s="111" customFormat="1" x14ac:dyDescent="0.2">
      <c r="A1309" s="101">
        <v>46252</v>
      </c>
      <c r="B1309" s="91" t="s">
        <v>1567</v>
      </c>
      <c r="C1309" s="102" t="s">
        <v>1568</v>
      </c>
      <c r="D1309" s="103" t="s">
        <v>1351</v>
      </c>
      <c r="E1309" s="91" t="s">
        <v>1569</v>
      </c>
      <c r="F1309" s="91" t="s">
        <v>1574</v>
      </c>
      <c r="G1309" s="91" t="s">
        <v>1575</v>
      </c>
      <c r="H1309" s="104" t="str">
        <f t="shared" si="84"/>
        <v>C4264J20</v>
      </c>
      <c r="I1309" s="104"/>
      <c r="J1309" s="105">
        <v>168.79</v>
      </c>
      <c r="K1309" s="106">
        <f>IF(D1309="CAESARSTONE LTD",VLOOKUP(H1309,'[2]GIA CA'!G:H,2,0),IF(OR(D1309="STONE FACINGS LIMITED",D1309="NORDIA SA",D1309="INVICTUS STONE COUNTERTOPS INC",D1309="QUARTZTOP LLC"),VLOOKUP(H1309,'[2] Giá ngoài Mỹ - SI-GR'!$B$5:$AZ$84,51,0),IF(OR(D1309="HYUNDAI L&amp;C CANADA INC",D1309="Hyundai L&amp; C USA LLC"),VLOOKUP(H1309,'[2]GIA HS'!A:D,4,0),IF(Y1309="Mỹ",VLOOKUP(H1309,'[2]giá mỹ từ 6.8.2025'!B:I,2,0),VLOOKUP(H1309,'[2]giá ngoài mỹ 6.8.2025 (final)'!B:BP,51,0)))))</f>
        <v>76</v>
      </c>
      <c r="L1309" s="106">
        <v>76</v>
      </c>
      <c r="M1309" s="106">
        <f t="shared" si="83"/>
        <v>0</v>
      </c>
      <c r="N1309" s="106">
        <v>76</v>
      </c>
      <c r="O1309" s="107">
        <v>12828.04</v>
      </c>
      <c r="P1309" s="107">
        <v>25870</v>
      </c>
      <c r="Q1309" s="107">
        <v>331861395</v>
      </c>
      <c r="R1309" s="102" t="s">
        <v>30</v>
      </c>
      <c r="S1309" s="108"/>
      <c r="T1309" s="109"/>
      <c r="U1309" s="109"/>
      <c r="V1309" s="102"/>
      <c r="W1309" s="109"/>
      <c r="X1309" s="109"/>
      <c r="Y1309" s="110" t="s">
        <v>803</v>
      </c>
      <c r="Z1309" s="111" t="str">
        <f>MID(E1309,4,2)</f>
        <v>HS</v>
      </c>
    </row>
    <row r="1310" spans="1:26" s="111" customFormat="1" x14ac:dyDescent="0.2">
      <c r="A1310" s="101">
        <v>46252</v>
      </c>
      <c r="B1310" s="91" t="s">
        <v>1567</v>
      </c>
      <c r="C1310" s="102" t="s">
        <v>1568</v>
      </c>
      <c r="D1310" s="103" t="s">
        <v>1351</v>
      </c>
      <c r="E1310" s="91" t="s">
        <v>1569</v>
      </c>
      <c r="F1310" s="91" t="s">
        <v>1576</v>
      </c>
      <c r="G1310" s="91" t="s">
        <v>1575</v>
      </c>
      <c r="H1310" s="104" t="str">
        <f t="shared" si="84"/>
        <v>C4264J20</v>
      </c>
      <c r="I1310" s="104"/>
      <c r="J1310" s="105">
        <v>27.23</v>
      </c>
      <c r="K1310" s="106">
        <f>IF(D1310="CAESARSTONE LTD",VLOOKUP(H1310,'[2]GIA CA'!G:H,2,0),IF(OR(D1310="STONE FACINGS LIMITED",D1310="NORDIA SA",D1310="INVICTUS STONE COUNTERTOPS INC",D1310="QUARTZTOP LLC"),VLOOKUP(H1310,'[2] Giá ngoài Mỹ - SI-GR'!$B$5:$AZ$84,51,0),IF(OR(D1310="HYUNDAI L&amp;C CANADA INC",D1310="Hyundai L&amp; C USA LLC"),VLOOKUP(H1310,'[2]GIA HS'!A:D,4,0),IF(Y1310="Mỹ",VLOOKUP(H1310,'[2]giá mỹ từ 6.8.2025'!B:I,2,0),VLOOKUP(H1310,'[2]giá ngoài mỹ 6.8.2025 (final)'!B:BP,51,0)))))</f>
        <v>76</v>
      </c>
      <c r="L1310" s="106">
        <v>76</v>
      </c>
      <c r="M1310" s="106">
        <f t="shared" si="83"/>
        <v>0</v>
      </c>
      <c r="N1310" s="106">
        <v>76</v>
      </c>
      <c r="O1310" s="107">
        <v>2069.48</v>
      </c>
      <c r="P1310" s="107">
        <v>25870</v>
      </c>
      <c r="Q1310" s="107">
        <v>53537448</v>
      </c>
      <c r="R1310" s="102" t="s">
        <v>30</v>
      </c>
      <c r="S1310" s="108"/>
      <c r="T1310" s="109"/>
      <c r="U1310" s="109"/>
      <c r="V1310" s="102"/>
      <c r="W1310" s="109"/>
      <c r="X1310" s="109"/>
      <c r="Y1310" s="110" t="s">
        <v>803</v>
      </c>
      <c r="Z1310" s="111" t="str">
        <f>MID(E1310,4,2)</f>
        <v>HS</v>
      </c>
    </row>
    <row r="1311" spans="1:26" s="111" customFormat="1" x14ac:dyDescent="0.2">
      <c r="A1311" s="101">
        <v>46252</v>
      </c>
      <c r="B1311" s="91" t="s">
        <v>1567</v>
      </c>
      <c r="C1311" s="102" t="s">
        <v>1568</v>
      </c>
      <c r="D1311" s="103" t="s">
        <v>1351</v>
      </c>
      <c r="E1311" s="91" t="s">
        <v>1569</v>
      </c>
      <c r="F1311" s="91" t="s">
        <v>1570</v>
      </c>
      <c r="G1311" s="91" t="s">
        <v>1571</v>
      </c>
      <c r="H1311" s="104" t="str">
        <f t="shared" si="84"/>
        <v>C3311J30</v>
      </c>
      <c r="I1311" s="104"/>
      <c r="J1311" s="105">
        <v>272.25</v>
      </c>
      <c r="K1311" s="106">
        <f>IF(D1311="CAESARSTONE LTD",VLOOKUP(H1311,'[2]GIA CA'!G:H,2,0),IF(OR(D1311="STONE FACINGS LIMITED",D1311="NORDIA SA",D1311="INVICTUS STONE COUNTERTOPS INC",D1311="QUARTZTOP LLC"),VLOOKUP(H1311,'[2] Giá ngoài Mỹ - SI-GR'!$B$5:$AZ$84,51,0),IF(OR(D1311="HYUNDAI L&amp;C CANADA INC",D1311="Hyundai L&amp; C USA LLC"),VLOOKUP(H1311,'[2]GIA HS'!A:D,4,0),IF(Y1311="Mỹ",VLOOKUP(H1311,'[2]giá mỹ từ 6.8.2025'!B:I,2,0),VLOOKUP(H1311,'[2]giá ngoài mỹ 6.8.2025 (final)'!B:BP,51,0)))))</f>
        <v>73</v>
      </c>
      <c r="L1311" s="106">
        <v>75</v>
      </c>
      <c r="M1311" s="106">
        <f t="shared" si="83"/>
        <v>2</v>
      </c>
      <c r="N1311" s="106">
        <v>75</v>
      </c>
      <c r="O1311" s="107">
        <v>20418.75</v>
      </c>
      <c r="P1311" s="107">
        <v>25870</v>
      </c>
      <c r="Q1311" s="107">
        <v>528233063</v>
      </c>
      <c r="R1311" s="102" t="s">
        <v>30</v>
      </c>
      <c r="S1311" s="108"/>
      <c r="T1311" s="109"/>
      <c r="U1311" s="109"/>
      <c r="V1311" s="102"/>
      <c r="W1311" s="109"/>
      <c r="X1311" s="109"/>
      <c r="Y1311" s="110" t="s">
        <v>803</v>
      </c>
      <c r="Z1311" s="111" t="str">
        <f>MID(E1311,4,2)</f>
        <v>HS</v>
      </c>
    </row>
    <row r="1312" spans="1:26" s="111" customFormat="1" x14ac:dyDescent="0.2">
      <c r="A1312" s="101">
        <v>46252</v>
      </c>
      <c r="B1312" s="91" t="s">
        <v>1577</v>
      </c>
      <c r="C1312" s="102" t="s">
        <v>1578</v>
      </c>
      <c r="D1312" s="103" t="s">
        <v>1351</v>
      </c>
      <c r="E1312" s="91" t="s">
        <v>1579</v>
      </c>
      <c r="F1312" s="91" t="s">
        <v>62</v>
      </c>
      <c r="G1312" s="91" t="s">
        <v>63</v>
      </c>
      <c r="H1312" s="104" t="str">
        <f t="shared" si="84"/>
        <v>C4255J30</v>
      </c>
      <c r="I1312" s="104"/>
      <c r="J1312" s="105">
        <v>272.25</v>
      </c>
      <c r="K1312" s="106">
        <f>IF(D1312="CAESARSTONE LTD",VLOOKUP(H1312,'[2]GIA CA'!G:H,2,0),IF(OR(D1312="STONE FACINGS LIMITED",D1312="NORDIA SA",D1312="INVICTUS STONE COUNTERTOPS INC",D1312="QUARTZTOP LLC"),VLOOKUP(H1312,'[2] Giá ngoài Mỹ - SI-GR'!$B$5:$AZ$84,51,0),IF(OR(D1312="HYUNDAI L&amp;C CANADA INC",D1312="Hyundai L&amp; C USA LLC"),VLOOKUP(H1312,'[2]GIA HS'!A:D,4,0),IF(Y1312="Mỹ",VLOOKUP(H1312,'[2]giá mỹ từ 6.8.2025'!B:I,2,0),VLOOKUP(H1312,'[2]giá ngoài mỹ 6.8.2025 (final)'!B:BP,51,0)))))</f>
        <v>82</v>
      </c>
      <c r="L1312" s="106">
        <v>86.1</v>
      </c>
      <c r="M1312" s="106">
        <f t="shared" si="83"/>
        <v>4.0999999999999943</v>
      </c>
      <c r="N1312" s="106">
        <v>86.1</v>
      </c>
      <c r="O1312" s="107">
        <v>23440.73</v>
      </c>
      <c r="P1312" s="107">
        <v>25870</v>
      </c>
      <c r="Q1312" s="107">
        <v>606411685</v>
      </c>
      <c r="R1312" s="102" t="s">
        <v>30</v>
      </c>
      <c r="S1312" s="108"/>
      <c r="T1312" s="109"/>
      <c r="U1312" s="109"/>
      <c r="V1312" s="102"/>
      <c r="W1312" s="109"/>
      <c r="X1312" s="109"/>
      <c r="Y1312" s="110" t="s">
        <v>803</v>
      </c>
      <c r="Z1312" s="111" t="str">
        <f>MID(E1312,4,2)</f>
        <v>HS</v>
      </c>
    </row>
    <row r="1313" spans="1:26" s="111" customFormat="1" x14ac:dyDescent="0.2">
      <c r="A1313" s="101">
        <v>46252</v>
      </c>
      <c r="B1313" s="91" t="s">
        <v>1577</v>
      </c>
      <c r="C1313" s="102" t="s">
        <v>1578</v>
      </c>
      <c r="D1313" s="103" t="s">
        <v>1351</v>
      </c>
      <c r="E1313" s="91" t="s">
        <v>1579</v>
      </c>
      <c r="F1313" s="91" t="s">
        <v>62</v>
      </c>
      <c r="G1313" s="91" t="s">
        <v>63</v>
      </c>
      <c r="H1313" s="104" t="str">
        <f t="shared" si="84"/>
        <v>C4255J30</v>
      </c>
      <c r="I1313" s="104"/>
      <c r="J1313" s="105">
        <v>266.8</v>
      </c>
      <c r="K1313" s="106">
        <f>IF(D1313="CAESARSTONE LTD",VLOOKUP(H1313,'[2]GIA CA'!G:H,2,0),IF(OR(D1313="STONE FACINGS LIMITED",D1313="NORDIA SA",D1313="INVICTUS STONE COUNTERTOPS INC",D1313="QUARTZTOP LLC"),VLOOKUP(H1313,'[2] Giá ngoài Mỹ - SI-GR'!$B$5:$AZ$84,51,0),IF(OR(D1313="HYUNDAI L&amp;C CANADA INC",D1313="Hyundai L&amp; C USA LLC"),VLOOKUP(H1313,'[2]GIA HS'!A:D,4,0),IF(Y1313="Mỹ",VLOOKUP(H1313,'[2]giá mỹ từ 6.8.2025'!B:I,2,0),VLOOKUP(H1313,'[2]giá ngoài mỹ 6.8.2025 (final)'!B:BP,51,0)))))</f>
        <v>82</v>
      </c>
      <c r="L1313" s="106">
        <v>86.1</v>
      </c>
      <c r="M1313" s="106">
        <f t="shared" si="83"/>
        <v>4.0999999999999943</v>
      </c>
      <c r="N1313" s="106">
        <v>86.1</v>
      </c>
      <c r="O1313" s="107">
        <v>22971.48</v>
      </c>
      <c r="P1313" s="107">
        <v>25870</v>
      </c>
      <c r="Q1313" s="107">
        <v>594272188</v>
      </c>
      <c r="R1313" s="102" t="s">
        <v>30</v>
      </c>
      <c r="S1313" s="108"/>
      <c r="T1313" s="109"/>
      <c r="U1313" s="109"/>
      <c r="V1313" s="102"/>
      <c r="W1313" s="109"/>
      <c r="X1313" s="109"/>
      <c r="Y1313" s="110" t="s">
        <v>803</v>
      </c>
      <c r="Z1313" s="111" t="str">
        <f>MID(E1313,4,2)</f>
        <v>HS</v>
      </c>
    </row>
    <row r="1314" spans="1:26" s="111" customFormat="1" x14ac:dyDescent="0.2">
      <c r="A1314" s="101">
        <v>46252</v>
      </c>
      <c r="B1314" s="91" t="s">
        <v>1577</v>
      </c>
      <c r="C1314" s="102" t="s">
        <v>1578</v>
      </c>
      <c r="D1314" s="103" t="s">
        <v>1351</v>
      </c>
      <c r="E1314" s="91" t="s">
        <v>1579</v>
      </c>
      <c r="F1314" s="91" t="s">
        <v>64</v>
      </c>
      <c r="G1314" s="91" t="s">
        <v>63</v>
      </c>
      <c r="H1314" s="104" t="str">
        <f t="shared" si="84"/>
        <v>C4255J30</v>
      </c>
      <c r="I1314" s="104"/>
      <c r="J1314" s="105">
        <v>5.45</v>
      </c>
      <c r="K1314" s="106">
        <f>IF(D1314="CAESARSTONE LTD",VLOOKUP(H1314,'[2]GIA CA'!G:H,2,0),IF(OR(D1314="STONE FACINGS LIMITED",D1314="NORDIA SA",D1314="INVICTUS STONE COUNTERTOPS INC",D1314="QUARTZTOP LLC"),VLOOKUP(H1314,'[2] Giá ngoài Mỹ - SI-GR'!$B$5:$AZ$84,51,0),IF(OR(D1314="HYUNDAI L&amp;C CANADA INC",D1314="Hyundai L&amp; C USA LLC"),VLOOKUP(H1314,'[2]GIA HS'!A:D,4,0),IF(Y1314="Mỹ",VLOOKUP(H1314,'[2]giá mỹ từ 6.8.2025'!B:I,2,0),VLOOKUP(H1314,'[2]giá ngoài mỹ 6.8.2025 (final)'!B:BP,51,0)))))</f>
        <v>82</v>
      </c>
      <c r="L1314" s="106">
        <v>86.1</v>
      </c>
      <c r="M1314" s="106">
        <f t="shared" si="83"/>
        <v>4.0999999999999943</v>
      </c>
      <c r="N1314" s="106">
        <v>86.1</v>
      </c>
      <c r="O1314" s="107">
        <v>469.25</v>
      </c>
      <c r="P1314" s="107">
        <v>25870</v>
      </c>
      <c r="Q1314" s="107">
        <v>12139498</v>
      </c>
      <c r="R1314" s="102" t="s">
        <v>30</v>
      </c>
      <c r="S1314" s="108"/>
      <c r="T1314" s="109"/>
      <c r="U1314" s="109"/>
      <c r="V1314" s="102"/>
      <c r="W1314" s="109"/>
      <c r="X1314" s="109"/>
      <c r="Y1314" s="110" t="s">
        <v>803</v>
      </c>
      <c r="Z1314" s="111" t="str">
        <f>MID(E1314,4,2)</f>
        <v>HS</v>
      </c>
    </row>
    <row r="1315" spans="1:26" s="111" customFormat="1" x14ac:dyDescent="0.2">
      <c r="A1315" s="101">
        <v>46252</v>
      </c>
      <c r="B1315" s="91" t="s">
        <v>1580</v>
      </c>
      <c r="C1315" s="102" t="s">
        <v>1581</v>
      </c>
      <c r="D1315" s="103" t="s">
        <v>411</v>
      </c>
      <c r="E1315" s="91" t="s">
        <v>1582</v>
      </c>
      <c r="F1315" s="91" t="s">
        <v>895</v>
      </c>
      <c r="G1315" s="91" t="s">
        <v>896</v>
      </c>
      <c r="H1315" s="104" t="str">
        <f t="shared" si="84"/>
        <v>C4143J30</v>
      </c>
      <c r="I1315" s="104"/>
      <c r="J1315" s="105">
        <v>283.14</v>
      </c>
      <c r="K1315" s="106">
        <f>IF(D1315="CAESARSTONE LTD",VLOOKUP(H1315,'[2]GIA CA'!G:H,2,0),IF(OR(D1315="STONE FACINGS LIMITED",D1315="NORDIA SA",D1315="INVICTUS STONE COUNTERTOPS INC",D1315="QUARTZTOP LLC"),VLOOKUP(H1315,'[2] Giá ngoài Mỹ - SI-GR'!$B$5:$AZ$84,51,0),IF(OR(D1315="HYUNDAI L&amp;C CANADA INC",D1315="Hyundai L&amp; C USA LLC"),VLOOKUP(H1315,'[2]GIA HS'!A:D,4,0),IF(Y1315="Mỹ",VLOOKUP(H1315,'[2]giá mỹ từ 6.8.2025'!B:I,2,0),VLOOKUP(H1315,'[2]giá ngoài mỹ 6.8.2025 (final)'!B:BP,51,0)))))</f>
        <v>71</v>
      </c>
      <c r="L1315" s="106">
        <v>75.599999999999994</v>
      </c>
      <c r="M1315" s="106">
        <f t="shared" si="83"/>
        <v>4.5999999999999943</v>
      </c>
      <c r="N1315" s="106">
        <v>75.599999999999994</v>
      </c>
      <c r="O1315" s="107">
        <v>21405.279999999999</v>
      </c>
      <c r="P1315" s="107">
        <v>25870</v>
      </c>
      <c r="Q1315" s="107">
        <v>553754594</v>
      </c>
      <c r="R1315" s="102" t="s">
        <v>30</v>
      </c>
      <c r="S1315" s="108"/>
      <c r="T1315" s="109"/>
      <c r="U1315" s="109"/>
      <c r="V1315" s="102"/>
      <c r="W1315" s="109"/>
      <c r="X1315" s="109"/>
      <c r="Y1315" s="110" t="s">
        <v>31</v>
      </c>
      <c r="Z1315" s="111" t="str">
        <f>MID(E1315,4,2)</f>
        <v>DP</v>
      </c>
    </row>
    <row r="1316" spans="1:26" s="111" customFormat="1" x14ac:dyDescent="0.2">
      <c r="A1316" s="101">
        <v>46252</v>
      </c>
      <c r="B1316" s="91" t="s">
        <v>1580</v>
      </c>
      <c r="C1316" s="102" t="s">
        <v>1581</v>
      </c>
      <c r="D1316" s="103" t="s">
        <v>411</v>
      </c>
      <c r="E1316" s="91" t="s">
        <v>1582</v>
      </c>
      <c r="F1316" s="91" t="s">
        <v>895</v>
      </c>
      <c r="G1316" s="91" t="s">
        <v>896</v>
      </c>
      <c r="H1316" s="104" t="str">
        <f t="shared" si="84"/>
        <v>C4143J30</v>
      </c>
      <c r="I1316" s="104"/>
      <c r="J1316" s="105">
        <v>283.14</v>
      </c>
      <c r="K1316" s="106">
        <f>IF(D1316="CAESARSTONE LTD",VLOOKUP(H1316,'[2]GIA CA'!G:H,2,0),IF(OR(D1316="STONE FACINGS LIMITED",D1316="NORDIA SA",D1316="INVICTUS STONE COUNTERTOPS INC",D1316="QUARTZTOP LLC"),VLOOKUP(H1316,'[2] Giá ngoài Mỹ - SI-GR'!$B$5:$AZ$84,51,0),IF(OR(D1316="HYUNDAI L&amp;C CANADA INC",D1316="Hyundai L&amp; C USA LLC"),VLOOKUP(H1316,'[2]GIA HS'!A:D,4,0),IF(Y1316="Mỹ",VLOOKUP(H1316,'[2]giá mỹ từ 6.8.2025'!B:I,2,0),VLOOKUP(H1316,'[2]giá ngoài mỹ 6.8.2025 (final)'!B:BP,51,0)))))</f>
        <v>71</v>
      </c>
      <c r="L1316" s="106">
        <v>75.605000000000004</v>
      </c>
      <c r="M1316" s="106">
        <f t="shared" si="83"/>
        <v>4.605000000000004</v>
      </c>
      <c r="N1316" s="106">
        <v>75.599999999999994</v>
      </c>
      <c r="O1316" s="107">
        <v>21405.279999999999</v>
      </c>
      <c r="P1316" s="107">
        <v>25870</v>
      </c>
      <c r="Q1316" s="107">
        <v>553754594</v>
      </c>
      <c r="R1316" s="102" t="s">
        <v>30</v>
      </c>
      <c r="S1316" s="108"/>
      <c r="T1316" s="109"/>
      <c r="U1316" s="109"/>
      <c r="V1316" s="102"/>
      <c r="W1316" s="109"/>
      <c r="X1316" s="109"/>
      <c r="Y1316" s="110" t="s">
        <v>31</v>
      </c>
      <c r="Z1316" s="111" t="str">
        <f>MID(E1316,4,2)</f>
        <v>DP</v>
      </c>
    </row>
    <row r="1317" spans="1:26" s="111" customFormat="1" x14ac:dyDescent="0.2">
      <c r="A1317" s="101">
        <v>46252</v>
      </c>
      <c r="B1317" s="91" t="s">
        <v>1583</v>
      </c>
      <c r="C1317" s="102" t="s">
        <v>1584</v>
      </c>
      <c r="D1317" s="103" t="s">
        <v>427</v>
      </c>
      <c r="E1317" s="91" t="s">
        <v>1585</v>
      </c>
      <c r="F1317" s="91" t="s">
        <v>1428</v>
      </c>
      <c r="G1317" s="91" t="s">
        <v>1429</v>
      </c>
      <c r="H1317" s="104" t="str">
        <f t="shared" si="84"/>
        <v>C5341J20</v>
      </c>
      <c r="I1317" s="104"/>
      <c r="J1317" s="105">
        <v>1.94</v>
      </c>
      <c r="K1317" s="106">
        <f>IF(D1317="CAESARSTONE LTD",VLOOKUP(H1317,'[2]GIA CA'!G:H,2,0),IF(OR(D1317="STONE FACINGS LIMITED",D1317="NORDIA SA",D1317="INVICTUS STONE COUNTERTOPS INC",D1317="QUARTZTOP LLC"),VLOOKUP(H1317,'[2] Giá ngoài Mỹ - SI-GR'!$B$5:$AZ$84,51,0),IF(OR(D1317="HYUNDAI L&amp;C CANADA INC",D1317="Hyundai L&amp; C USA LLC"),VLOOKUP(H1317,'[2]GIA HS'!A:D,4,0),IF(Y1317="Mỹ",VLOOKUP(H1317,'[2]giá mỹ từ 6.8.2025'!B:I,2,0),VLOOKUP(H1317,'[2]giá ngoài mỹ 6.8.2025 (final)'!B:BP,51,0)))))</f>
        <v>60</v>
      </c>
      <c r="L1317" s="106">
        <v>63</v>
      </c>
      <c r="M1317" s="106">
        <f t="shared" si="83"/>
        <v>3</v>
      </c>
      <c r="N1317" s="106">
        <v>63</v>
      </c>
      <c r="O1317" s="107">
        <v>122.22</v>
      </c>
      <c r="P1317" s="107">
        <v>25870</v>
      </c>
      <c r="Q1317" s="107">
        <v>3161831</v>
      </c>
      <c r="R1317" s="102"/>
      <c r="S1317" s="108"/>
      <c r="T1317" s="109" t="s">
        <v>30</v>
      </c>
      <c r="U1317" s="109"/>
      <c r="V1317" s="102"/>
      <c r="W1317" s="109"/>
      <c r="X1317" s="109"/>
      <c r="Y1317" s="110" t="s">
        <v>31</v>
      </c>
      <c r="Z1317" s="111" t="str">
        <f>MID(E1317,4,2)</f>
        <v>JD</v>
      </c>
    </row>
    <row r="1318" spans="1:26" s="111" customFormat="1" x14ac:dyDescent="0.2">
      <c r="A1318" s="101">
        <v>46252</v>
      </c>
      <c r="B1318" s="91" t="s">
        <v>1583</v>
      </c>
      <c r="C1318" s="102" t="s">
        <v>1584</v>
      </c>
      <c r="D1318" s="103" t="s">
        <v>427</v>
      </c>
      <c r="E1318" s="91" t="s">
        <v>1585</v>
      </c>
      <c r="F1318" s="91" t="s">
        <v>643</v>
      </c>
      <c r="G1318" s="91" t="s">
        <v>642</v>
      </c>
      <c r="H1318" s="104" t="str">
        <f t="shared" si="84"/>
        <v>C2104J30</v>
      </c>
      <c r="I1318" s="104"/>
      <c r="J1318" s="105">
        <v>43.56</v>
      </c>
      <c r="K1318" s="106">
        <f>IF(D1318="CAESARSTONE LTD",VLOOKUP(H1318,'[2]GIA CA'!G:H,2,0),IF(OR(D1318="STONE FACINGS LIMITED",D1318="NORDIA SA",D1318="INVICTUS STONE COUNTERTOPS INC",D1318="QUARTZTOP LLC"),VLOOKUP(H1318,'[2] Giá ngoài Mỹ - SI-GR'!$B$5:$AZ$84,51,0),IF(OR(D1318="HYUNDAI L&amp;C CANADA INC",D1318="Hyundai L&amp; C USA LLC"),VLOOKUP(H1318,'[2]GIA HS'!A:D,4,0),IF(Y1318="Mỹ",VLOOKUP(H1318,'[2]giá mỹ từ 6.8.2025'!B:I,2,0),VLOOKUP(H1318,'[2]giá ngoài mỹ 6.8.2025 (final)'!B:BP,51,0)))))</f>
        <v>72</v>
      </c>
      <c r="L1318" s="106">
        <v>73.84</v>
      </c>
      <c r="M1318" s="106">
        <f t="shared" si="83"/>
        <v>1.8400000000000034</v>
      </c>
      <c r="N1318" s="106">
        <v>73.84</v>
      </c>
      <c r="O1318" s="107">
        <v>3216.65</v>
      </c>
      <c r="P1318" s="107">
        <v>25870</v>
      </c>
      <c r="Q1318" s="107">
        <v>83214736</v>
      </c>
      <c r="R1318" s="102" t="s">
        <v>30</v>
      </c>
      <c r="S1318" s="108"/>
      <c r="T1318" s="109"/>
      <c r="U1318" s="109"/>
      <c r="V1318" s="102"/>
      <c r="W1318" s="109"/>
      <c r="X1318" s="109"/>
      <c r="Y1318" s="110" t="s">
        <v>31</v>
      </c>
      <c r="Z1318" s="111" t="str">
        <f>MID(E1318,4,2)</f>
        <v>JD</v>
      </c>
    </row>
    <row r="1319" spans="1:26" s="111" customFormat="1" x14ac:dyDescent="0.2">
      <c r="A1319" s="101">
        <v>46252</v>
      </c>
      <c r="B1319" s="91" t="s">
        <v>1583</v>
      </c>
      <c r="C1319" s="102" t="s">
        <v>1584</v>
      </c>
      <c r="D1319" s="103" t="s">
        <v>427</v>
      </c>
      <c r="E1319" s="91" t="s">
        <v>1585</v>
      </c>
      <c r="F1319" s="91" t="s">
        <v>1294</v>
      </c>
      <c r="G1319" s="91" t="s">
        <v>1295</v>
      </c>
      <c r="H1319" s="104" t="str">
        <f t="shared" si="84"/>
        <v>C5225J30</v>
      </c>
      <c r="I1319" s="104"/>
      <c r="J1319" s="105">
        <v>27.23</v>
      </c>
      <c r="K1319" s="106">
        <f>IF(D1319="CAESARSTONE LTD",VLOOKUP(H1319,'[2]GIA CA'!G:H,2,0),IF(OR(D1319="STONE FACINGS LIMITED",D1319="NORDIA SA",D1319="INVICTUS STONE COUNTERTOPS INC",D1319="QUARTZTOP LLC"),VLOOKUP(H1319,'[2] Giá ngoài Mỹ - SI-GR'!$B$5:$AZ$84,51,0),IF(OR(D1319="HYUNDAI L&amp;C CANADA INC",D1319="Hyundai L&amp; C USA LLC"),VLOOKUP(H1319,'[2]GIA HS'!A:D,4,0),IF(Y1319="Mỹ",VLOOKUP(H1319,'[2]giá mỹ từ 6.8.2025'!B:I,2,0),VLOOKUP(H1319,'[2]giá ngoài mỹ 6.8.2025 (final)'!B:BP,51,0)))))</f>
        <v>91</v>
      </c>
      <c r="L1319" s="106">
        <v>91</v>
      </c>
      <c r="M1319" s="106">
        <f t="shared" si="83"/>
        <v>0</v>
      </c>
      <c r="N1319" s="106">
        <v>87.78</v>
      </c>
      <c r="O1319" s="107">
        <v>2390.25</v>
      </c>
      <c r="P1319" s="107">
        <v>25870</v>
      </c>
      <c r="Q1319" s="107">
        <v>61835768</v>
      </c>
      <c r="R1319" s="102" t="s">
        <v>30</v>
      </c>
      <c r="S1319" s="108"/>
      <c r="T1319" s="109"/>
      <c r="U1319" s="109"/>
      <c r="V1319" s="102"/>
      <c r="W1319" s="109"/>
      <c r="X1319" s="109"/>
      <c r="Y1319" s="110" t="s">
        <v>31</v>
      </c>
      <c r="Z1319" s="111" t="str">
        <f>MID(E1319,4,2)</f>
        <v>JD</v>
      </c>
    </row>
    <row r="1320" spans="1:26" s="111" customFormat="1" x14ac:dyDescent="0.2">
      <c r="A1320" s="101">
        <v>46252</v>
      </c>
      <c r="B1320" s="91" t="s">
        <v>1583</v>
      </c>
      <c r="C1320" s="102" t="s">
        <v>1584</v>
      </c>
      <c r="D1320" s="103" t="s">
        <v>427</v>
      </c>
      <c r="E1320" s="91" t="s">
        <v>1585</v>
      </c>
      <c r="F1320" s="91" t="s">
        <v>228</v>
      </c>
      <c r="G1320" s="91" t="s">
        <v>227</v>
      </c>
      <c r="H1320" s="104" t="str">
        <f t="shared" si="84"/>
        <v>C5331J30</v>
      </c>
      <c r="I1320" s="104"/>
      <c r="J1320" s="105">
        <v>54.45</v>
      </c>
      <c r="K1320" s="106">
        <f>IF(D1320="CAESARSTONE LTD",VLOOKUP(H1320,'[2]GIA CA'!G:H,2,0),IF(OR(D1320="STONE FACINGS LIMITED",D1320="NORDIA SA",D1320="INVICTUS STONE COUNTERTOPS INC",D1320="QUARTZTOP LLC"),VLOOKUP(H1320,'[2] Giá ngoài Mỹ - SI-GR'!$B$5:$AZ$84,51,0),IF(OR(D1320="HYUNDAI L&amp;C CANADA INC",D1320="Hyundai L&amp; C USA LLC"),VLOOKUP(H1320,'[2]GIA HS'!A:D,4,0),IF(Y1320="Mỹ",VLOOKUP(H1320,'[2]giá mỹ từ 6.8.2025'!B:I,2,0),VLOOKUP(H1320,'[2]giá ngoài mỹ 6.8.2025 (final)'!B:BP,51,0)))))</f>
        <v>83</v>
      </c>
      <c r="L1320" s="106">
        <v>89.25</v>
      </c>
      <c r="M1320" s="106">
        <f t="shared" si="83"/>
        <v>6.25</v>
      </c>
      <c r="N1320" s="106">
        <v>89.25</v>
      </c>
      <c r="O1320" s="107">
        <v>4859.66</v>
      </c>
      <c r="P1320" s="107">
        <v>25870</v>
      </c>
      <c r="Q1320" s="107">
        <v>125719404</v>
      </c>
      <c r="R1320" s="102" t="s">
        <v>30</v>
      </c>
      <c r="S1320" s="108"/>
      <c r="T1320" s="109"/>
      <c r="U1320" s="109"/>
      <c r="V1320" s="102"/>
      <c r="W1320" s="109"/>
      <c r="X1320" s="109"/>
      <c r="Y1320" s="110" t="s">
        <v>31</v>
      </c>
      <c r="Z1320" s="111" t="str">
        <f>MID(E1320,4,2)</f>
        <v>JD</v>
      </c>
    </row>
    <row r="1321" spans="1:26" s="111" customFormat="1" x14ac:dyDescent="0.2">
      <c r="A1321" s="101">
        <v>46252</v>
      </c>
      <c r="B1321" s="91" t="s">
        <v>1583</v>
      </c>
      <c r="C1321" s="102" t="s">
        <v>1584</v>
      </c>
      <c r="D1321" s="103" t="s">
        <v>427</v>
      </c>
      <c r="E1321" s="91" t="s">
        <v>1585</v>
      </c>
      <c r="F1321" s="91" t="s">
        <v>1430</v>
      </c>
      <c r="G1321" s="91" t="s">
        <v>1431</v>
      </c>
      <c r="H1321" s="104" t="str">
        <f t="shared" si="84"/>
        <v>C5341J30</v>
      </c>
      <c r="I1321" s="104"/>
      <c r="J1321" s="105">
        <v>27.23</v>
      </c>
      <c r="K1321" s="106">
        <f>IF(D1321="CAESARSTONE LTD",VLOOKUP(H1321,'[2]GIA CA'!G:H,2,0),IF(OR(D1321="STONE FACINGS LIMITED",D1321="NORDIA SA",D1321="INVICTUS STONE COUNTERTOPS INC",D1321="QUARTZTOP LLC"),VLOOKUP(H1321,'[2] Giá ngoài Mỹ - SI-GR'!$B$5:$AZ$84,51,0),IF(OR(D1321="HYUNDAI L&amp;C CANADA INC",D1321="Hyundai L&amp; C USA LLC"),VLOOKUP(H1321,'[2]GIA HS'!A:D,4,0),IF(Y1321="Mỹ",VLOOKUP(H1321,'[2]giá mỹ từ 6.8.2025'!B:I,2,0),VLOOKUP(H1321,'[2]giá ngoài mỹ 6.8.2025 (final)'!B:BP,51,0)))))</f>
        <v>76</v>
      </c>
      <c r="L1321" s="106">
        <v>81.900000000000006</v>
      </c>
      <c r="M1321" s="106">
        <f t="shared" si="83"/>
        <v>5.9000000000000057</v>
      </c>
      <c r="N1321" s="106">
        <v>81.900000000000006</v>
      </c>
      <c r="O1321" s="107">
        <v>2230.14</v>
      </c>
      <c r="P1321" s="107">
        <v>25870</v>
      </c>
      <c r="Q1321" s="107">
        <v>57693722</v>
      </c>
      <c r="R1321" s="102" t="s">
        <v>30</v>
      </c>
      <c r="S1321" s="108"/>
      <c r="T1321" s="109"/>
      <c r="U1321" s="109"/>
      <c r="V1321" s="102"/>
      <c r="W1321" s="109"/>
      <c r="X1321" s="109"/>
      <c r="Y1321" s="110" t="s">
        <v>31</v>
      </c>
      <c r="Z1321" s="111" t="str">
        <f>MID(E1321,4,2)</f>
        <v>JD</v>
      </c>
    </row>
    <row r="1322" spans="1:26" s="111" customFormat="1" x14ac:dyDescent="0.2">
      <c r="A1322" s="101">
        <v>46252</v>
      </c>
      <c r="B1322" s="91" t="s">
        <v>1583</v>
      </c>
      <c r="C1322" s="102" t="s">
        <v>1584</v>
      </c>
      <c r="D1322" s="103" t="s">
        <v>427</v>
      </c>
      <c r="E1322" s="91" t="s">
        <v>1585</v>
      </c>
      <c r="F1322" s="91" t="s">
        <v>445</v>
      </c>
      <c r="G1322" s="91" t="s">
        <v>437</v>
      </c>
      <c r="H1322" s="104" t="str">
        <f t="shared" si="84"/>
        <v>F5233J30</v>
      </c>
      <c r="I1322" s="104"/>
      <c r="J1322" s="105">
        <v>87.12</v>
      </c>
      <c r="K1322" s="106">
        <f>IF(D1322="CAESARSTONE LTD",VLOOKUP(H1322,'[2]GIA CA'!G:H,2,0),IF(OR(D1322="STONE FACINGS LIMITED",D1322="NORDIA SA",D1322="INVICTUS STONE COUNTERTOPS INC",D1322="QUARTZTOP LLC"),VLOOKUP(H1322,'[2] Giá ngoài Mỹ - SI-GR'!$B$5:$AZ$84,51,0),IF(OR(D1322="HYUNDAI L&amp;C CANADA INC",D1322="Hyundai L&amp; C USA LLC"),VLOOKUP(H1322,'[2]GIA HS'!A:D,4,0),IF(Y1322="Mỹ",VLOOKUP(H1322,'[2]giá mỹ từ 6.8.2025'!B:I,2,0),VLOOKUP(H1322,'[2]giá ngoài mỹ 6.8.2025 (final)'!B:BP,51,0)))))</f>
        <v>99</v>
      </c>
      <c r="L1322" s="106">
        <v>103.95</v>
      </c>
      <c r="M1322" s="106">
        <f t="shared" si="83"/>
        <v>4.9500000000000028</v>
      </c>
      <c r="N1322" s="106">
        <v>103.95</v>
      </c>
      <c r="O1322" s="107">
        <v>9056.1200000000008</v>
      </c>
      <c r="P1322" s="107">
        <v>25870</v>
      </c>
      <c r="Q1322" s="107">
        <v>234281824</v>
      </c>
      <c r="R1322" s="102" t="s">
        <v>30</v>
      </c>
      <c r="S1322" s="108"/>
      <c r="T1322" s="109"/>
      <c r="U1322" s="109"/>
      <c r="V1322" s="102"/>
      <c r="W1322" s="109"/>
      <c r="X1322" s="109"/>
      <c r="Y1322" s="110" t="s">
        <v>31</v>
      </c>
      <c r="Z1322" s="111" t="str">
        <f>MID(E1322,4,2)</f>
        <v>JD</v>
      </c>
    </row>
    <row r="1323" spans="1:26" s="111" customFormat="1" x14ac:dyDescent="0.2">
      <c r="A1323" s="101">
        <v>46253</v>
      </c>
      <c r="B1323" s="91" t="s">
        <v>1586</v>
      </c>
      <c r="C1323" s="102" t="s">
        <v>1587</v>
      </c>
      <c r="D1323" s="103" t="s">
        <v>26</v>
      </c>
      <c r="E1323" s="91" t="s">
        <v>1588</v>
      </c>
      <c r="F1323" s="91" t="s">
        <v>1259</v>
      </c>
      <c r="G1323" s="91" t="s">
        <v>1260</v>
      </c>
      <c r="H1323" s="104" t="str">
        <f t="shared" si="84"/>
        <v>C4143J20</v>
      </c>
      <c r="I1323" s="104"/>
      <c r="J1323" s="105">
        <v>435.6</v>
      </c>
      <c r="K1323" s="106"/>
      <c r="L1323" s="106">
        <v>0</v>
      </c>
      <c r="M1323" s="106">
        <f t="shared" si="83"/>
        <v>0</v>
      </c>
      <c r="N1323" s="106">
        <v>59.9</v>
      </c>
      <c r="O1323" s="107">
        <v>26092.799999999999</v>
      </c>
      <c r="P1323" s="107">
        <v>25870</v>
      </c>
      <c r="Q1323" s="107">
        <v>675020736</v>
      </c>
      <c r="R1323" s="102" t="s">
        <v>30</v>
      </c>
      <c r="S1323" s="108"/>
      <c r="T1323" s="109"/>
      <c r="U1323" s="109"/>
      <c r="V1323" s="102"/>
      <c r="W1323" s="109"/>
      <c r="X1323" s="109"/>
      <c r="Y1323" s="110" t="s">
        <v>803</v>
      </c>
      <c r="Z1323" s="111" t="str">
        <f>MID(E1323,4,2)</f>
        <v>CA</v>
      </c>
    </row>
    <row r="1324" spans="1:26" s="111" customFormat="1" x14ac:dyDescent="0.2">
      <c r="A1324" s="101">
        <v>46253</v>
      </c>
      <c r="B1324" s="91" t="s">
        <v>1586</v>
      </c>
      <c r="C1324" s="102" t="s">
        <v>1587</v>
      </c>
      <c r="D1324" s="103" t="s">
        <v>26</v>
      </c>
      <c r="E1324" s="91" t="s">
        <v>1588</v>
      </c>
      <c r="F1324" s="91" t="s">
        <v>1259</v>
      </c>
      <c r="G1324" s="91" t="s">
        <v>1260</v>
      </c>
      <c r="H1324" s="104" t="str">
        <f t="shared" si="84"/>
        <v>C4143J20</v>
      </c>
      <c r="I1324" s="104"/>
      <c r="J1324" s="105">
        <v>163.35</v>
      </c>
      <c r="K1324" s="106"/>
      <c r="L1324" s="106">
        <v>0</v>
      </c>
      <c r="M1324" s="106">
        <f t="shared" si="83"/>
        <v>0</v>
      </c>
      <c r="N1324" s="106">
        <v>59.9</v>
      </c>
      <c r="O1324" s="107">
        <v>9784.7999999999993</v>
      </c>
      <c r="P1324" s="107">
        <v>25870</v>
      </c>
      <c r="Q1324" s="107">
        <v>253132776</v>
      </c>
      <c r="R1324" s="102" t="s">
        <v>30</v>
      </c>
      <c r="S1324" s="108"/>
      <c r="T1324" s="109"/>
      <c r="U1324" s="109"/>
      <c r="V1324" s="102"/>
      <c r="W1324" s="109"/>
      <c r="X1324" s="109"/>
      <c r="Y1324" s="110" t="s">
        <v>803</v>
      </c>
      <c r="Z1324" s="111" t="str">
        <f>MID(E1324,4,2)</f>
        <v>CA</v>
      </c>
    </row>
    <row r="1325" spans="1:26" s="111" customFormat="1" x14ac:dyDescent="0.2">
      <c r="A1325" s="101">
        <v>46253</v>
      </c>
      <c r="B1325" s="91" t="s">
        <v>1586</v>
      </c>
      <c r="C1325" s="102" t="s">
        <v>1587</v>
      </c>
      <c r="D1325" s="103" t="s">
        <v>26</v>
      </c>
      <c r="E1325" s="91" t="s">
        <v>1588</v>
      </c>
      <c r="F1325" s="91" t="s">
        <v>1518</v>
      </c>
      <c r="G1325" s="91" t="s">
        <v>1519</v>
      </c>
      <c r="H1325" s="104" t="str">
        <f t="shared" si="84"/>
        <v>F4044J30</v>
      </c>
      <c r="I1325" s="104"/>
      <c r="J1325" s="105">
        <v>38.119999999999997</v>
      </c>
      <c r="K1325" s="106"/>
      <c r="L1325" s="106">
        <v>0</v>
      </c>
      <c r="M1325" s="106">
        <f t="shared" si="83"/>
        <v>0</v>
      </c>
      <c r="N1325" s="106">
        <v>78.790000000000006</v>
      </c>
      <c r="O1325" s="107">
        <v>3003.49</v>
      </c>
      <c r="P1325" s="107">
        <v>25870</v>
      </c>
      <c r="Q1325" s="107">
        <v>77700286</v>
      </c>
      <c r="R1325" s="102" t="s">
        <v>30</v>
      </c>
      <c r="S1325" s="108"/>
      <c r="T1325" s="109"/>
      <c r="U1325" s="109"/>
      <c r="V1325" s="102"/>
      <c r="W1325" s="109"/>
      <c r="X1325" s="109"/>
      <c r="Y1325" s="110" t="s">
        <v>803</v>
      </c>
      <c r="Z1325" s="111" t="str">
        <f>MID(E1325,4,2)</f>
        <v>CA</v>
      </c>
    </row>
    <row r="1326" spans="1:26" s="111" customFormat="1" x14ac:dyDescent="0.2">
      <c r="A1326" s="101">
        <v>46253</v>
      </c>
      <c r="B1326" s="91" t="s">
        <v>1586</v>
      </c>
      <c r="C1326" s="102" t="s">
        <v>1587</v>
      </c>
      <c r="D1326" s="103" t="s">
        <v>26</v>
      </c>
      <c r="E1326" s="91" t="s">
        <v>1588</v>
      </c>
      <c r="F1326" s="91" t="s">
        <v>456</v>
      </c>
      <c r="G1326" s="91" t="s">
        <v>457</v>
      </c>
      <c r="H1326" s="104" t="str">
        <f t="shared" si="84"/>
        <v>F5131J30</v>
      </c>
      <c r="I1326" s="104"/>
      <c r="J1326" s="105">
        <v>114.35</v>
      </c>
      <c r="K1326" s="106"/>
      <c r="L1326" s="106">
        <v>0</v>
      </c>
      <c r="M1326" s="106">
        <f t="shared" si="83"/>
        <v>0</v>
      </c>
      <c r="N1326" s="106">
        <v>78.790000000000006</v>
      </c>
      <c r="O1326" s="107">
        <v>9010.4699999999993</v>
      </c>
      <c r="P1326" s="107">
        <v>25870</v>
      </c>
      <c r="Q1326" s="107">
        <v>233100859</v>
      </c>
      <c r="R1326" s="102" t="s">
        <v>30</v>
      </c>
      <c r="S1326" s="108"/>
      <c r="T1326" s="109"/>
      <c r="U1326" s="109"/>
      <c r="V1326" s="102"/>
      <c r="W1326" s="109"/>
      <c r="X1326" s="109"/>
      <c r="Y1326" s="110" t="s">
        <v>803</v>
      </c>
      <c r="Z1326" s="111" t="str">
        <f>MID(E1326,4,2)</f>
        <v>CA</v>
      </c>
    </row>
    <row r="1327" spans="1:26" s="111" customFormat="1" x14ac:dyDescent="0.2">
      <c r="A1327" s="101">
        <v>46253</v>
      </c>
      <c r="B1327" s="91" t="s">
        <v>1586</v>
      </c>
      <c r="C1327" s="102" t="s">
        <v>1587</v>
      </c>
      <c r="D1327" s="103" t="s">
        <v>26</v>
      </c>
      <c r="E1327" s="91" t="s">
        <v>1588</v>
      </c>
      <c r="F1327" s="91" t="s">
        <v>1413</v>
      </c>
      <c r="G1327" s="91" t="s">
        <v>1412</v>
      </c>
      <c r="H1327" s="104" t="str">
        <f t="shared" si="84"/>
        <v>F5310J30</v>
      </c>
      <c r="I1327" s="104"/>
      <c r="J1327" s="105">
        <v>38.119999999999997</v>
      </c>
      <c r="K1327" s="106"/>
      <c r="L1327" s="106">
        <v>0</v>
      </c>
      <c r="M1327" s="106">
        <f t="shared" si="83"/>
        <v>0</v>
      </c>
      <c r="N1327" s="106">
        <v>81.39</v>
      </c>
      <c r="O1327" s="107">
        <v>3102.54</v>
      </c>
      <c r="P1327" s="107">
        <v>25870</v>
      </c>
      <c r="Q1327" s="107">
        <v>80262710</v>
      </c>
      <c r="R1327" s="102" t="s">
        <v>30</v>
      </c>
      <c r="S1327" s="108"/>
      <c r="T1327" s="109"/>
      <c r="U1327" s="109"/>
      <c r="V1327" s="102"/>
      <c r="W1327" s="109"/>
      <c r="X1327" s="109"/>
      <c r="Y1327" s="110" t="s">
        <v>803</v>
      </c>
      <c r="Z1327" s="111" t="str">
        <f>MID(E1327,4,2)</f>
        <v>CA</v>
      </c>
    </row>
    <row r="1328" spans="1:26" s="111" customFormat="1" x14ac:dyDescent="0.2">
      <c r="A1328" s="101">
        <v>46253</v>
      </c>
      <c r="B1328" s="91" t="s">
        <v>1589</v>
      </c>
      <c r="C1328" s="102" t="s">
        <v>1590</v>
      </c>
      <c r="D1328" s="103" t="s">
        <v>26</v>
      </c>
      <c r="E1328" s="91" t="s">
        <v>1591</v>
      </c>
      <c r="F1328" s="91" t="s">
        <v>458</v>
      </c>
      <c r="G1328" s="91" t="s">
        <v>459</v>
      </c>
      <c r="H1328" s="104" t="str">
        <f t="shared" si="84"/>
        <v>F6131J20</v>
      </c>
      <c r="I1328" s="104"/>
      <c r="J1328" s="105">
        <v>473.72</v>
      </c>
      <c r="K1328" s="106">
        <f>IF(D1328="CAESARSTONE LTD",VLOOKUP(H1328,'[2]GIA CA'!G:H,2,0),IF(OR(D1328="STONE FACINGS LIMITED",D1328="NORDIA SA",D1328="INVICTUS STONE COUNTERTOPS INC",D1328="QUARTZTOP LLC"),VLOOKUP(H1328,'[2] Giá ngoài Mỹ - SI-GR'!$B$5:$AZ$84,51,0),IF(OR(D1328="HYUNDAI L&amp;C CANADA INC",D1328="Hyundai L&amp; C USA LLC"),VLOOKUP(H1328,'[2]GIA HS'!A:D,4,0),IF(Y1328="Mỹ",VLOOKUP(H1328,'[2]giá mỹ từ 6.8.2025'!B:I,2,0),VLOOKUP(H1328,'[2]giá ngoài mỹ 6.8.2025 (final)'!B:BP,51,0)))))</f>
        <v>62</v>
      </c>
      <c r="L1328" s="106">
        <v>77.7</v>
      </c>
      <c r="M1328" s="106">
        <f t="shared" si="83"/>
        <v>15.700000000000003</v>
      </c>
      <c r="N1328" s="106">
        <v>77.7</v>
      </c>
      <c r="O1328" s="107">
        <v>22422.85</v>
      </c>
      <c r="P1328" s="107">
        <v>25870</v>
      </c>
      <c r="Q1328" s="107">
        <v>580079130</v>
      </c>
      <c r="R1328" s="102" t="s">
        <v>30</v>
      </c>
      <c r="S1328" s="108"/>
      <c r="T1328" s="109"/>
      <c r="U1328" s="109"/>
      <c r="V1328" s="102"/>
      <c r="W1328" s="109"/>
      <c r="X1328" s="109"/>
      <c r="Y1328" s="110" t="s">
        <v>290</v>
      </c>
      <c r="Z1328" s="111" t="str">
        <f>MID(E1328,4,2)</f>
        <v>CA</v>
      </c>
    </row>
    <row r="1329" spans="1:26" s="111" customFormat="1" x14ac:dyDescent="0.2">
      <c r="A1329" s="101">
        <v>46253</v>
      </c>
      <c r="B1329" s="91" t="s">
        <v>1589</v>
      </c>
      <c r="C1329" s="102" t="s">
        <v>1590</v>
      </c>
      <c r="D1329" s="103" t="s">
        <v>26</v>
      </c>
      <c r="E1329" s="91" t="s">
        <v>1591</v>
      </c>
      <c r="F1329" s="91" t="s">
        <v>1592</v>
      </c>
      <c r="G1329" s="91" t="s">
        <v>1514</v>
      </c>
      <c r="H1329" s="104" t="str">
        <f t="shared" si="84"/>
        <v>F8251J20</v>
      </c>
      <c r="I1329" s="104"/>
      <c r="J1329" s="105">
        <v>288.58</v>
      </c>
      <c r="K1329" s="106">
        <f>IF(D1329="CAESARSTONE LTD",VLOOKUP(H1329,'[2]GIA CA'!G:H,2,0),IF(OR(D1329="STONE FACINGS LIMITED",D1329="NORDIA SA",D1329="INVICTUS STONE COUNTERTOPS INC",D1329="QUARTZTOP LLC"),VLOOKUP(H1329,'[2] Giá ngoài Mỹ - SI-GR'!$B$5:$AZ$84,51,0),IF(OR(D1329="HYUNDAI L&amp;C CANADA INC",D1329="Hyundai L&amp; C USA LLC"),VLOOKUP(H1329,'[2]GIA HS'!A:D,4,0),IF(Y1329="Mỹ",VLOOKUP(H1329,'[2]giá mỹ từ 6.8.2025'!B:I,2,0),VLOOKUP(H1329,'[2]giá ngoài mỹ 6.8.2025 (final)'!B:BP,51,0)))))</f>
        <v>74</v>
      </c>
      <c r="L1329" s="106">
        <v>77.7</v>
      </c>
      <c r="M1329" s="106">
        <f t="shared" si="83"/>
        <v>3.7000000000000028</v>
      </c>
      <c r="N1329" s="106">
        <v>77.7</v>
      </c>
      <c r="O1329" s="107">
        <v>423.47</v>
      </c>
      <c r="P1329" s="107">
        <v>25870</v>
      </c>
      <c r="Q1329" s="107">
        <v>10955169</v>
      </c>
      <c r="R1329" s="102" t="s">
        <v>30</v>
      </c>
      <c r="S1329" s="108"/>
      <c r="T1329" s="109"/>
      <c r="U1329" s="109"/>
      <c r="V1329" s="102"/>
      <c r="W1329" s="109"/>
      <c r="X1329" s="109"/>
      <c r="Y1329" s="110" t="s">
        <v>290</v>
      </c>
      <c r="Z1329" s="111" t="str">
        <f>MID(E1329,4,2)</f>
        <v>CA</v>
      </c>
    </row>
    <row r="1330" spans="1:26" s="111" customFormat="1" x14ac:dyDescent="0.2">
      <c r="A1330" s="101">
        <v>46253</v>
      </c>
      <c r="B1330" s="91" t="s">
        <v>1589</v>
      </c>
      <c r="C1330" s="102" t="s">
        <v>1590</v>
      </c>
      <c r="D1330" s="103" t="s">
        <v>26</v>
      </c>
      <c r="E1330" s="91" t="s">
        <v>1591</v>
      </c>
      <c r="F1330" s="91" t="s">
        <v>1592</v>
      </c>
      <c r="G1330" s="91" t="s">
        <v>1514</v>
      </c>
      <c r="H1330" s="104" t="str">
        <f t="shared" si="84"/>
        <v>F8251J20</v>
      </c>
      <c r="I1330" s="104"/>
      <c r="J1330" s="105">
        <v>5.45</v>
      </c>
      <c r="K1330" s="106">
        <f>IF(D1330="CAESARSTONE LTD",VLOOKUP(H1330,'[2]GIA CA'!G:H,2,0),IF(OR(D1330="STONE FACINGS LIMITED",D1330="NORDIA SA",D1330="INVICTUS STONE COUNTERTOPS INC",D1330="QUARTZTOP LLC"),VLOOKUP(H1330,'[2] Giá ngoài Mỹ - SI-GR'!$B$5:$AZ$84,51,0),IF(OR(D1330="HYUNDAI L&amp;C CANADA INC",D1330="Hyundai L&amp; C USA LLC"),VLOOKUP(H1330,'[2]GIA HS'!A:D,4,0),IF(Y1330="Mỹ",VLOOKUP(H1330,'[2]giá mỹ từ 6.8.2025'!B:I,2,0),VLOOKUP(H1330,'[2]giá ngoài mỹ 6.8.2025 (final)'!B:BP,51,0)))))</f>
        <v>74</v>
      </c>
      <c r="L1330" s="106">
        <v>77.7</v>
      </c>
      <c r="M1330" s="106">
        <f t="shared" si="83"/>
        <v>3.7000000000000028</v>
      </c>
      <c r="N1330" s="106">
        <v>77.7</v>
      </c>
      <c r="O1330" s="107">
        <v>14384.72</v>
      </c>
      <c r="P1330" s="107">
        <v>25870</v>
      </c>
      <c r="Q1330" s="107">
        <v>372132706</v>
      </c>
      <c r="R1330" s="102" t="s">
        <v>30</v>
      </c>
      <c r="S1330" s="108"/>
      <c r="T1330" s="109"/>
      <c r="U1330" s="109"/>
      <c r="V1330" s="102"/>
      <c r="W1330" s="109"/>
      <c r="X1330" s="109"/>
      <c r="Y1330" s="110" t="s">
        <v>290</v>
      </c>
      <c r="Z1330" s="111" t="str">
        <f>MID(E1330,4,2)</f>
        <v>CA</v>
      </c>
    </row>
    <row r="1331" spans="1:26" s="111" customFormat="1" x14ac:dyDescent="0.2">
      <c r="A1331" s="101">
        <v>46253</v>
      </c>
      <c r="B1331" s="91" t="s">
        <v>1593</v>
      </c>
      <c r="C1331" s="102" t="s">
        <v>1594</v>
      </c>
      <c r="D1331" s="103" t="s">
        <v>26</v>
      </c>
      <c r="E1331" s="91" t="s">
        <v>1595</v>
      </c>
      <c r="F1331" s="91" t="s">
        <v>1513</v>
      </c>
      <c r="G1331" s="91" t="s">
        <v>1514</v>
      </c>
      <c r="H1331" s="104" t="str">
        <f t="shared" si="84"/>
        <v>F8251J20</v>
      </c>
      <c r="I1331" s="104"/>
      <c r="J1331" s="105">
        <v>185.13</v>
      </c>
      <c r="K1331" s="106">
        <f>IF(D1331="CAESARSTONE LTD",VLOOKUP(H1331,'[2]GIA CA'!G:H,2,0),IF(OR(D1331="STONE FACINGS LIMITED",D1331="NORDIA SA",D1331="INVICTUS STONE COUNTERTOPS INC",D1331="QUARTZTOP LLC"),VLOOKUP(H1331,'[2] Giá ngoài Mỹ - SI-GR'!$B$5:$AZ$84,51,0),IF(OR(D1331="HYUNDAI L&amp;C CANADA INC",D1331="Hyundai L&amp; C USA LLC"),VLOOKUP(H1331,'[2]GIA HS'!A:D,4,0),IF(Y1331="Mỹ",VLOOKUP(H1331,'[2]giá mỹ từ 6.8.2025'!B:I,2,0),VLOOKUP(H1331,'[2]giá ngoài mỹ 6.8.2025 (final)'!B:BP,51,0)))))</f>
        <v>74</v>
      </c>
      <c r="L1331" s="106">
        <v>77.7</v>
      </c>
      <c r="M1331" s="106">
        <f t="shared" si="83"/>
        <v>3.7000000000000028</v>
      </c>
      <c r="N1331" s="106">
        <v>77.7</v>
      </c>
      <c r="O1331" s="107">
        <v>1268.8499999999999</v>
      </c>
      <c r="P1331" s="107">
        <v>25870</v>
      </c>
      <c r="Q1331" s="107">
        <v>32825150</v>
      </c>
      <c r="R1331" s="102" t="s">
        <v>30</v>
      </c>
      <c r="S1331" s="108"/>
      <c r="T1331" s="109"/>
      <c r="U1331" s="109"/>
      <c r="V1331" s="102"/>
      <c r="W1331" s="109"/>
      <c r="X1331" s="109"/>
      <c r="Y1331" s="110" t="s">
        <v>290</v>
      </c>
      <c r="Z1331" s="111" t="str">
        <f>MID(E1331,4,2)</f>
        <v>CA</v>
      </c>
    </row>
    <row r="1332" spans="1:26" s="111" customFormat="1" x14ac:dyDescent="0.2">
      <c r="A1332" s="101">
        <v>46253</v>
      </c>
      <c r="B1332" s="91" t="s">
        <v>1593</v>
      </c>
      <c r="C1332" s="102" t="s">
        <v>1594</v>
      </c>
      <c r="D1332" s="103" t="s">
        <v>26</v>
      </c>
      <c r="E1332" s="91" t="s">
        <v>1595</v>
      </c>
      <c r="F1332" s="91" t="s">
        <v>1596</v>
      </c>
      <c r="G1332" s="91" t="s">
        <v>1514</v>
      </c>
      <c r="H1332" s="104" t="str">
        <f t="shared" si="84"/>
        <v>F8251J20</v>
      </c>
      <c r="I1332" s="104"/>
      <c r="J1332" s="105">
        <v>16.329999999999998</v>
      </c>
      <c r="K1332" s="106">
        <f>IF(D1332="CAESARSTONE LTD",VLOOKUP(H1332,'[2]GIA CA'!G:H,2,0),IF(OR(D1332="STONE FACINGS LIMITED",D1332="NORDIA SA",D1332="INVICTUS STONE COUNTERTOPS INC",D1332="QUARTZTOP LLC"),VLOOKUP(H1332,'[2] Giá ngoài Mỹ - SI-GR'!$B$5:$AZ$84,51,0),IF(OR(D1332="HYUNDAI L&amp;C CANADA INC",D1332="Hyundai L&amp; C USA LLC"),VLOOKUP(H1332,'[2]GIA HS'!A:D,4,0),IF(Y1332="Mỹ",VLOOKUP(H1332,'[2]giá mỹ từ 6.8.2025'!B:I,2,0),VLOOKUP(H1332,'[2]giá ngoài mỹ 6.8.2025 (final)'!B:BP,51,0)))))</f>
        <v>74</v>
      </c>
      <c r="L1332" s="106">
        <v>77.7</v>
      </c>
      <c r="M1332" s="106">
        <f t="shared" si="83"/>
        <v>3.7000000000000028</v>
      </c>
      <c r="N1332" s="106">
        <v>77.7</v>
      </c>
      <c r="O1332" s="107">
        <v>35962.19</v>
      </c>
      <c r="P1332" s="107">
        <v>25870</v>
      </c>
      <c r="Q1332" s="107">
        <v>930341855</v>
      </c>
      <c r="R1332" s="102" t="s">
        <v>30</v>
      </c>
      <c r="S1332" s="108"/>
      <c r="T1332" s="109"/>
      <c r="U1332" s="109"/>
      <c r="V1332" s="102"/>
      <c r="W1332" s="109"/>
      <c r="X1332" s="109"/>
      <c r="Y1332" s="110" t="s">
        <v>290</v>
      </c>
      <c r="Z1332" s="111" t="str">
        <f>MID(E1332,4,2)</f>
        <v>CA</v>
      </c>
    </row>
    <row r="1333" spans="1:26" s="111" customFormat="1" x14ac:dyDescent="0.2">
      <c r="A1333" s="101">
        <v>46253</v>
      </c>
      <c r="B1333" s="91" t="s">
        <v>1593</v>
      </c>
      <c r="C1333" s="102" t="s">
        <v>1594</v>
      </c>
      <c r="D1333" s="103" t="s">
        <v>26</v>
      </c>
      <c r="E1333" s="91" t="s">
        <v>1595</v>
      </c>
      <c r="F1333" s="91" t="s">
        <v>1592</v>
      </c>
      <c r="G1333" s="91" t="s">
        <v>1514</v>
      </c>
      <c r="H1333" s="104" t="str">
        <f t="shared" si="84"/>
        <v>F8251J20</v>
      </c>
      <c r="I1333" s="104"/>
      <c r="J1333" s="105">
        <v>462.83</v>
      </c>
      <c r="K1333" s="106">
        <f>IF(D1333="CAESARSTONE LTD",VLOOKUP(H1333,'[2]GIA CA'!G:H,2,0),IF(OR(D1333="STONE FACINGS LIMITED",D1333="NORDIA SA",D1333="INVICTUS STONE COUNTERTOPS INC",D1333="QUARTZTOP LLC"),VLOOKUP(H1333,'[2] Giá ngoài Mỹ - SI-GR'!$B$5:$AZ$84,51,0),IF(OR(D1333="HYUNDAI L&amp;C CANADA INC",D1333="Hyundai L&amp; C USA LLC"),VLOOKUP(H1333,'[2]GIA HS'!A:D,4,0),IF(Y1333="Mỹ",VLOOKUP(H1333,'[2]giá mỹ từ 6.8.2025'!B:I,2,0),VLOOKUP(H1333,'[2]giá ngoài mỹ 6.8.2025 (final)'!B:BP,51,0)))))</f>
        <v>74</v>
      </c>
      <c r="L1333" s="106">
        <v>74</v>
      </c>
      <c r="M1333" s="106">
        <f t="shared" si="83"/>
        <v>0</v>
      </c>
      <c r="N1333" s="106">
        <v>65.099999999999994</v>
      </c>
      <c r="O1333" s="107">
        <v>31193.360000000001</v>
      </c>
      <c r="P1333" s="107">
        <v>25870</v>
      </c>
      <c r="Q1333" s="107">
        <v>806972223</v>
      </c>
      <c r="R1333" s="102" t="s">
        <v>30</v>
      </c>
      <c r="S1333" s="108"/>
      <c r="T1333" s="109"/>
      <c r="U1333" s="109"/>
      <c r="V1333" s="102"/>
      <c r="W1333" s="109"/>
      <c r="X1333" s="109"/>
      <c r="Y1333" s="110" t="s">
        <v>290</v>
      </c>
      <c r="Z1333" s="111" t="str">
        <f>MID(E1333,4,2)</f>
        <v>CA</v>
      </c>
    </row>
    <row r="1334" spans="1:26" s="111" customFormat="1" x14ac:dyDescent="0.2">
      <c r="A1334" s="101">
        <v>46253</v>
      </c>
      <c r="B1334" s="91" t="s">
        <v>1597</v>
      </c>
      <c r="C1334" s="102" t="s">
        <v>1598</v>
      </c>
      <c r="D1334" s="103" t="s">
        <v>26</v>
      </c>
      <c r="E1334" s="91" t="s">
        <v>1599</v>
      </c>
      <c r="F1334" s="91" t="s">
        <v>1343</v>
      </c>
      <c r="G1334" s="91" t="s">
        <v>1344</v>
      </c>
      <c r="H1334" s="104" t="str">
        <f t="shared" si="84"/>
        <v>F6134J20</v>
      </c>
      <c r="I1334" s="104"/>
      <c r="J1334" s="105">
        <v>479.16</v>
      </c>
      <c r="K1334" s="106">
        <f>IF(D1334="CAESARSTONE LTD",VLOOKUP(H1334,'[2]GIA CA'!G:H,2,0),IF(OR(D1334="STONE FACINGS LIMITED",D1334="NORDIA SA",D1334="INVICTUS STONE COUNTERTOPS INC",D1334="QUARTZTOP LLC"),VLOOKUP(H1334,'[2] Giá ngoài Mỹ - SI-GR'!$B$5:$AZ$84,51,0),IF(OR(D1334="HYUNDAI L&amp;C CANADA INC",D1334="Hyundai L&amp; C USA LLC"),VLOOKUP(H1334,'[2]GIA HS'!A:D,4,0),IF(Y1334="Mỹ",VLOOKUP(H1334,'[2]giá mỹ từ 6.8.2025'!B:I,2,0),VLOOKUP(H1334,'[2]giá ngoài mỹ 6.8.2025 (final)'!B:BP,51,0)))))</f>
        <v>62</v>
      </c>
      <c r="L1334" s="106">
        <v>65.099999999999994</v>
      </c>
      <c r="M1334" s="106">
        <f t="shared" si="83"/>
        <v>3.0999999999999943</v>
      </c>
      <c r="N1334" s="106">
        <v>65.099999999999994</v>
      </c>
      <c r="O1334" s="107">
        <v>30838.89</v>
      </c>
      <c r="P1334" s="107">
        <v>25870</v>
      </c>
      <c r="Q1334" s="107">
        <v>797802084</v>
      </c>
      <c r="R1334" s="102" t="s">
        <v>30</v>
      </c>
      <c r="S1334" s="108"/>
      <c r="T1334" s="109"/>
      <c r="U1334" s="109"/>
      <c r="V1334" s="102"/>
      <c r="W1334" s="109"/>
      <c r="X1334" s="109"/>
      <c r="Y1334" s="110" t="s">
        <v>290</v>
      </c>
      <c r="Z1334" s="111" t="str">
        <f>MID(E1334,4,2)</f>
        <v>CA</v>
      </c>
    </row>
    <row r="1335" spans="1:26" s="111" customFormat="1" x14ac:dyDescent="0.2">
      <c r="A1335" s="101">
        <v>46253</v>
      </c>
      <c r="B1335" s="91" t="s">
        <v>1600</v>
      </c>
      <c r="C1335" s="102" t="s">
        <v>1601</v>
      </c>
      <c r="D1335" s="103" t="s">
        <v>26</v>
      </c>
      <c r="E1335" s="91" t="s">
        <v>1602</v>
      </c>
      <c r="F1335" s="91" t="s">
        <v>1471</v>
      </c>
      <c r="G1335" s="91" t="s">
        <v>1472</v>
      </c>
      <c r="H1335" s="104" t="str">
        <f t="shared" si="84"/>
        <v>F5112J20</v>
      </c>
      <c r="I1335" s="104"/>
      <c r="J1335" s="105">
        <v>2.94</v>
      </c>
      <c r="K1335" s="106"/>
      <c r="L1335" s="106">
        <v>0</v>
      </c>
      <c r="M1335" s="106">
        <f t="shared" si="83"/>
        <v>0</v>
      </c>
      <c r="N1335" s="106">
        <v>121.43</v>
      </c>
      <c r="O1335" s="107">
        <v>357</v>
      </c>
      <c r="P1335" s="107">
        <v>25870</v>
      </c>
      <c r="Q1335" s="107">
        <v>9235590</v>
      </c>
      <c r="R1335" s="102"/>
      <c r="S1335" s="108"/>
      <c r="T1335" s="109"/>
      <c r="U1335" s="109" t="s">
        <v>30</v>
      </c>
      <c r="V1335" s="102"/>
      <c r="W1335" s="109"/>
      <c r="X1335" s="109"/>
      <c r="Y1335" s="110" t="s">
        <v>290</v>
      </c>
      <c r="Z1335" s="111" t="str">
        <f>MID(E1335,4,2)</f>
        <v>CA</v>
      </c>
    </row>
    <row r="1336" spans="1:26" s="111" customFormat="1" x14ac:dyDescent="0.2">
      <c r="A1336" s="101">
        <v>46253</v>
      </c>
      <c r="B1336" s="91" t="s">
        <v>1600</v>
      </c>
      <c r="C1336" s="102" t="s">
        <v>1601</v>
      </c>
      <c r="D1336" s="103" t="s">
        <v>26</v>
      </c>
      <c r="E1336" s="91" t="s">
        <v>1602</v>
      </c>
      <c r="F1336" s="91" t="s">
        <v>1603</v>
      </c>
      <c r="G1336" s="91" t="s">
        <v>1604</v>
      </c>
      <c r="H1336" s="104" t="str">
        <f t="shared" si="84"/>
        <v>F5131J20</v>
      </c>
      <c r="I1336" s="104"/>
      <c r="J1336" s="105">
        <v>1.47</v>
      </c>
      <c r="K1336" s="106"/>
      <c r="L1336" s="106">
        <v>0</v>
      </c>
      <c r="M1336" s="106">
        <f t="shared" si="83"/>
        <v>0</v>
      </c>
      <c r="N1336" s="106">
        <v>121.43</v>
      </c>
      <c r="O1336" s="107">
        <v>178.5</v>
      </c>
      <c r="P1336" s="107">
        <v>25870</v>
      </c>
      <c r="Q1336" s="107">
        <v>4617795</v>
      </c>
      <c r="R1336" s="102"/>
      <c r="S1336" s="108"/>
      <c r="T1336" s="109"/>
      <c r="U1336" s="109" t="s">
        <v>30</v>
      </c>
      <c r="V1336" s="102"/>
      <c r="W1336" s="109"/>
      <c r="X1336" s="109"/>
      <c r="Y1336" s="110" t="s">
        <v>290</v>
      </c>
      <c r="Z1336" s="111" t="str">
        <f>MID(E1336,4,2)</f>
        <v>CA</v>
      </c>
    </row>
    <row r="1337" spans="1:26" s="111" customFormat="1" x14ac:dyDescent="0.2">
      <c r="A1337" s="101">
        <v>46253</v>
      </c>
      <c r="B1337" s="91" t="s">
        <v>1600</v>
      </c>
      <c r="C1337" s="102" t="s">
        <v>1601</v>
      </c>
      <c r="D1337" s="103" t="s">
        <v>26</v>
      </c>
      <c r="E1337" s="91" t="s">
        <v>1602</v>
      </c>
      <c r="F1337" s="91" t="s">
        <v>1605</v>
      </c>
      <c r="G1337" s="91" t="s">
        <v>1606</v>
      </c>
      <c r="H1337" s="104" t="str">
        <f t="shared" si="84"/>
        <v>F5133J20</v>
      </c>
      <c r="I1337" s="104"/>
      <c r="J1337" s="105">
        <v>1.47</v>
      </c>
      <c r="K1337" s="106"/>
      <c r="L1337" s="106">
        <v>0</v>
      </c>
      <c r="M1337" s="106">
        <f t="shared" si="83"/>
        <v>0</v>
      </c>
      <c r="N1337" s="106">
        <v>95.24</v>
      </c>
      <c r="O1337" s="107">
        <v>140</v>
      </c>
      <c r="P1337" s="107">
        <v>25870</v>
      </c>
      <c r="Q1337" s="107">
        <v>3621800</v>
      </c>
      <c r="R1337" s="102"/>
      <c r="S1337" s="108"/>
      <c r="T1337" s="109"/>
      <c r="U1337" s="109" t="s">
        <v>30</v>
      </c>
      <c r="V1337" s="102"/>
      <c r="W1337" s="109"/>
      <c r="X1337" s="109"/>
      <c r="Y1337" s="110" t="s">
        <v>290</v>
      </c>
      <c r="Z1337" s="111" t="str">
        <f>MID(E1337,4,2)</f>
        <v>CA</v>
      </c>
    </row>
    <row r="1338" spans="1:26" s="111" customFormat="1" x14ac:dyDescent="0.2">
      <c r="A1338" s="101">
        <v>46253</v>
      </c>
      <c r="B1338" s="91" t="s">
        <v>1600</v>
      </c>
      <c r="C1338" s="102" t="s">
        <v>1601</v>
      </c>
      <c r="D1338" s="103" t="s">
        <v>26</v>
      </c>
      <c r="E1338" s="91" t="s">
        <v>1602</v>
      </c>
      <c r="F1338" s="91" t="s">
        <v>1607</v>
      </c>
      <c r="G1338" s="91" t="s">
        <v>1608</v>
      </c>
      <c r="H1338" s="104" t="str">
        <f t="shared" si="84"/>
        <v>F5444J20</v>
      </c>
      <c r="I1338" s="104"/>
      <c r="J1338" s="105">
        <v>1.47</v>
      </c>
      <c r="K1338" s="106"/>
      <c r="L1338" s="106">
        <v>0</v>
      </c>
      <c r="M1338" s="106">
        <f t="shared" si="83"/>
        <v>0</v>
      </c>
      <c r="N1338" s="106">
        <v>142.86000000000001</v>
      </c>
      <c r="O1338" s="107">
        <v>210</v>
      </c>
      <c r="P1338" s="107">
        <v>25870</v>
      </c>
      <c r="Q1338" s="107">
        <v>5432700</v>
      </c>
      <c r="R1338" s="102"/>
      <c r="S1338" s="108"/>
      <c r="T1338" s="109"/>
      <c r="U1338" s="109" t="s">
        <v>30</v>
      </c>
      <c r="V1338" s="102"/>
      <c r="W1338" s="109"/>
      <c r="X1338" s="109"/>
      <c r="Y1338" s="110" t="s">
        <v>290</v>
      </c>
      <c r="Z1338" s="111" t="str">
        <f>MID(E1338,4,2)</f>
        <v>CA</v>
      </c>
    </row>
    <row r="1339" spans="1:26" s="111" customFormat="1" x14ac:dyDescent="0.2">
      <c r="A1339" s="101">
        <v>46253</v>
      </c>
      <c r="B1339" s="91" t="s">
        <v>1600</v>
      </c>
      <c r="C1339" s="102" t="s">
        <v>1601</v>
      </c>
      <c r="D1339" s="103" t="s">
        <v>26</v>
      </c>
      <c r="E1339" s="91" t="s">
        <v>1602</v>
      </c>
      <c r="F1339" s="91" t="s">
        <v>270</v>
      </c>
      <c r="G1339" s="91" t="s">
        <v>271</v>
      </c>
      <c r="H1339" s="104" t="str">
        <f t="shared" si="84"/>
        <v>F4044J20</v>
      </c>
      <c r="I1339" s="104"/>
      <c r="J1339" s="105">
        <v>16.34</v>
      </c>
      <c r="K1339" s="106"/>
      <c r="L1339" s="106">
        <v>0</v>
      </c>
      <c r="M1339" s="106">
        <f t="shared" si="83"/>
        <v>0</v>
      </c>
      <c r="N1339" s="106">
        <v>62.98</v>
      </c>
      <c r="O1339" s="107">
        <v>1029.1199999999999</v>
      </c>
      <c r="P1339" s="107">
        <v>25870</v>
      </c>
      <c r="Q1339" s="107">
        <v>26623334</v>
      </c>
      <c r="R1339" s="102" t="s">
        <v>30</v>
      </c>
      <c r="S1339" s="108"/>
      <c r="T1339" s="109"/>
      <c r="U1339" s="109"/>
      <c r="V1339" s="102"/>
      <c r="W1339" s="109"/>
      <c r="X1339" s="109"/>
      <c r="Y1339" s="110" t="s">
        <v>290</v>
      </c>
      <c r="Z1339" s="111" t="str">
        <f>MID(E1339,4,2)</f>
        <v>CA</v>
      </c>
    </row>
    <row r="1340" spans="1:26" s="111" customFormat="1" x14ac:dyDescent="0.2">
      <c r="A1340" s="101">
        <v>46253</v>
      </c>
      <c r="B1340" s="91" t="s">
        <v>1600</v>
      </c>
      <c r="C1340" s="102" t="s">
        <v>1601</v>
      </c>
      <c r="D1340" s="103" t="s">
        <v>26</v>
      </c>
      <c r="E1340" s="91" t="s">
        <v>1602</v>
      </c>
      <c r="F1340" s="91" t="s">
        <v>999</v>
      </c>
      <c r="G1340" s="91" t="s">
        <v>1000</v>
      </c>
      <c r="H1340" s="104" t="str">
        <f t="shared" si="84"/>
        <v>F5144J20</v>
      </c>
      <c r="I1340" s="104"/>
      <c r="J1340" s="105">
        <v>16.34</v>
      </c>
      <c r="K1340" s="106"/>
      <c r="L1340" s="106">
        <v>0</v>
      </c>
      <c r="M1340" s="106">
        <f t="shared" si="83"/>
        <v>0</v>
      </c>
      <c r="N1340" s="106">
        <v>65.08</v>
      </c>
      <c r="O1340" s="107">
        <v>1063.4100000000001</v>
      </c>
      <c r="P1340" s="107">
        <v>25870</v>
      </c>
      <c r="Q1340" s="107">
        <v>27510417</v>
      </c>
      <c r="R1340" s="102" t="s">
        <v>30</v>
      </c>
      <c r="S1340" s="108"/>
      <c r="T1340" s="109"/>
      <c r="U1340" s="109"/>
      <c r="V1340" s="102"/>
      <c r="W1340" s="109"/>
      <c r="X1340" s="109"/>
      <c r="Y1340" s="110" t="s">
        <v>290</v>
      </c>
      <c r="Z1340" s="111" t="str">
        <f>MID(E1340,4,2)</f>
        <v>CA</v>
      </c>
    </row>
    <row r="1341" spans="1:26" s="111" customFormat="1" x14ac:dyDescent="0.2">
      <c r="A1341" s="101">
        <v>46253</v>
      </c>
      <c r="B1341" s="91" t="s">
        <v>1600</v>
      </c>
      <c r="C1341" s="102" t="s">
        <v>1601</v>
      </c>
      <c r="D1341" s="103" t="s">
        <v>26</v>
      </c>
      <c r="E1341" s="91" t="s">
        <v>1602</v>
      </c>
      <c r="F1341" s="91" t="s">
        <v>562</v>
      </c>
      <c r="G1341" s="91" t="s">
        <v>563</v>
      </c>
      <c r="H1341" s="104" t="str">
        <f t="shared" si="84"/>
        <v>F5441J20</v>
      </c>
      <c r="I1341" s="104"/>
      <c r="J1341" s="105">
        <v>288.58</v>
      </c>
      <c r="K1341" s="106"/>
      <c r="L1341" s="106">
        <v>0</v>
      </c>
      <c r="M1341" s="106">
        <f t="shared" si="83"/>
        <v>0</v>
      </c>
      <c r="N1341" s="106">
        <v>74</v>
      </c>
      <c r="O1341" s="107">
        <v>21354.92</v>
      </c>
      <c r="P1341" s="107">
        <v>25870</v>
      </c>
      <c r="Q1341" s="107">
        <v>552451780</v>
      </c>
      <c r="R1341" s="102" t="s">
        <v>30</v>
      </c>
      <c r="S1341" s="108"/>
      <c r="T1341" s="109"/>
      <c r="U1341" s="109"/>
      <c r="V1341" s="102"/>
      <c r="W1341" s="109"/>
      <c r="X1341" s="109"/>
      <c r="Y1341" s="110" t="s">
        <v>290</v>
      </c>
      <c r="Z1341" s="111" t="str">
        <f>MID(E1341,4,2)</f>
        <v>CA</v>
      </c>
    </row>
    <row r="1342" spans="1:26" s="111" customFormat="1" x14ac:dyDescent="0.2">
      <c r="A1342" s="101">
        <v>46253</v>
      </c>
      <c r="B1342" s="91" t="s">
        <v>1600</v>
      </c>
      <c r="C1342" s="102" t="s">
        <v>1601</v>
      </c>
      <c r="D1342" s="103" t="s">
        <v>26</v>
      </c>
      <c r="E1342" s="91" t="s">
        <v>1602</v>
      </c>
      <c r="F1342" s="91" t="s">
        <v>771</v>
      </c>
      <c r="G1342" s="91" t="s">
        <v>563</v>
      </c>
      <c r="H1342" s="104" t="str">
        <f t="shared" si="84"/>
        <v>F5441J20</v>
      </c>
      <c r="I1342" s="104"/>
      <c r="J1342" s="105">
        <v>103.46</v>
      </c>
      <c r="K1342" s="106"/>
      <c r="L1342" s="106">
        <v>0</v>
      </c>
      <c r="M1342" s="106">
        <f t="shared" si="83"/>
        <v>0</v>
      </c>
      <c r="N1342" s="106">
        <v>74</v>
      </c>
      <c r="O1342" s="107">
        <v>7656.04</v>
      </c>
      <c r="P1342" s="107">
        <v>25870</v>
      </c>
      <c r="Q1342" s="107">
        <v>198061755</v>
      </c>
      <c r="R1342" s="102" t="s">
        <v>30</v>
      </c>
      <c r="S1342" s="108"/>
      <c r="T1342" s="109"/>
      <c r="U1342" s="109"/>
      <c r="V1342" s="102"/>
      <c r="W1342" s="109"/>
      <c r="X1342" s="109"/>
      <c r="Y1342" s="110" t="s">
        <v>290</v>
      </c>
      <c r="Z1342" s="111" t="str">
        <f>MID(E1342,4,2)</f>
        <v>CA</v>
      </c>
    </row>
    <row r="1343" spans="1:26" s="111" customFormat="1" x14ac:dyDescent="0.2">
      <c r="A1343" s="101">
        <v>46253</v>
      </c>
      <c r="B1343" s="91" t="s">
        <v>1600</v>
      </c>
      <c r="C1343" s="102" t="s">
        <v>1601</v>
      </c>
      <c r="D1343" s="103" t="s">
        <v>26</v>
      </c>
      <c r="E1343" s="91" t="s">
        <v>1602</v>
      </c>
      <c r="F1343" s="91" t="s">
        <v>889</v>
      </c>
      <c r="G1343" s="91" t="s">
        <v>563</v>
      </c>
      <c r="H1343" s="104" t="str">
        <f t="shared" si="84"/>
        <v>F5441J20</v>
      </c>
      <c r="I1343" s="104"/>
      <c r="J1343" s="105">
        <v>54.45</v>
      </c>
      <c r="K1343" s="106"/>
      <c r="L1343" s="106">
        <v>0</v>
      </c>
      <c r="M1343" s="106">
        <f t="shared" si="83"/>
        <v>0</v>
      </c>
      <c r="N1343" s="106">
        <v>74</v>
      </c>
      <c r="O1343" s="107">
        <v>4029.3</v>
      </c>
      <c r="P1343" s="107">
        <v>25870</v>
      </c>
      <c r="Q1343" s="107">
        <v>104237991</v>
      </c>
      <c r="R1343" s="102" t="s">
        <v>30</v>
      </c>
      <c r="S1343" s="108"/>
      <c r="T1343" s="109"/>
      <c r="U1343" s="109"/>
      <c r="V1343" s="102"/>
      <c r="W1343" s="109"/>
      <c r="X1343" s="109"/>
      <c r="Y1343" s="110" t="s">
        <v>290</v>
      </c>
      <c r="Z1343" s="111" t="str">
        <f>MID(E1343,4,2)</f>
        <v>CA</v>
      </c>
    </row>
    <row r="1344" spans="1:26" s="111" customFormat="1" x14ac:dyDescent="0.2">
      <c r="A1344" s="101">
        <v>46253</v>
      </c>
      <c r="B1344" s="91" t="s">
        <v>1609</v>
      </c>
      <c r="C1344" s="102" t="s">
        <v>1610</v>
      </c>
      <c r="D1344" s="103" t="s">
        <v>26</v>
      </c>
      <c r="E1344" s="91" t="s">
        <v>1611</v>
      </c>
      <c r="F1344" s="91" t="s">
        <v>1082</v>
      </c>
      <c r="G1344" s="91" t="s">
        <v>1083</v>
      </c>
      <c r="H1344" s="104" t="str">
        <f t="shared" si="84"/>
        <v>F4001J20</v>
      </c>
      <c r="I1344" s="104"/>
      <c r="J1344" s="105">
        <v>1.47</v>
      </c>
      <c r="K1344" s="106"/>
      <c r="L1344" s="106">
        <v>0</v>
      </c>
      <c r="M1344" s="106">
        <f t="shared" si="83"/>
        <v>0</v>
      </c>
      <c r="N1344" s="106">
        <v>95.24</v>
      </c>
      <c r="O1344" s="107">
        <v>140</v>
      </c>
      <c r="P1344" s="107">
        <v>25870</v>
      </c>
      <c r="Q1344" s="107">
        <v>3621800</v>
      </c>
      <c r="R1344" s="102"/>
      <c r="S1344" s="108"/>
      <c r="T1344" s="109"/>
      <c r="U1344" s="109" t="s">
        <v>30</v>
      </c>
      <c r="V1344" s="102"/>
      <c r="W1344" s="109"/>
      <c r="X1344" s="109"/>
      <c r="Y1344" s="110" t="s">
        <v>290</v>
      </c>
      <c r="Z1344" s="111" t="str">
        <f>MID(E1344,4,2)</f>
        <v>CA</v>
      </c>
    </row>
    <row r="1345" spans="1:26" s="111" customFormat="1" x14ac:dyDescent="0.2">
      <c r="A1345" s="101">
        <v>46253</v>
      </c>
      <c r="B1345" s="91" t="s">
        <v>1609</v>
      </c>
      <c r="C1345" s="102" t="s">
        <v>1610</v>
      </c>
      <c r="D1345" s="103" t="s">
        <v>26</v>
      </c>
      <c r="E1345" s="91" t="s">
        <v>1611</v>
      </c>
      <c r="F1345" s="91" t="s">
        <v>1612</v>
      </c>
      <c r="G1345" s="91" t="s">
        <v>1613</v>
      </c>
      <c r="H1345" s="104" t="str">
        <f t="shared" si="84"/>
        <v>F4004J20</v>
      </c>
      <c r="I1345" s="104"/>
      <c r="J1345" s="105">
        <v>1.47</v>
      </c>
      <c r="K1345" s="106"/>
      <c r="L1345" s="106">
        <v>0</v>
      </c>
      <c r="M1345" s="106">
        <f t="shared" si="83"/>
        <v>0</v>
      </c>
      <c r="N1345" s="106">
        <v>95.24</v>
      </c>
      <c r="O1345" s="107">
        <v>140</v>
      </c>
      <c r="P1345" s="107">
        <v>25870</v>
      </c>
      <c r="Q1345" s="107">
        <v>3621800</v>
      </c>
      <c r="R1345" s="102"/>
      <c r="S1345" s="108"/>
      <c r="T1345" s="109"/>
      <c r="U1345" s="109" t="s">
        <v>30</v>
      </c>
      <c r="V1345" s="102"/>
      <c r="W1345" s="109"/>
      <c r="X1345" s="109"/>
      <c r="Y1345" s="110" t="s">
        <v>290</v>
      </c>
      <c r="Z1345" s="111" t="str">
        <f>MID(E1345,4,2)</f>
        <v>CA</v>
      </c>
    </row>
    <row r="1346" spans="1:26" s="111" customFormat="1" x14ac:dyDescent="0.2">
      <c r="A1346" s="101">
        <v>46253</v>
      </c>
      <c r="B1346" s="91" t="s">
        <v>1609</v>
      </c>
      <c r="C1346" s="102" t="s">
        <v>1610</v>
      </c>
      <c r="D1346" s="103" t="s">
        <v>26</v>
      </c>
      <c r="E1346" s="91" t="s">
        <v>1611</v>
      </c>
      <c r="F1346" s="91" t="s">
        <v>1388</v>
      </c>
      <c r="G1346" s="91" t="s">
        <v>1389</v>
      </c>
      <c r="H1346" s="104" t="str">
        <f t="shared" si="84"/>
        <v>F5132J20</v>
      </c>
      <c r="I1346" s="104"/>
      <c r="J1346" s="105">
        <v>1.47</v>
      </c>
      <c r="K1346" s="106"/>
      <c r="L1346" s="106">
        <v>0</v>
      </c>
      <c r="M1346" s="106">
        <f t="shared" si="83"/>
        <v>0</v>
      </c>
      <c r="N1346" s="106">
        <v>130.94999999999999</v>
      </c>
      <c r="O1346" s="107">
        <v>192.5</v>
      </c>
      <c r="P1346" s="107">
        <v>25870</v>
      </c>
      <c r="Q1346" s="107">
        <v>4979975</v>
      </c>
      <c r="R1346" s="102"/>
      <c r="S1346" s="108"/>
      <c r="T1346" s="109"/>
      <c r="U1346" s="109" t="s">
        <v>30</v>
      </c>
      <c r="V1346" s="102"/>
      <c r="W1346" s="109"/>
      <c r="X1346" s="109"/>
      <c r="Y1346" s="110" t="s">
        <v>290</v>
      </c>
      <c r="Z1346" s="111" t="str">
        <f>MID(E1346,4,2)</f>
        <v>CA</v>
      </c>
    </row>
    <row r="1347" spans="1:26" s="111" customFormat="1" x14ac:dyDescent="0.2">
      <c r="A1347" s="101">
        <v>46253</v>
      </c>
      <c r="B1347" s="91" t="s">
        <v>1609</v>
      </c>
      <c r="C1347" s="102" t="s">
        <v>1610</v>
      </c>
      <c r="D1347" s="103" t="s">
        <v>26</v>
      </c>
      <c r="E1347" s="91" t="s">
        <v>1611</v>
      </c>
      <c r="F1347" s="91" t="s">
        <v>1388</v>
      </c>
      <c r="G1347" s="91" t="s">
        <v>1389</v>
      </c>
      <c r="H1347" s="104" t="str">
        <f t="shared" si="84"/>
        <v>F5132J20</v>
      </c>
      <c r="I1347" s="104"/>
      <c r="J1347" s="105">
        <v>1.47</v>
      </c>
      <c r="K1347" s="106"/>
      <c r="L1347" s="106">
        <v>0</v>
      </c>
      <c r="M1347" s="106">
        <f t="shared" si="83"/>
        <v>0</v>
      </c>
      <c r="N1347" s="106">
        <v>130.94999999999999</v>
      </c>
      <c r="O1347" s="107">
        <v>192.5</v>
      </c>
      <c r="P1347" s="107">
        <v>25870</v>
      </c>
      <c r="Q1347" s="107">
        <v>4979975</v>
      </c>
      <c r="R1347" s="102"/>
      <c r="S1347" s="108"/>
      <c r="T1347" s="109"/>
      <c r="U1347" s="109" t="s">
        <v>30</v>
      </c>
      <c r="V1347" s="102"/>
      <c r="W1347" s="109"/>
      <c r="X1347" s="109"/>
      <c r="Y1347" s="110" t="s">
        <v>290</v>
      </c>
      <c r="Z1347" s="111" t="str">
        <f>MID(E1347,4,2)</f>
        <v>CA</v>
      </c>
    </row>
    <row r="1348" spans="1:26" s="111" customFormat="1" x14ac:dyDescent="0.2">
      <c r="A1348" s="101">
        <v>46253</v>
      </c>
      <c r="B1348" s="91" t="s">
        <v>1609</v>
      </c>
      <c r="C1348" s="102" t="s">
        <v>1610</v>
      </c>
      <c r="D1348" s="103" t="s">
        <v>26</v>
      </c>
      <c r="E1348" s="91" t="s">
        <v>1611</v>
      </c>
      <c r="F1348" s="91" t="s">
        <v>1343</v>
      </c>
      <c r="G1348" s="91" t="s">
        <v>1344</v>
      </c>
      <c r="H1348" s="104" t="str">
        <f t="shared" si="84"/>
        <v>F6134J20</v>
      </c>
      <c r="I1348" s="104"/>
      <c r="J1348" s="105">
        <v>468.27</v>
      </c>
      <c r="K1348" s="106"/>
      <c r="L1348" s="106">
        <v>0</v>
      </c>
      <c r="M1348" s="106">
        <f t="shared" si="83"/>
        <v>0</v>
      </c>
      <c r="N1348" s="106">
        <v>65.099999999999994</v>
      </c>
      <c r="O1348" s="107">
        <v>30484.42</v>
      </c>
      <c r="P1348" s="107">
        <v>25870</v>
      </c>
      <c r="Q1348" s="107">
        <v>788631945</v>
      </c>
      <c r="R1348" s="102" t="s">
        <v>30</v>
      </c>
      <c r="S1348" s="108"/>
      <c r="T1348" s="109"/>
      <c r="U1348" s="109"/>
      <c r="V1348" s="102"/>
      <c r="W1348" s="109"/>
      <c r="X1348" s="109"/>
      <c r="Y1348" s="110" t="s">
        <v>290</v>
      </c>
      <c r="Z1348" s="111" t="str">
        <f>MID(E1348,4,2)</f>
        <v>CA</v>
      </c>
    </row>
    <row r="1349" spans="1:26" s="111" customFormat="1" x14ac:dyDescent="0.2">
      <c r="A1349" s="101">
        <v>46253</v>
      </c>
      <c r="B1349" s="91" t="s">
        <v>1609</v>
      </c>
      <c r="C1349" s="102" t="s">
        <v>1610</v>
      </c>
      <c r="D1349" s="103" t="s">
        <v>26</v>
      </c>
      <c r="E1349" s="91" t="s">
        <v>1611</v>
      </c>
      <c r="F1349" s="91" t="s">
        <v>270</v>
      </c>
      <c r="G1349" s="91" t="s">
        <v>271</v>
      </c>
      <c r="H1349" s="104" t="str">
        <f t="shared" si="84"/>
        <v>F4044J20</v>
      </c>
      <c r="I1349" s="104"/>
      <c r="J1349" s="105">
        <v>462.83</v>
      </c>
      <c r="K1349" s="106"/>
      <c r="L1349" s="106">
        <v>0</v>
      </c>
      <c r="M1349" s="106">
        <f t="shared" si="83"/>
        <v>0</v>
      </c>
      <c r="N1349" s="106">
        <v>63</v>
      </c>
      <c r="O1349" s="107">
        <v>29158.400000000001</v>
      </c>
      <c r="P1349" s="107">
        <v>25870</v>
      </c>
      <c r="Q1349" s="107">
        <v>754327808</v>
      </c>
      <c r="R1349" s="102" t="s">
        <v>30</v>
      </c>
      <c r="S1349" s="108"/>
      <c r="T1349" s="109"/>
      <c r="U1349" s="109"/>
      <c r="V1349" s="102"/>
      <c r="W1349" s="109"/>
      <c r="X1349" s="109"/>
      <c r="Y1349" s="110" t="s">
        <v>290</v>
      </c>
      <c r="Z1349" s="111" t="str">
        <f>MID(E1349,4,2)</f>
        <v>CA</v>
      </c>
    </row>
    <row r="1350" spans="1:26" s="111" customFormat="1" x14ac:dyDescent="0.2">
      <c r="A1350" s="101">
        <v>46253</v>
      </c>
      <c r="B1350" s="91" t="s">
        <v>1614</v>
      </c>
      <c r="C1350" s="102" t="s">
        <v>1615</v>
      </c>
      <c r="D1350" s="103" t="s">
        <v>26</v>
      </c>
      <c r="E1350" s="91" t="s">
        <v>1616</v>
      </c>
      <c r="F1350" s="91" t="s">
        <v>270</v>
      </c>
      <c r="G1350" s="91" t="s">
        <v>271</v>
      </c>
      <c r="H1350" s="104" t="str">
        <f t="shared" si="84"/>
        <v>F4044J20</v>
      </c>
      <c r="I1350" s="104"/>
      <c r="J1350" s="105">
        <v>479.16</v>
      </c>
      <c r="K1350" s="106">
        <f>+L1350</f>
        <v>63</v>
      </c>
      <c r="L1350" s="106">
        <v>63</v>
      </c>
      <c r="M1350" s="106">
        <f t="shared" si="83"/>
        <v>0</v>
      </c>
      <c r="N1350" s="106">
        <v>63</v>
      </c>
      <c r="O1350" s="107">
        <v>30187.52</v>
      </c>
      <c r="P1350" s="107">
        <v>25870</v>
      </c>
      <c r="Q1350" s="107">
        <v>780951142</v>
      </c>
      <c r="R1350" s="102" t="s">
        <v>30</v>
      </c>
      <c r="S1350" s="108"/>
      <c r="T1350" s="109"/>
      <c r="U1350" s="109"/>
      <c r="V1350" s="102"/>
      <c r="W1350" s="109"/>
      <c r="X1350" s="109"/>
      <c r="Y1350" s="110" t="s">
        <v>290</v>
      </c>
      <c r="Z1350" s="111" t="str">
        <f>MID(E1350,4,2)</f>
        <v>CA</v>
      </c>
    </row>
    <row r="1351" spans="1:26" s="111" customFormat="1" x14ac:dyDescent="0.2">
      <c r="A1351" s="101">
        <v>46253</v>
      </c>
      <c r="B1351" s="91" t="s">
        <v>1617</v>
      </c>
      <c r="C1351" s="102" t="s">
        <v>1618</v>
      </c>
      <c r="D1351" s="103" t="s">
        <v>26</v>
      </c>
      <c r="E1351" s="91" t="s">
        <v>1619</v>
      </c>
      <c r="F1351" s="91" t="s">
        <v>1343</v>
      </c>
      <c r="G1351" s="91" t="s">
        <v>1344</v>
      </c>
      <c r="H1351" s="104" t="str">
        <f t="shared" si="84"/>
        <v>F6134J20</v>
      </c>
      <c r="I1351" s="104"/>
      <c r="J1351" s="105">
        <v>479.16</v>
      </c>
      <c r="K1351" s="106">
        <f>IF(D1351="CAESARSTONE LTD",VLOOKUP(H1351,'[2]GIA CA'!G:H,2,0),IF(OR(D1351="STONE FACINGS LIMITED",D1351="NORDIA SA",D1351="INVICTUS STONE COUNTERTOPS INC",D1351="QUARTZTOP LLC"),VLOOKUP(H1351,'[2] Giá ngoài Mỹ - SI-GR'!$B$5:$AZ$84,51,0),IF(OR(D1351="HYUNDAI L&amp;C CANADA INC",D1351="Hyundai L&amp; C USA LLC"),VLOOKUP(H1351,'[2]GIA HS'!A:D,4,0),IF(Y1351="Mỹ",VLOOKUP(H1351,'[2]giá mỹ từ 6.8.2025'!B:I,2,0),VLOOKUP(H1351,'[2]giá ngoài mỹ 6.8.2025 (final)'!B:BP,51,0)))))</f>
        <v>62</v>
      </c>
      <c r="L1351" s="106">
        <v>65.099999999999994</v>
      </c>
      <c r="M1351" s="106">
        <f t="shared" si="83"/>
        <v>3.0999999999999943</v>
      </c>
      <c r="N1351" s="106">
        <v>65.099999999999994</v>
      </c>
      <c r="O1351" s="107">
        <v>31193.360000000001</v>
      </c>
      <c r="P1351" s="107">
        <v>25870</v>
      </c>
      <c r="Q1351" s="107">
        <v>806972223</v>
      </c>
      <c r="R1351" s="102" t="s">
        <v>30</v>
      </c>
      <c r="S1351" s="108"/>
      <c r="T1351" s="109"/>
      <c r="U1351" s="109"/>
      <c r="V1351" s="102"/>
      <c r="W1351" s="109"/>
      <c r="X1351" s="109"/>
      <c r="Y1351" s="110" t="s">
        <v>1345</v>
      </c>
      <c r="Z1351" s="111" t="str">
        <f>MID(E1351,4,2)</f>
        <v>CA</v>
      </c>
    </row>
    <row r="1352" spans="1:26" s="111" customFormat="1" x14ac:dyDescent="0.2">
      <c r="A1352" s="101">
        <v>46253</v>
      </c>
      <c r="B1352" s="91" t="s">
        <v>1620</v>
      </c>
      <c r="C1352" s="102" t="s">
        <v>1621</v>
      </c>
      <c r="D1352" s="103" t="s">
        <v>26</v>
      </c>
      <c r="E1352" s="91" t="s">
        <v>1622</v>
      </c>
      <c r="F1352" s="91" t="s">
        <v>1343</v>
      </c>
      <c r="G1352" s="91" t="s">
        <v>1344</v>
      </c>
      <c r="H1352" s="104" t="str">
        <f t="shared" si="84"/>
        <v>F6134J20</v>
      </c>
      <c r="I1352" s="104"/>
      <c r="J1352" s="105">
        <v>479.16</v>
      </c>
      <c r="K1352" s="106">
        <f>IF(D1352="CAESARSTONE LTD",VLOOKUP(H1352,'[2]GIA CA'!G:H,2,0),IF(OR(D1352="STONE FACINGS LIMITED",D1352="NORDIA SA",D1352="INVICTUS STONE COUNTERTOPS INC",D1352="QUARTZTOP LLC"),VLOOKUP(H1352,'[2] Giá ngoài Mỹ - SI-GR'!$B$5:$AZ$84,51,0),IF(OR(D1352="HYUNDAI L&amp;C CANADA INC",D1352="Hyundai L&amp; C USA LLC"),VLOOKUP(H1352,'[2]GIA HS'!A:D,4,0),IF(Y1352="Mỹ",VLOOKUP(H1352,'[2]giá mỹ từ 6.8.2025'!B:I,2,0),VLOOKUP(H1352,'[2]giá ngoài mỹ 6.8.2025 (final)'!B:BP,51,0)))))</f>
        <v>62</v>
      </c>
      <c r="L1352" s="106">
        <v>65.099999999999994</v>
      </c>
      <c r="M1352" s="106">
        <f t="shared" si="83"/>
        <v>3.0999999999999943</v>
      </c>
      <c r="N1352" s="106">
        <v>65.099999999999994</v>
      </c>
      <c r="O1352" s="107">
        <v>31193.360000000001</v>
      </c>
      <c r="P1352" s="107">
        <v>25870</v>
      </c>
      <c r="Q1352" s="107">
        <v>806972223</v>
      </c>
      <c r="R1352" s="102" t="s">
        <v>30</v>
      </c>
      <c r="S1352" s="108"/>
      <c r="T1352" s="109"/>
      <c r="U1352" s="109"/>
      <c r="V1352" s="102"/>
      <c r="W1352" s="109"/>
      <c r="X1352" s="109"/>
      <c r="Y1352" s="110" t="s">
        <v>1345</v>
      </c>
      <c r="Z1352" s="111" t="str">
        <f>MID(E1352,4,2)</f>
        <v>CA</v>
      </c>
    </row>
    <row r="1353" spans="1:26" s="111" customFormat="1" x14ac:dyDescent="0.2">
      <c r="A1353" s="101">
        <v>46253</v>
      </c>
      <c r="B1353" s="91" t="s">
        <v>1623</v>
      </c>
      <c r="C1353" s="102" t="s">
        <v>1624</v>
      </c>
      <c r="D1353" s="103" t="s">
        <v>26</v>
      </c>
      <c r="E1353" s="91" t="s">
        <v>1625</v>
      </c>
      <c r="F1353" s="91" t="s">
        <v>296</v>
      </c>
      <c r="G1353" s="91" t="s">
        <v>297</v>
      </c>
      <c r="H1353" s="104" t="str">
        <f t="shared" si="84"/>
        <v>F5130J20</v>
      </c>
      <c r="I1353" s="104"/>
      <c r="J1353" s="105">
        <v>381.15</v>
      </c>
      <c r="K1353" s="106">
        <f>IF(D1353="CAESARSTONE LTD",VLOOKUP(H1353,'[2]GIA CA'!G:H,2,0),IF(OR(D1353="STONE FACINGS LIMITED",D1353="NORDIA SA",D1353="INVICTUS STONE COUNTERTOPS INC",D1353="QUARTZTOP LLC"),VLOOKUP(H1353,'[2] Giá ngoài Mỹ - SI-GR'!$B$5:$AZ$84,51,0),IF(OR(D1353="HYUNDAI L&amp;C CANADA INC",D1353="Hyundai L&amp; C USA LLC"),VLOOKUP(H1353,'[2]GIA HS'!A:D,4,0),IF(Y1353="Mỹ",VLOOKUP(H1353,'[2]giá mỹ từ 6.8.2025'!B:I,2,0),VLOOKUP(H1353,'[2]giá ngoài mỹ 6.8.2025 (final)'!B:BP,51,0)))))</f>
        <v>62</v>
      </c>
      <c r="L1353" s="106">
        <v>65.099999999999994</v>
      </c>
      <c r="M1353" s="106">
        <f t="shared" si="83"/>
        <v>3.0999999999999943</v>
      </c>
      <c r="N1353" s="106">
        <v>65.099999999999994</v>
      </c>
      <c r="O1353" s="107">
        <v>24812.9</v>
      </c>
      <c r="P1353" s="107">
        <v>25870</v>
      </c>
      <c r="Q1353" s="107">
        <v>641909723</v>
      </c>
      <c r="R1353" s="102" t="s">
        <v>30</v>
      </c>
      <c r="S1353" s="108"/>
      <c r="T1353" s="109"/>
      <c r="U1353" s="109"/>
      <c r="V1353" s="102"/>
      <c r="W1353" s="109"/>
      <c r="X1353" s="109"/>
      <c r="Y1353" s="110" t="s">
        <v>1345</v>
      </c>
      <c r="Z1353" s="111" t="str">
        <f>MID(E1353,4,2)</f>
        <v>CA</v>
      </c>
    </row>
    <row r="1354" spans="1:26" s="111" customFormat="1" x14ac:dyDescent="0.2">
      <c r="A1354" s="101">
        <v>46253</v>
      </c>
      <c r="B1354" s="91" t="s">
        <v>1623</v>
      </c>
      <c r="C1354" s="102" t="s">
        <v>1624</v>
      </c>
      <c r="D1354" s="103" t="s">
        <v>26</v>
      </c>
      <c r="E1354" s="91" t="s">
        <v>1625</v>
      </c>
      <c r="F1354" s="91" t="s">
        <v>458</v>
      </c>
      <c r="G1354" s="91" t="s">
        <v>459</v>
      </c>
      <c r="H1354" s="104" t="str">
        <f t="shared" si="84"/>
        <v>F6131J20</v>
      </c>
      <c r="I1354" s="104"/>
      <c r="J1354" s="105">
        <v>98.01</v>
      </c>
      <c r="K1354" s="106">
        <f>IF(D1354="CAESARSTONE LTD",VLOOKUP(H1354,'[2]GIA CA'!G:H,2,0),IF(OR(D1354="STONE FACINGS LIMITED",D1354="NORDIA SA",D1354="INVICTUS STONE COUNTERTOPS INC",D1354="QUARTZTOP LLC"),VLOOKUP(H1354,'[2] Giá ngoài Mỹ - SI-GR'!$B$5:$AZ$84,51,0),IF(OR(D1354="HYUNDAI L&amp;C CANADA INC",D1354="Hyundai L&amp; C USA LLC"),VLOOKUP(H1354,'[2]GIA HS'!A:D,4,0),IF(Y1354="Mỹ",VLOOKUP(H1354,'[2]giá mỹ từ 6.8.2025'!B:I,2,0),VLOOKUP(H1354,'[2]giá ngoài mỹ 6.8.2025 (final)'!B:BP,51,0)))))</f>
        <v>62</v>
      </c>
      <c r="L1354" s="106">
        <v>65.099999999999994</v>
      </c>
      <c r="M1354" s="106">
        <f t="shared" si="83"/>
        <v>3.0999999999999943</v>
      </c>
      <c r="N1354" s="106">
        <v>65.099999999999994</v>
      </c>
      <c r="O1354" s="107">
        <v>6380.46</v>
      </c>
      <c r="P1354" s="107">
        <v>25870</v>
      </c>
      <c r="Q1354" s="107">
        <v>165062500</v>
      </c>
      <c r="R1354" s="102" t="s">
        <v>30</v>
      </c>
      <c r="S1354" s="108"/>
      <c r="T1354" s="109"/>
      <c r="U1354" s="109"/>
      <c r="V1354" s="102"/>
      <c r="W1354" s="109"/>
      <c r="X1354" s="109"/>
      <c r="Y1354" s="110" t="s">
        <v>1345</v>
      </c>
      <c r="Z1354" s="111" t="str">
        <f>MID(E1354,4,2)</f>
        <v>CA</v>
      </c>
    </row>
    <row r="1355" spans="1:26" s="111" customFormat="1" x14ac:dyDescent="0.2">
      <c r="A1355" s="101">
        <v>46253</v>
      </c>
      <c r="B1355" s="91" t="s">
        <v>1626</v>
      </c>
      <c r="C1355" s="102" t="s">
        <v>1627</v>
      </c>
      <c r="D1355" s="103" t="s">
        <v>391</v>
      </c>
      <c r="E1355" s="91" t="s">
        <v>1628</v>
      </c>
      <c r="F1355" s="91" t="s">
        <v>1629</v>
      </c>
      <c r="G1355" s="91" t="s">
        <v>1630</v>
      </c>
      <c r="H1355" s="104" t="str">
        <f t="shared" si="84"/>
        <v>F5233J20</v>
      </c>
      <c r="I1355" s="104"/>
      <c r="J1355" s="105">
        <v>2.0299999999999998</v>
      </c>
      <c r="K1355" s="106"/>
      <c r="L1355" s="106">
        <v>0</v>
      </c>
      <c r="M1355" s="106">
        <f t="shared" si="83"/>
        <v>0</v>
      </c>
      <c r="N1355" s="106">
        <v>78</v>
      </c>
      <c r="O1355" s="107">
        <v>158.34</v>
      </c>
      <c r="P1355" s="107">
        <v>25870</v>
      </c>
      <c r="Q1355" s="107">
        <v>4096256</v>
      </c>
      <c r="R1355" s="102"/>
      <c r="S1355" s="108"/>
      <c r="T1355" s="109"/>
      <c r="U1355" s="109" t="s">
        <v>30</v>
      </c>
      <c r="V1355" s="102"/>
      <c r="W1355" s="109"/>
      <c r="X1355" s="109"/>
      <c r="Y1355" s="110" t="s">
        <v>395</v>
      </c>
      <c r="Z1355" s="111" t="str">
        <f>MID(E1355,4,2)</f>
        <v>SI</v>
      </c>
    </row>
    <row r="1356" spans="1:26" s="111" customFormat="1" x14ac:dyDescent="0.2">
      <c r="A1356" s="101">
        <v>46253</v>
      </c>
      <c r="B1356" s="91" t="s">
        <v>1626</v>
      </c>
      <c r="C1356" s="102" t="s">
        <v>1627</v>
      </c>
      <c r="D1356" s="103" t="s">
        <v>391</v>
      </c>
      <c r="E1356" s="91" t="s">
        <v>1628</v>
      </c>
      <c r="F1356" s="91" t="s">
        <v>1631</v>
      </c>
      <c r="G1356" s="91" t="s">
        <v>1632</v>
      </c>
      <c r="H1356" s="104" t="str">
        <f t="shared" si="84"/>
        <v>F5233J20</v>
      </c>
      <c r="I1356" s="104"/>
      <c r="J1356" s="105">
        <v>212.36</v>
      </c>
      <c r="K1356" s="106"/>
      <c r="L1356" s="106">
        <v>0</v>
      </c>
      <c r="M1356" s="106">
        <f t="shared" si="83"/>
        <v>0</v>
      </c>
      <c r="N1356" s="106">
        <v>77.349999999999994</v>
      </c>
      <c r="O1356" s="107">
        <v>16426.849999999999</v>
      </c>
      <c r="P1356" s="107">
        <v>25870</v>
      </c>
      <c r="Q1356" s="107">
        <v>424962610</v>
      </c>
      <c r="R1356" s="102" t="s">
        <v>30</v>
      </c>
      <c r="S1356" s="108"/>
      <c r="T1356" s="109"/>
      <c r="U1356" s="109"/>
      <c r="V1356" s="102"/>
      <c r="W1356" s="109"/>
      <c r="X1356" s="109"/>
      <c r="Y1356" s="110" t="s">
        <v>395</v>
      </c>
      <c r="Z1356" s="111" t="str">
        <f>MID(E1356,4,2)</f>
        <v>SI</v>
      </c>
    </row>
    <row r="1357" spans="1:26" s="111" customFormat="1" x14ac:dyDescent="0.2">
      <c r="A1357" s="101">
        <v>46253</v>
      </c>
      <c r="B1357" s="91" t="s">
        <v>1626</v>
      </c>
      <c r="C1357" s="102" t="s">
        <v>1627</v>
      </c>
      <c r="D1357" s="103" t="s">
        <v>391</v>
      </c>
      <c r="E1357" s="91" t="s">
        <v>1628</v>
      </c>
      <c r="F1357" s="91" t="s">
        <v>1633</v>
      </c>
      <c r="G1357" s="91" t="s">
        <v>1632</v>
      </c>
      <c r="H1357" s="104" t="str">
        <f t="shared" si="84"/>
        <v>F5233J20</v>
      </c>
      <c r="I1357" s="104"/>
      <c r="J1357" s="105">
        <v>32.67</v>
      </c>
      <c r="K1357" s="106"/>
      <c r="L1357" s="106">
        <v>0</v>
      </c>
      <c r="M1357" s="106">
        <f t="shared" ref="M1357:M1420" si="85">L1357-K1357</f>
        <v>0</v>
      </c>
      <c r="N1357" s="106">
        <v>77.349999999999994</v>
      </c>
      <c r="O1357" s="107">
        <v>2527.15</v>
      </c>
      <c r="P1357" s="107">
        <v>25870</v>
      </c>
      <c r="Q1357" s="107">
        <v>65377371</v>
      </c>
      <c r="R1357" s="102" t="s">
        <v>30</v>
      </c>
      <c r="S1357" s="108"/>
      <c r="T1357" s="109"/>
      <c r="U1357" s="109"/>
      <c r="V1357" s="102"/>
      <c r="W1357" s="109"/>
      <c r="X1357" s="109"/>
      <c r="Y1357" s="110" t="s">
        <v>395</v>
      </c>
      <c r="Z1357" s="111" t="str">
        <f>MID(E1357,4,2)</f>
        <v>SI</v>
      </c>
    </row>
    <row r="1358" spans="1:26" s="111" customFormat="1" x14ac:dyDescent="0.2">
      <c r="A1358" s="101">
        <v>46253</v>
      </c>
      <c r="B1358" s="91" t="s">
        <v>1626</v>
      </c>
      <c r="C1358" s="102" t="s">
        <v>1627</v>
      </c>
      <c r="D1358" s="103" t="s">
        <v>391</v>
      </c>
      <c r="E1358" s="91" t="s">
        <v>1628</v>
      </c>
      <c r="F1358" s="91" t="s">
        <v>445</v>
      </c>
      <c r="G1358" s="91" t="s">
        <v>437</v>
      </c>
      <c r="H1358" s="104" t="str">
        <f t="shared" ref="H1358:H1421" si="86">IF(LEN(G1358)=13,LEFT(G1358,5)&amp;MID(G1358,SEARCH("-J",G1358)+1,3),LEFT(G1358,5)&amp;"J20")</f>
        <v>F5233J30</v>
      </c>
      <c r="I1358" s="104"/>
      <c r="J1358" s="105">
        <v>217.8</v>
      </c>
      <c r="K1358" s="106"/>
      <c r="L1358" s="106">
        <v>0</v>
      </c>
      <c r="M1358" s="106">
        <f t="shared" si="85"/>
        <v>0</v>
      </c>
      <c r="N1358" s="106">
        <v>96</v>
      </c>
      <c r="O1358" s="107">
        <v>20908.8</v>
      </c>
      <c r="P1358" s="107">
        <v>25870</v>
      </c>
      <c r="Q1358" s="107">
        <v>540910656</v>
      </c>
      <c r="R1358" s="102" t="s">
        <v>30</v>
      </c>
      <c r="S1358" s="108"/>
      <c r="T1358" s="109"/>
      <c r="U1358" s="109"/>
      <c r="V1358" s="102"/>
      <c r="W1358" s="109"/>
      <c r="X1358" s="109"/>
      <c r="Y1358" s="110" t="s">
        <v>395</v>
      </c>
      <c r="Z1358" s="111" t="str">
        <f>MID(E1358,4,2)</f>
        <v>SI</v>
      </c>
    </row>
    <row r="1359" spans="1:26" s="111" customFormat="1" x14ac:dyDescent="0.2">
      <c r="A1359" s="101">
        <v>46253</v>
      </c>
      <c r="B1359" s="91" t="s">
        <v>1634</v>
      </c>
      <c r="C1359" s="102" t="s">
        <v>1635</v>
      </c>
      <c r="D1359" s="103" t="s">
        <v>26</v>
      </c>
      <c r="E1359" s="91" t="s">
        <v>1636</v>
      </c>
      <c r="F1359" s="91" t="s">
        <v>270</v>
      </c>
      <c r="G1359" s="91" t="s">
        <v>271</v>
      </c>
      <c r="H1359" s="104" t="str">
        <f t="shared" si="86"/>
        <v>F4044J20</v>
      </c>
      <c r="I1359" s="104"/>
      <c r="J1359" s="105">
        <v>239.58</v>
      </c>
      <c r="K1359" s="106">
        <f>+L1359</f>
        <v>63</v>
      </c>
      <c r="L1359" s="106">
        <v>63</v>
      </c>
      <c r="M1359" s="106">
        <f t="shared" si="85"/>
        <v>0</v>
      </c>
      <c r="N1359" s="106">
        <v>63</v>
      </c>
      <c r="O1359" s="107">
        <v>15093.76</v>
      </c>
      <c r="P1359" s="107">
        <v>25870</v>
      </c>
      <c r="Q1359" s="107">
        <v>390475571</v>
      </c>
      <c r="R1359" s="102" t="s">
        <v>30</v>
      </c>
      <c r="S1359" s="108"/>
      <c r="T1359" s="109"/>
      <c r="U1359" s="109"/>
      <c r="V1359" s="102"/>
      <c r="W1359" s="109"/>
      <c r="X1359" s="109"/>
      <c r="Y1359" s="110" t="s">
        <v>290</v>
      </c>
      <c r="Z1359" s="111" t="str">
        <f>MID(E1359,4,2)</f>
        <v>CA</v>
      </c>
    </row>
    <row r="1360" spans="1:26" s="111" customFormat="1" x14ac:dyDescent="0.2">
      <c r="A1360" s="101">
        <v>46253</v>
      </c>
      <c r="B1360" s="91" t="s">
        <v>1634</v>
      </c>
      <c r="C1360" s="102" t="s">
        <v>1635</v>
      </c>
      <c r="D1360" s="103" t="s">
        <v>26</v>
      </c>
      <c r="E1360" s="91" t="s">
        <v>1636</v>
      </c>
      <c r="F1360" s="91" t="s">
        <v>1343</v>
      </c>
      <c r="G1360" s="91" t="s">
        <v>1344</v>
      </c>
      <c r="H1360" s="104" t="str">
        <f t="shared" si="86"/>
        <v>F6134J20</v>
      </c>
      <c r="I1360" s="104"/>
      <c r="J1360" s="105">
        <v>239.58</v>
      </c>
      <c r="K1360" s="106">
        <f>IF(D1360="CAESARSTONE LTD",VLOOKUP(H1360,'[2]GIA CA'!G:H,2,0),IF(OR(D1360="STONE FACINGS LIMITED",D1360="NORDIA SA",D1360="INVICTUS STONE COUNTERTOPS INC",D1360="QUARTZTOP LLC"),VLOOKUP(H1360,'[2] Giá ngoài Mỹ - SI-GR'!$B$5:$AZ$84,51,0),IF(OR(D1360="HYUNDAI L&amp;C CANADA INC",D1360="Hyundai L&amp; C USA LLC"),VLOOKUP(H1360,'[2]GIA HS'!A:D,4,0),IF(Y1360="Mỹ",VLOOKUP(H1360,'[2]giá mỹ từ 6.8.2025'!B:I,2,0),VLOOKUP(H1360,'[2]giá ngoài mỹ 6.8.2025 (final)'!B:BP,51,0)))))</f>
        <v>62</v>
      </c>
      <c r="L1360" s="106">
        <v>65.099999999999994</v>
      </c>
      <c r="M1360" s="106">
        <f t="shared" si="85"/>
        <v>3.0999999999999943</v>
      </c>
      <c r="N1360" s="106">
        <v>65.099999999999994</v>
      </c>
      <c r="O1360" s="107">
        <v>15596.68</v>
      </c>
      <c r="P1360" s="107">
        <v>25870</v>
      </c>
      <c r="Q1360" s="107">
        <v>403486112</v>
      </c>
      <c r="R1360" s="102" t="s">
        <v>30</v>
      </c>
      <c r="S1360" s="108"/>
      <c r="T1360" s="109"/>
      <c r="U1360" s="109"/>
      <c r="V1360" s="102"/>
      <c r="W1360" s="109"/>
      <c r="X1360" s="109"/>
      <c r="Y1360" s="110" t="s">
        <v>290</v>
      </c>
      <c r="Z1360" s="111" t="str">
        <f>MID(E1360,4,2)</f>
        <v>CA</v>
      </c>
    </row>
    <row r="1361" spans="1:26" s="111" customFormat="1" x14ac:dyDescent="0.2">
      <c r="A1361" s="101">
        <v>46253</v>
      </c>
      <c r="B1361" s="91" t="s">
        <v>1637</v>
      </c>
      <c r="C1361" s="102" t="s">
        <v>1638</v>
      </c>
      <c r="D1361" s="103" t="s">
        <v>26</v>
      </c>
      <c r="E1361" s="91" t="s">
        <v>1639</v>
      </c>
      <c r="F1361" s="91" t="s">
        <v>270</v>
      </c>
      <c r="G1361" s="91" t="s">
        <v>271</v>
      </c>
      <c r="H1361" s="104" t="str">
        <f t="shared" si="86"/>
        <v>F4044J20</v>
      </c>
      <c r="I1361" s="104"/>
      <c r="J1361" s="105">
        <v>239.58</v>
      </c>
      <c r="K1361" s="106">
        <f>+L1361</f>
        <v>63</v>
      </c>
      <c r="L1361" s="106">
        <v>63</v>
      </c>
      <c r="M1361" s="106">
        <f t="shared" si="85"/>
        <v>0</v>
      </c>
      <c r="N1361" s="106">
        <v>63</v>
      </c>
      <c r="O1361" s="107">
        <v>15093.76</v>
      </c>
      <c r="P1361" s="107">
        <v>25870</v>
      </c>
      <c r="Q1361" s="107">
        <v>390475571</v>
      </c>
      <c r="R1361" s="102" t="s">
        <v>30</v>
      </c>
      <c r="S1361" s="108"/>
      <c r="T1361" s="109"/>
      <c r="U1361" s="109"/>
      <c r="V1361" s="102"/>
      <c r="W1361" s="109"/>
      <c r="X1361" s="109"/>
      <c r="Y1361" s="110" t="s">
        <v>290</v>
      </c>
      <c r="Z1361" s="111" t="str">
        <f>MID(E1361,4,2)</f>
        <v>CA</v>
      </c>
    </row>
    <row r="1362" spans="1:26" s="111" customFormat="1" x14ac:dyDescent="0.2">
      <c r="A1362" s="101">
        <v>46253</v>
      </c>
      <c r="B1362" s="91" t="s">
        <v>1637</v>
      </c>
      <c r="C1362" s="102" t="s">
        <v>1638</v>
      </c>
      <c r="D1362" s="103" t="s">
        <v>26</v>
      </c>
      <c r="E1362" s="91" t="s">
        <v>1639</v>
      </c>
      <c r="F1362" s="91" t="s">
        <v>1343</v>
      </c>
      <c r="G1362" s="91" t="s">
        <v>1344</v>
      </c>
      <c r="H1362" s="104" t="str">
        <f t="shared" si="86"/>
        <v>F6134J20</v>
      </c>
      <c r="I1362" s="104"/>
      <c r="J1362" s="105">
        <v>239.58</v>
      </c>
      <c r="K1362" s="106">
        <f>IF(D1362="CAESARSTONE LTD",VLOOKUP(H1362,'[2]GIA CA'!G:H,2,0),IF(OR(D1362="STONE FACINGS LIMITED",D1362="NORDIA SA",D1362="INVICTUS STONE COUNTERTOPS INC",D1362="QUARTZTOP LLC"),VLOOKUP(H1362,'[2] Giá ngoài Mỹ - SI-GR'!$B$5:$AZ$84,51,0),IF(OR(D1362="HYUNDAI L&amp;C CANADA INC",D1362="Hyundai L&amp; C USA LLC"),VLOOKUP(H1362,'[2]GIA HS'!A:D,4,0),IF(Y1362="Mỹ",VLOOKUP(H1362,'[2]giá mỹ từ 6.8.2025'!B:I,2,0),VLOOKUP(H1362,'[2]giá ngoài mỹ 6.8.2025 (final)'!B:BP,51,0)))))</f>
        <v>62</v>
      </c>
      <c r="L1362" s="106">
        <v>65.099999999999994</v>
      </c>
      <c r="M1362" s="106">
        <f t="shared" si="85"/>
        <v>3.0999999999999943</v>
      </c>
      <c r="N1362" s="106">
        <v>65.099999999999994</v>
      </c>
      <c r="O1362" s="107">
        <v>15596.68</v>
      </c>
      <c r="P1362" s="107">
        <v>25870</v>
      </c>
      <c r="Q1362" s="107">
        <v>403486112</v>
      </c>
      <c r="R1362" s="102" t="s">
        <v>30</v>
      </c>
      <c r="S1362" s="108"/>
      <c r="T1362" s="109"/>
      <c r="U1362" s="109"/>
      <c r="V1362" s="102"/>
      <c r="W1362" s="109"/>
      <c r="X1362" s="109"/>
      <c r="Y1362" s="110" t="s">
        <v>290</v>
      </c>
      <c r="Z1362" s="111" t="str">
        <f>MID(E1362,4,2)</f>
        <v>CA</v>
      </c>
    </row>
    <row r="1363" spans="1:26" s="111" customFormat="1" x14ac:dyDescent="0.2">
      <c r="A1363" s="101">
        <v>46253</v>
      </c>
      <c r="B1363" s="91" t="s">
        <v>1640</v>
      </c>
      <c r="C1363" s="102" t="s">
        <v>1641</v>
      </c>
      <c r="D1363" s="103" t="s">
        <v>26</v>
      </c>
      <c r="E1363" s="91" t="s">
        <v>1642</v>
      </c>
      <c r="F1363" s="91" t="s">
        <v>344</v>
      </c>
      <c r="G1363" s="91" t="s">
        <v>345</v>
      </c>
      <c r="H1363" s="104" t="str">
        <f t="shared" si="86"/>
        <v>F5105J20</v>
      </c>
      <c r="I1363" s="104"/>
      <c r="J1363" s="105">
        <v>217.8</v>
      </c>
      <c r="K1363" s="106">
        <f>IF(D1363="CAESARSTONE LTD",VLOOKUP(H1363,'[2]GIA CA'!G:H,2,0),IF(OR(D1363="STONE FACINGS LIMITED",D1363="NORDIA SA",D1363="INVICTUS STONE COUNTERTOPS INC",D1363="QUARTZTOP LLC"),VLOOKUP(H1363,'[2] Giá ngoài Mỹ - SI-GR'!$B$5:$AZ$84,51,0),IF(OR(D1363="HYUNDAI L&amp;C CANADA INC",D1363="Hyundai L&amp; C USA LLC"),VLOOKUP(H1363,'[2]GIA HS'!A:D,4,0),IF(Y1363="Mỹ",VLOOKUP(H1363,'[2]giá mỹ từ 6.8.2025'!B:I,2,0),VLOOKUP(H1363,'[2]giá ngoài mỹ 6.8.2025 (final)'!B:BP,51,0)))))</f>
        <v>68</v>
      </c>
      <c r="L1363" s="106">
        <v>71.400000000000006</v>
      </c>
      <c r="M1363" s="106">
        <f t="shared" si="85"/>
        <v>3.4000000000000057</v>
      </c>
      <c r="N1363" s="106">
        <v>71.400000000000006</v>
      </c>
      <c r="O1363" s="107">
        <v>15550.8</v>
      </c>
      <c r="P1363" s="107">
        <v>25870</v>
      </c>
      <c r="Q1363" s="107">
        <v>402299196</v>
      </c>
      <c r="R1363" s="102" t="s">
        <v>30</v>
      </c>
      <c r="S1363" s="108"/>
      <c r="T1363" s="109"/>
      <c r="U1363" s="109"/>
      <c r="V1363" s="102"/>
      <c r="W1363" s="109"/>
      <c r="X1363" s="109"/>
      <c r="Y1363" s="110" t="s">
        <v>290</v>
      </c>
      <c r="Z1363" s="111" t="str">
        <f>MID(E1363,4,2)</f>
        <v>CA</v>
      </c>
    </row>
    <row r="1364" spans="1:26" s="111" customFormat="1" x14ac:dyDescent="0.2">
      <c r="A1364" s="101">
        <v>46253</v>
      </c>
      <c r="B1364" s="91" t="s">
        <v>1640</v>
      </c>
      <c r="C1364" s="102" t="s">
        <v>1641</v>
      </c>
      <c r="D1364" s="103" t="s">
        <v>26</v>
      </c>
      <c r="E1364" s="91" t="s">
        <v>1642</v>
      </c>
      <c r="F1364" s="91" t="s">
        <v>346</v>
      </c>
      <c r="G1364" s="91" t="s">
        <v>345</v>
      </c>
      <c r="H1364" s="104" t="str">
        <f t="shared" si="86"/>
        <v>F5105J20</v>
      </c>
      <c r="I1364" s="104"/>
      <c r="J1364" s="105">
        <v>10.89</v>
      </c>
      <c r="K1364" s="106">
        <f>IF(D1364="CAESARSTONE LTD",VLOOKUP(H1364,'[2]GIA CA'!G:H,2,0),IF(OR(D1364="STONE FACINGS LIMITED",D1364="NORDIA SA",D1364="INVICTUS STONE COUNTERTOPS INC",D1364="QUARTZTOP LLC"),VLOOKUP(H1364,'[2] Giá ngoài Mỹ - SI-GR'!$B$5:$AZ$84,51,0),IF(OR(D1364="HYUNDAI L&amp;C CANADA INC",D1364="Hyundai L&amp; C USA LLC"),VLOOKUP(H1364,'[2]GIA HS'!A:D,4,0),IF(Y1364="Mỹ",VLOOKUP(H1364,'[2]giá mỹ từ 6.8.2025'!B:I,2,0),VLOOKUP(H1364,'[2]giá ngoài mỹ 6.8.2025 (final)'!B:BP,51,0)))))</f>
        <v>68</v>
      </c>
      <c r="L1364" s="106">
        <v>71.400000000000006</v>
      </c>
      <c r="M1364" s="106">
        <f t="shared" si="85"/>
        <v>3.4000000000000057</v>
      </c>
      <c r="N1364" s="106">
        <v>71.400000000000006</v>
      </c>
      <c r="O1364" s="107">
        <v>777.54</v>
      </c>
      <c r="P1364" s="107">
        <v>25870</v>
      </c>
      <c r="Q1364" s="107">
        <v>20114960</v>
      </c>
      <c r="R1364" s="102" t="s">
        <v>30</v>
      </c>
      <c r="S1364" s="108"/>
      <c r="T1364" s="109"/>
      <c r="U1364" s="109"/>
      <c r="V1364" s="102"/>
      <c r="W1364" s="109"/>
      <c r="X1364" s="109"/>
      <c r="Y1364" s="110" t="s">
        <v>290</v>
      </c>
      <c r="Z1364" s="111" t="str">
        <f>MID(E1364,4,2)</f>
        <v>CA</v>
      </c>
    </row>
    <row r="1365" spans="1:26" s="111" customFormat="1" x14ac:dyDescent="0.2">
      <c r="A1365" s="101">
        <v>46253</v>
      </c>
      <c r="B1365" s="91" t="s">
        <v>1640</v>
      </c>
      <c r="C1365" s="102" t="s">
        <v>1641</v>
      </c>
      <c r="D1365" s="103" t="s">
        <v>26</v>
      </c>
      <c r="E1365" s="91" t="s">
        <v>1642</v>
      </c>
      <c r="F1365" s="91" t="s">
        <v>1343</v>
      </c>
      <c r="G1365" s="91" t="s">
        <v>1344</v>
      </c>
      <c r="H1365" s="104" t="str">
        <f t="shared" si="86"/>
        <v>F6134J20</v>
      </c>
      <c r="I1365" s="104"/>
      <c r="J1365" s="105">
        <v>239.58</v>
      </c>
      <c r="K1365" s="106">
        <f>IF(D1365="CAESARSTONE LTD",VLOOKUP(H1365,'[2]GIA CA'!G:H,2,0),IF(OR(D1365="STONE FACINGS LIMITED",D1365="NORDIA SA",D1365="INVICTUS STONE COUNTERTOPS INC",D1365="QUARTZTOP LLC"),VLOOKUP(H1365,'[2] Giá ngoài Mỹ - SI-GR'!$B$5:$AZ$84,51,0),IF(OR(D1365="HYUNDAI L&amp;C CANADA INC",D1365="Hyundai L&amp; C USA LLC"),VLOOKUP(H1365,'[2]GIA HS'!A:D,4,0),IF(Y1365="Mỹ",VLOOKUP(H1365,'[2]giá mỹ từ 6.8.2025'!B:I,2,0),VLOOKUP(H1365,'[2]giá ngoài mỹ 6.8.2025 (final)'!B:BP,51,0)))))</f>
        <v>62</v>
      </c>
      <c r="L1365" s="106">
        <v>65.099999999999994</v>
      </c>
      <c r="M1365" s="106">
        <f t="shared" si="85"/>
        <v>3.0999999999999943</v>
      </c>
      <c r="N1365" s="106">
        <v>65.099999999999994</v>
      </c>
      <c r="O1365" s="107">
        <v>15596.68</v>
      </c>
      <c r="P1365" s="107">
        <v>25870</v>
      </c>
      <c r="Q1365" s="107">
        <v>403486112</v>
      </c>
      <c r="R1365" s="102" t="s">
        <v>30</v>
      </c>
      <c r="S1365" s="108"/>
      <c r="T1365" s="109"/>
      <c r="U1365" s="109"/>
      <c r="V1365" s="102"/>
      <c r="W1365" s="109"/>
      <c r="X1365" s="109"/>
      <c r="Y1365" s="110" t="s">
        <v>290</v>
      </c>
      <c r="Z1365" s="111" t="str">
        <f>MID(E1365,4,2)</f>
        <v>CA</v>
      </c>
    </row>
    <row r="1366" spans="1:26" s="111" customFormat="1" x14ac:dyDescent="0.2">
      <c r="A1366" s="101">
        <v>46254</v>
      </c>
      <c r="B1366" s="91" t="s">
        <v>1643</v>
      </c>
      <c r="C1366" s="102" t="s">
        <v>1644</v>
      </c>
      <c r="D1366" s="103" t="s">
        <v>26</v>
      </c>
      <c r="E1366" s="91" t="s">
        <v>1645</v>
      </c>
      <c r="F1366" s="91" t="s">
        <v>1208</v>
      </c>
      <c r="G1366" s="91" t="s">
        <v>1209</v>
      </c>
      <c r="H1366" s="104" t="str">
        <f t="shared" si="86"/>
        <v>C5110J20</v>
      </c>
      <c r="I1366" s="104"/>
      <c r="J1366" s="105">
        <v>381.15</v>
      </c>
      <c r="K1366" s="106"/>
      <c r="L1366" s="106">
        <v>0</v>
      </c>
      <c r="M1366" s="106">
        <f t="shared" si="85"/>
        <v>0</v>
      </c>
      <c r="N1366" s="106">
        <v>62</v>
      </c>
      <c r="O1366" s="107">
        <v>23631.3</v>
      </c>
      <c r="P1366" s="107">
        <v>25870</v>
      </c>
      <c r="Q1366" s="107">
        <v>611341731</v>
      </c>
      <c r="R1366" s="102" t="s">
        <v>30</v>
      </c>
      <c r="S1366" s="108"/>
      <c r="T1366" s="109"/>
      <c r="U1366" s="109"/>
      <c r="V1366" s="102"/>
      <c r="W1366" s="109"/>
      <c r="X1366" s="109"/>
      <c r="Y1366" s="110" t="s">
        <v>132</v>
      </c>
      <c r="Z1366" s="111" t="str">
        <f>MID(E1366,4,2)</f>
        <v>CA</v>
      </c>
    </row>
    <row r="1367" spans="1:26" s="111" customFormat="1" x14ac:dyDescent="0.2">
      <c r="A1367" s="101">
        <v>46254</v>
      </c>
      <c r="B1367" s="91" t="s">
        <v>1643</v>
      </c>
      <c r="C1367" s="102" t="s">
        <v>1644</v>
      </c>
      <c r="D1367" s="103" t="s">
        <v>26</v>
      </c>
      <c r="E1367" s="91" t="s">
        <v>1645</v>
      </c>
      <c r="F1367" s="91" t="s">
        <v>1592</v>
      </c>
      <c r="G1367" s="91" t="s">
        <v>1514</v>
      </c>
      <c r="H1367" s="104" t="str">
        <f t="shared" si="86"/>
        <v>F8251J20</v>
      </c>
      <c r="I1367" s="104"/>
      <c r="J1367" s="105">
        <v>54.45</v>
      </c>
      <c r="K1367" s="106"/>
      <c r="L1367" s="106">
        <v>0</v>
      </c>
      <c r="M1367" s="106">
        <f t="shared" si="85"/>
        <v>0</v>
      </c>
      <c r="N1367" s="106">
        <v>77.7</v>
      </c>
      <c r="O1367" s="107">
        <v>4230.8</v>
      </c>
      <c r="P1367" s="107">
        <v>25870</v>
      </c>
      <c r="Q1367" s="107">
        <v>109450796</v>
      </c>
      <c r="R1367" s="102" t="s">
        <v>30</v>
      </c>
      <c r="S1367" s="108"/>
      <c r="T1367" s="109"/>
      <c r="U1367" s="109"/>
      <c r="V1367" s="102"/>
      <c r="W1367" s="109"/>
      <c r="X1367" s="109"/>
      <c r="Y1367" s="110" t="s">
        <v>132</v>
      </c>
      <c r="Z1367" s="111" t="str">
        <f>MID(E1367,4,2)</f>
        <v>CA</v>
      </c>
    </row>
    <row r="1368" spans="1:26" s="111" customFormat="1" x14ac:dyDescent="0.2">
      <c r="A1368" s="101">
        <v>46254</v>
      </c>
      <c r="B1368" s="91" t="s">
        <v>1643</v>
      </c>
      <c r="C1368" s="102" t="s">
        <v>1644</v>
      </c>
      <c r="D1368" s="103" t="s">
        <v>26</v>
      </c>
      <c r="E1368" s="91" t="s">
        <v>1645</v>
      </c>
      <c r="F1368" s="91" t="s">
        <v>1208</v>
      </c>
      <c r="G1368" s="91" t="s">
        <v>1209</v>
      </c>
      <c r="H1368" s="104" t="str">
        <f t="shared" si="86"/>
        <v>C5110J20</v>
      </c>
      <c r="I1368" s="104"/>
      <c r="J1368" s="105">
        <v>435.6</v>
      </c>
      <c r="K1368" s="106"/>
      <c r="L1368" s="106">
        <v>0</v>
      </c>
      <c r="M1368" s="106">
        <f t="shared" si="85"/>
        <v>0</v>
      </c>
      <c r="N1368" s="106">
        <v>62</v>
      </c>
      <c r="O1368" s="107">
        <v>27007.200000000001</v>
      </c>
      <c r="P1368" s="107">
        <v>25870</v>
      </c>
      <c r="Q1368" s="107">
        <v>698676264</v>
      </c>
      <c r="R1368" s="102" t="s">
        <v>30</v>
      </c>
      <c r="S1368" s="108"/>
      <c r="T1368" s="109"/>
      <c r="U1368" s="109"/>
      <c r="V1368" s="102"/>
      <c r="W1368" s="109"/>
      <c r="X1368" s="109"/>
      <c r="Y1368" s="110" t="s">
        <v>132</v>
      </c>
      <c r="Z1368" s="111" t="str">
        <f>MID(E1368,4,2)</f>
        <v>CA</v>
      </c>
    </row>
    <row r="1369" spans="1:26" s="111" customFormat="1" x14ac:dyDescent="0.2">
      <c r="A1369" s="101">
        <v>46254</v>
      </c>
      <c r="B1369" s="91" t="s">
        <v>1646</v>
      </c>
      <c r="C1369" s="102" t="s">
        <v>1647</v>
      </c>
      <c r="D1369" s="103" t="s">
        <v>26</v>
      </c>
      <c r="E1369" s="91" t="s">
        <v>1648</v>
      </c>
      <c r="F1369" s="91" t="s">
        <v>110</v>
      </c>
      <c r="G1369" s="91" t="s">
        <v>111</v>
      </c>
      <c r="H1369" s="104" t="str">
        <f t="shared" si="86"/>
        <v>C4023J20</v>
      </c>
      <c r="I1369" s="104"/>
      <c r="J1369" s="105">
        <v>108.9</v>
      </c>
      <c r="K1369" s="106"/>
      <c r="L1369" s="106">
        <v>0</v>
      </c>
      <c r="M1369" s="106">
        <f t="shared" si="85"/>
        <v>0</v>
      </c>
      <c r="N1369" s="106">
        <v>59.9</v>
      </c>
      <c r="O1369" s="107">
        <v>6523.2</v>
      </c>
      <c r="P1369" s="107">
        <v>25870</v>
      </c>
      <c r="Q1369" s="107">
        <v>168755184</v>
      </c>
      <c r="R1369" s="102" t="s">
        <v>30</v>
      </c>
      <c r="S1369" s="108"/>
      <c r="T1369" s="109"/>
      <c r="U1369" s="109"/>
      <c r="V1369" s="102"/>
      <c r="W1369" s="109"/>
      <c r="X1369" s="109"/>
      <c r="Y1369" s="110" t="s">
        <v>132</v>
      </c>
      <c r="Z1369" s="111" t="str">
        <f>MID(E1369,4,2)</f>
        <v>CA</v>
      </c>
    </row>
    <row r="1370" spans="1:26" s="111" customFormat="1" x14ac:dyDescent="0.2">
      <c r="A1370" s="101">
        <v>46254</v>
      </c>
      <c r="B1370" s="91" t="s">
        <v>1646</v>
      </c>
      <c r="C1370" s="102" t="s">
        <v>1647</v>
      </c>
      <c r="D1370" s="103" t="s">
        <v>26</v>
      </c>
      <c r="E1370" s="91" t="s">
        <v>1648</v>
      </c>
      <c r="F1370" s="91" t="s">
        <v>210</v>
      </c>
      <c r="G1370" s="91" t="s">
        <v>126</v>
      </c>
      <c r="H1370" s="104" t="str">
        <f t="shared" si="86"/>
        <v>C6046J20</v>
      </c>
      <c r="I1370" s="104"/>
      <c r="J1370" s="105">
        <v>10.88</v>
      </c>
      <c r="K1370" s="106"/>
      <c r="L1370" s="106">
        <v>0</v>
      </c>
      <c r="M1370" s="106">
        <f t="shared" si="85"/>
        <v>0</v>
      </c>
      <c r="N1370" s="106">
        <v>62</v>
      </c>
      <c r="O1370" s="107">
        <v>674.56</v>
      </c>
      <c r="P1370" s="107">
        <v>25870</v>
      </c>
      <c r="Q1370" s="107">
        <v>17450867</v>
      </c>
      <c r="R1370" s="102" t="s">
        <v>30</v>
      </c>
      <c r="S1370" s="108"/>
      <c r="T1370" s="109"/>
      <c r="U1370" s="109"/>
      <c r="V1370" s="102"/>
      <c r="W1370" s="109"/>
      <c r="X1370" s="109"/>
      <c r="Y1370" s="110" t="s">
        <v>132</v>
      </c>
      <c r="Z1370" s="111" t="str">
        <f>MID(E1370,4,2)</f>
        <v>CA</v>
      </c>
    </row>
    <row r="1371" spans="1:26" s="111" customFormat="1" x14ac:dyDescent="0.2">
      <c r="A1371" s="101">
        <v>46254</v>
      </c>
      <c r="B1371" s="91" t="s">
        <v>1646</v>
      </c>
      <c r="C1371" s="102" t="s">
        <v>1647</v>
      </c>
      <c r="D1371" s="103" t="s">
        <v>26</v>
      </c>
      <c r="E1371" s="91" t="s">
        <v>1648</v>
      </c>
      <c r="F1371" s="91" t="s">
        <v>125</v>
      </c>
      <c r="G1371" s="91" t="s">
        <v>126</v>
      </c>
      <c r="H1371" s="104" t="str">
        <f t="shared" si="86"/>
        <v>C6046J20</v>
      </c>
      <c r="I1371" s="104"/>
      <c r="J1371" s="105">
        <v>114.35</v>
      </c>
      <c r="K1371" s="106"/>
      <c r="L1371" s="106">
        <v>0</v>
      </c>
      <c r="M1371" s="106">
        <f t="shared" si="85"/>
        <v>0</v>
      </c>
      <c r="N1371" s="106">
        <v>62</v>
      </c>
      <c r="O1371" s="107">
        <v>7089.7</v>
      </c>
      <c r="P1371" s="107">
        <v>25870</v>
      </c>
      <c r="Q1371" s="107">
        <v>183410539</v>
      </c>
      <c r="R1371" s="102" t="s">
        <v>30</v>
      </c>
      <c r="S1371" s="108"/>
      <c r="T1371" s="109"/>
      <c r="U1371" s="109"/>
      <c r="V1371" s="102"/>
      <c r="W1371" s="109"/>
      <c r="X1371" s="109"/>
      <c r="Y1371" s="110" t="s">
        <v>132</v>
      </c>
      <c r="Z1371" s="111" t="str">
        <f>MID(E1371,4,2)</f>
        <v>CA</v>
      </c>
    </row>
    <row r="1372" spans="1:26" s="111" customFormat="1" x14ac:dyDescent="0.2">
      <c r="A1372" s="101">
        <v>46254</v>
      </c>
      <c r="B1372" s="91" t="s">
        <v>1646</v>
      </c>
      <c r="C1372" s="102" t="s">
        <v>1647</v>
      </c>
      <c r="D1372" s="103" t="s">
        <v>26</v>
      </c>
      <c r="E1372" s="91" t="s">
        <v>1648</v>
      </c>
      <c r="F1372" s="91" t="s">
        <v>379</v>
      </c>
      <c r="G1372" s="91" t="s">
        <v>126</v>
      </c>
      <c r="H1372" s="104" t="str">
        <f t="shared" si="86"/>
        <v>C6046J20</v>
      </c>
      <c r="I1372" s="104"/>
      <c r="J1372" s="105">
        <v>201.47</v>
      </c>
      <c r="K1372" s="106"/>
      <c r="L1372" s="106">
        <v>0</v>
      </c>
      <c r="M1372" s="106">
        <f t="shared" si="85"/>
        <v>0</v>
      </c>
      <c r="N1372" s="106">
        <v>62</v>
      </c>
      <c r="O1372" s="107">
        <v>12491.14</v>
      </c>
      <c r="P1372" s="107">
        <v>25870</v>
      </c>
      <c r="Q1372" s="107">
        <v>323145792</v>
      </c>
      <c r="R1372" s="102" t="s">
        <v>30</v>
      </c>
      <c r="S1372" s="108"/>
      <c r="T1372" s="109"/>
      <c r="U1372" s="109"/>
      <c r="V1372" s="102"/>
      <c r="W1372" s="109"/>
      <c r="X1372" s="109"/>
      <c r="Y1372" s="110" t="s">
        <v>132</v>
      </c>
      <c r="Z1372" s="111" t="str">
        <f>MID(E1372,4,2)</f>
        <v>CA</v>
      </c>
    </row>
    <row r="1373" spans="1:26" s="111" customFormat="1" x14ac:dyDescent="0.2">
      <c r="A1373" s="101">
        <v>46254</v>
      </c>
      <c r="B1373" s="91" t="s">
        <v>1646</v>
      </c>
      <c r="C1373" s="102" t="s">
        <v>1647</v>
      </c>
      <c r="D1373" s="103" t="s">
        <v>26</v>
      </c>
      <c r="E1373" s="91" t="s">
        <v>1648</v>
      </c>
      <c r="F1373" s="91" t="s">
        <v>1596</v>
      </c>
      <c r="G1373" s="91" t="s">
        <v>1514</v>
      </c>
      <c r="H1373" s="104" t="str">
        <f t="shared" si="86"/>
        <v>F8251J20</v>
      </c>
      <c r="I1373" s="104"/>
      <c r="J1373" s="105">
        <v>21.77</v>
      </c>
      <c r="K1373" s="106"/>
      <c r="L1373" s="106">
        <v>0</v>
      </c>
      <c r="M1373" s="106">
        <f t="shared" si="85"/>
        <v>0</v>
      </c>
      <c r="N1373" s="106">
        <v>77.7</v>
      </c>
      <c r="O1373" s="107">
        <v>1691.54</v>
      </c>
      <c r="P1373" s="107">
        <v>25870</v>
      </c>
      <c r="Q1373" s="107">
        <v>43760140</v>
      </c>
      <c r="R1373" s="102" t="s">
        <v>30</v>
      </c>
      <c r="S1373" s="108"/>
      <c r="T1373" s="109"/>
      <c r="U1373" s="109"/>
      <c r="V1373" s="102"/>
      <c r="W1373" s="109"/>
      <c r="X1373" s="109"/>
      <c r="Y1373" s="110" t="s">
        <v>132</v>
      </c>
      <c r="Z1373" s="111" t="str">
        <f>MID(E1373,4,2)</f>
        <v>CA</v>
      </c>
    </row>
    <row r="1374" spans="1:26" s="111" customFormat="1" x14ac:dyDescent="0.2">
      <c r="A1374" s="101">
        <v>46254</v>
      </c>
      <c r="B1374" s="91" t="s">
        <v>1646</v>
      </c>
      <c r="C1374" s="102" t="s">
        <v>1647</v>
      </c>
      <c r="D1374" s="103" t="s">
        <v>26</v>
      </c>
      <c r="E1374" s="91" t="s">
        <v>1648</v>
      </c>
      <c r="F1374" s="91" t="s">
        <v>1596</v>
      </c>
      <c r="G1374" s="91" t="s">
        <v>1514</v>
      </c>
      <c r="H1374" s="104" t="str">
        <f t="shared" si="86"/>
        <v>F8251J20</v>
      </c>
      <c r="I1374" s="104"/>
      <c r="J1374" s="105">
        <v>114.35</v>
      </c>
      <c r="K1374" s="106"/>
      <c r="L1374" s="106">
        <v>0</v>
      </c>
      <c r="M1374" s="106">
        <f t="shared" si="85"/>
        <v>0</v>
      </c>
      <c r="N1374" s="106">
        <v>77.7</v>
      </c>
      <c r="O1374" s="107">
        <v>8885.07</v>
      </c>
      <c r="P1374" s="107">
        <v>25870</v>
      </c>
      <c r="Q1374" s="107">
        <v>229856761</v>
      </c>
      <c r="R1374" s="102" t="s">
        <v>30</v>
      </c>
      <c r="S1374" s="108"/>
      <c r="T1374" s="109"/>
      <c r="U1374" s="109"/>
      <c r="V1374" s="102"/>
      <c r="W1374" s="109"/>
      <c r="X1374" s="109"/>
      <c r="Y1374" s="110" t="s">
        <v>132</v>
      </c>
      <c r="Z1374" s="111" t="str">
        <f>MID(E1374,4,2)</f>
        <v>CA</v>
      </c>
    </row>
    <row r="1375" spans="1:26" s="111" customFormat="1" x14ac:dyDescent="0.2">
      <c r="A1375" s="101">
        <v>46254</v>
      </c>
      <c r="B1375" s="91" t="s">
        <v>1646</v>
      </c>
      <c r="C1375" s="102" t="s">
        <v>1647</v>
      </c>
      <c r="D1375" s="103" t="s">
        <v>26</v>
      </c>
      <c r="E1375" s="91" t="s">
        <v>1648</v>
      </c>
      <c r="F1375" s="91" t="s">
        <v>1592</v>
      </c>
      <c r="G1375" s="91" t="s">
        <v>1514</v>
      </c>
      <c r="H1375" s="104" t="str">
        <f t="shared" si="86"/>
        <v>F8251J20</v>
      </c>
      <c r="I1375" s="104"/>
      <c r="J1375" s="105">
        <v>299.48</v>
      </c>
      <c r="K1375" s="106"/>
      <c r="L1375" s="106">
        <v>0</v>
      </c>
      <c r="M1375" s="106">
        <f t="shared" si="85"/>
        <v>0</v>
      </c>
      <c r="N1375" s="106">
        <v>77.7</v>
      </c>
      <c r="O1375" s="107">
        <v>23269.79</v>
      </c>
      <c r="P1375" s="107">
        <v>25870</v>
      </c>
      <c r="Q1375" s="107">
        <v>601989467</v>
      </c>
      <c r="R1375" s="102" t="s">
        <v>30</v>
      </c>
      <c r="S1375" s="108"/>
      <c r="T1375" s="109"/>
      <c r="U1375" s="109"/>
      <c r="V1375" s="102"/>
      <c r="W1375" s="109"/>
      <c r="X1375" s="109"/>
      <c r="Y1375" s="110" t="s">
        <v>132</v>
      </c>
      <c r="Z1375" s="111" t="str">
        <f>MID(E1375,4,2)</f>
        <v>CA</v>
      </c>
    </row>
    <row r="1376" spans="1:26" s="111" customFormat="1" x14ac:dyDescent="0.2">
      <c r="A1376" s="101">
        <v>46254</v>
      </c>
      <c r="B1376" s="91" t="s">
        <v>1649</v>
      </c>
      <c r="C1376" s="102" t="s">
        <v>1650</v>
      </c>
      <c r="D1376" s="103" t="s">
        <v>26</v>
      </c>
      <c r="E1376" s="91" t="s">
        <v>1651</v>
      </c>
      <c r="F1376" s="91" t="s">
        <v>1196</v>
      </c>
      <c r="G1376" s="91" t="s">
        <v>1197</v>
      </c>
      <c r="H1376" s="104" t="str">
        <f t="shared" si="86"/>
        <v>C5100J30</v>
      </c>
      <c r="I1376" s="104"/>
      <c r="J1376" s="105">
        <v>70.790000000000006</v>
      </c>
      <c r="K1376" s="106">
        <f>IF(D1376="CAESARSTONE LTD",VLOOKUP(H1376,'[2]GIA CA'!G:H,2,0),IF(OR(D1376="STONE FACINGS LIMITED",D1376="NORDIA SA",D1376="INVICTUS STONE COUNTERTOPS INC",D1376="QUARTZTOP LLC"),VLOOKUP(H1376,'[2] Giá ngoài Mỹ - SI-GR'!$B$5:$AZ$84,51,0),IF(OR(D1376="HYUNDAI L&amp;C CANADA INC",D1376="Hyundai L&amp; C USA LLC"),VLOOKUP(H1376,'[2]GIA HS'!A:D,4,0),IF(Y1376="Mỹ",VLOOKUP(H1376,'[2]giá mỹ từ 6.8.2025'!B:I,2,0),VLOOKUP(H1376,'[2]giá ngoài mỹ 6.8.2025 (final)'!B:BP,51,0)))))</f>
        <v>73.75</v>
      </c>
      <c r="L1376" s="106">
        <v>77.39</v>
      </c>
      <c r="M1376" s="106">
        <f t="shared" si="85"/>
        <v>3.6400000000000006</v>
      </c>
      <c r="N1376" s="106">
        <v>77.39</v>
      </c>
      <c r="O1376" s="107">
        <v>5478.72</v>
      </c>
      <c r="P1376" s="107">
        <v>25870</v>
      </c>
      <c r="Q1376" s="107">
        <v>141734486</v>
      </c>
      <c r="R1376" s="102" t="s">
        <v>30</v>
      </c>
      <c r="S1376" s="108"/>
      <c r="T1376" s="109"/>
      <c r="U1376" s="109"/>
      <c r="V1376" s="102"/>
      <c r="W1376" s="109"/>
      <c r="X1376" s="109"/>
      <c r="Y1376" s="110" t="s">
        <v>395</v>
      </c>
      <c r="Z1376" s="111" t="str">
        <f>MID(E1376,4,2)</f>
        <v>CA</v>
      </c>
    </row>
    <row r="1377" spans="1:26" s="111" customFormat="1" x14ac:dyDescent="0.2">
      <c r="A1377" s="101">
        <v>46254</v>
      </c>
      <c r="B1377" s="91" t="s">
        <v>1649</v>
      </c>
      <c r="C1377" s="102" t="s">
        <v>1650</v>
      </c>
      <c r="D1377" s="103" t="s">
        <v>26</v>
      </c>
      <c r="E1377" s="91" t="s">
        <v>1651</v>
      </c>
      <c r="F1377" s="91" t="s">
        <v>1652</v>
      </c>
      <c r="G1377" s="91" t="s">
        <v>1653</v>
      </c>
      <c r="H1377" s="104" t="str">
        <f t="shared" si="86"/>
        <v>C5116J20</v>
      </c>
      <c r="I1377" s="104"/>
      <c r="J1377" s="105">
        <v>54.45</v>
      </c>
      <c r="K1377" s="106">
        <f>IF(D1377="CAESARSTONE LTD",VLOOKUP(H1377,'[2]GIA CA'!G:H,2,0),IF(OR(D1377="STONE FACINGS LIMITED",D1377="NORDIA SA",D1377="INVICTUS STONE COUNTERTOPS INC",D1377="QUARTZTOP LLC"),VLOOKUP(H1377,'[2] Giá ngoài Mỹ - SI-GR'!$B$5:$AZ$84,51,0),IF(OR(D1377="HYUNDAI L&amp;C CANADA INC",D1377="Hyundai L&amp; C USA LLC"),VLOOKUP(H1377,'[2]GIA HS'!A:D,4,0),IF(Y1377="Mỹ",VLOOKUP(H1377,'[2]giá mỹ từ 6.8.2025'!B:I,2,0),VLOOKUP(H1377,'[2]giá ngoài mỹ 6.8.2025 (final)'!B:BP,51,0)))))</f>
        <v>65</v>
      </c>
      <c r="L1377" s="106">
        <v>68.3</v>
      </c>
      <c r="M1377" s="106">
        <f t="shared" si="85"/>
        <v>3.2999999999999972</v>
      </c>
      <c r="N1377" s="106">
        <v>68.3</v>
      </c>
      <c r="O1377" s="107">
        <v>3718.9</v>
      </c>
      <c r="P1377" s="107">
        <v>25870</v>
      </c>
      <c r="Q1377" s="107">
        <v>96207943</v>
      </c>
      <c r="R1377" s="102" t="s">
        <v>30</v>
      </c>
      <c r="S1377" s="108"/>
      <c r="T1377" s="109"/>
      <c r="U1377" s="109"/>
      <c r="V1377" s="102"/>
      <c r="W1377" s="109"/>
      <c r="X1377" s="109"/>
      <c r="Y1377" s="110" t="s">
        <v>395</v>
      </c>
      <c r="Z1377" s="111" t="str">
        <f>MID(E1377,4,2)</f>
        <v>CA</v>
      </c>
    </row>
    <row r="1378" spans="1:26" s="111" customFormat="1" x14ac:dyDescent="0.2">
      <c r="A1378" s="101">
        <v>46254</v>
      </c>
      <c r="B1378" s="91" t="s">
        <v>1649</v>
      </c>
      <c r="C1378" s="102" t="s">
        <v>1650</v>
      </c>
      <c r="D1378" s="103" t="s">
        <v>26</v>
      </c>
      <c r="E1378" s="91" t="s">
        <v>1651</v>
      </c>
      <c r="F1378" s="91" t="s">
        <v>77</v>
      </c>
      <c r="G1378" s="91" t="s">
        <v>78</v>
      </c>
      <c r="H1378" s="104" t="str">
        <f t="shared" si="86"/>
        <v>C5212J30</v>
      </c>
      <c r="I1378" s="104"/>
      <c r="J1378" s="105">
        <v>76.23</v>
      </c>
      <c r="K1378" s="106">
        <f>IF(D1378="CAESARSTONE LTD",VLOOKUP(H1378,'[2]GIA CA'!G:H,2,0),IF(OR(D1378="STONE FACINGS LIMITED",D1378="NORDIA SA",D1378="INVICTUS STONE COUNTERTOPS INC",D1378="QUARTZTOP LLC"),VLOOKUP(H1378,'[2] Giá ngoài Mỹ - SI-GR'!$B$5:$AZ$84,51,0),IF(OR(D1378="HYUNDAI L&amp;C CANADA INC",D1378="Hyundai L&amp; C USA LLC"),VLOOKUP(H1378,'[2]GIA HS'!A:D,4,0),IF(Y1378="Mỹ",VLOOKUP(H1378,'[2]giá mỹ từ 6.8.2025'!B:I,2,0),VLOOKUP(H1378,'[2]giá ngoài mỹ 6.8.2025 (final)'!B:BP,51,0)))))</f>
        <v>73.75</v>
      </c>
      <c r="L1378" s="106">
        <v>77.400000000000006</v>
      </c>
      <c r="M1378" s="106">
        <f t="shared" si="85"/>
        <v>3.6500000000000057</v>
      </c>
      <c r="N1378" s="106">
        <v>77.400000000000006</v>
      </c>
      <c r="O1378" s="107">
        <v>5900.16</v>
      </c>
      <c r="P1378" s="107">
        <v>25870</v>
      </c>
      <c r="Q1378" s="107">
        <v>152637139</v>
      </c>
      <c r="R1378" s="102" t="s">
        <v>30</v>
      </c>
      <c r="S1378" s="108"/>
      <c r="T1378" s="109"/>
      <c r="U1378" s="109"/>
      <c r="V1378" s="102"/>
      <c r="W1378" s="109"/>
      <c r="X1378" s="109"/>
      <c r="Y1378" s="110" t="s">
        <v>395</v>
      </c>
      <c r="Z1378" s="111" t="str">
        <f>MID(E1378,4,2)</f>
        <v>CA</v>
      </c>
    </row>
    <row r="1379" spans="1:26" s="111" customFormat="1" x14ac:dyDescent="0.2">
      <c r="A1379" s="101">
        <v>46254</v>
      </c>
      <c r="B1379" s="91" t="s">
        <v>1649</v>
      </c>
      <c r="C1379" s="102" t="s">
        <v>1650</v>
      </c>
      <c r="D1379" s="103" t="s">
        <v>26</v>
      </c>
      <c r="E1379" s="91" t="s">
        <v>1651</v>
      </c>
      <c r="F1379" s="91" t="s">
        <v>886</v>
      </c>
      <c r="G1379" s="91" t="s">
        <v>769</v>
      </c>
      <c r="H1379" s="104" t="str">
        <f t="shared" si="86"/>
        <v>F5113J20</v>
      </c>
      <c r="I1379" s="104"/>
      <c r="J1379" s="105">
        <v>54.45</v>
      </c>
      <c r="K1379" s="106">
        <f>IF(D1379="CAESARSTONE LTD",VLOOKUP(H1379,'[2]GIA CA'!G:H,2,0),IF(OR(D1379="STONE FACINGS LIMITED",D1379="NORDIA SA",D1379="INVICTUS STONE COUNTERTOPS INC",D1379="QUARTZTOP LLC"),VLOOKUP(H1379,'[2] Giá ngoài Mỹ - SI-GR'!$B$5:$AZ$84,51,0),IF(OR(D1379="HYUNDAI L&amp;C CANADA INC",D1379="Hyundai L&amp; C USA LLC"),VLOOKUP(H1379,'[2]GIA HS'!A:D,4,0),IF(Y1379="Mỹ",VLOOKUP(H1379,'[2]giá mỹ từ 6.8.2025'!B:I,2,0),VLOOKUP(H1379,'[2]giá ngoài mỹ 6.8.2025 (final)'!B:BP,51,0)))))</f>
        <v>62</v>
      </c>
      <c r="L1379" s="106">
        <v>65.099999999999994</v>
      </c>
      <c r="M1379" s="106">
        <f t="shared" si="85"/>
        <v>3.0999999999999943</v>
      </c>
      <c r="N1379" s="106">
        <v>65.099999999999994</v>
      </c>
      <c r="O1379" s="107">
        <v>3544.7</v>
      </c>
      <c r="P1379" s="107">
        <v>25870</v>
      </c>
      <c r="Q1379" s="107">
        <v>91701389</v>
      </c>
      <c r="R1379" s="102" t="s">
        <v>30</v>
      </c>
      <c r="S1379" s="108"/>
      <c r="T1379" s="109"/>
      <c r="U1379" s="109"/>
      <c r="V1379" s="102"/>
      <c r="W1379" s="109"/>
      <c r="X1379" s="109"/>
      <c r="Y1379" s="110" t="s">
        <v>395</v>
      </c>
      <c r="Z1379" s="111" t="str">
        <f>MID(E1379,4,2)</f>
        <v>CA</v>
      </c>
    </row>
    <row r="1380" spans="1:26" s="111" customFormat="1" x14ac:dyDescent="0.2">
      <c r="A1380" s="101">
        <v>46254</v>
      </c>
      <c r="B1380" s="91" t="s">
        <v>1649</v>
      </c>
      <c r="C1380" s="102" t="s">
        <v>1650</v>
      </c>
      <c r="D1380" s="103" t="s">
        <v>26</v>
      </c>
      <c r="E1380" s="91" t="s">
        <v>1651</v>
      </c>
      <c r="F1380" s="91" t="s">
        <v>1406</v>
      </c>
      <c r="G1380" s="91" t="s">
        <v>954</v>
      </c>
      <c r="H1380" s="104" t="str">
        <f t="shared" si="86"/>
        <v>F5113J30</v>
      </c>
      <c r="I1380" s="104"/>
      <c r="J1380" s="105">
        <v>49</v>
      </c>
      <c r="K1380" s="106">
        <f>IF(D1380="CAESARSTONE LTD",VLOOKUP(H1380,'[2]GIA CA'!G:H,2,0),IF(OR(D1380="STONE FACINGS LIMITED",D1380="NORDIA SA",D1380="INVICTUS STONE COUNTERTOPS INC",D1380="QUARTZTOP LLC"),VLOOKUP(H1380,'[2] Giá ngoài Mỹ - SI-GR'!$B$5:$AZ$84,51,0),IF(OR(D1380="HYUNDAI L&amp;C CANADA INC",D1380="Hyundai L&amp; C USA LLC"),VLOOKUP(H1380,'[2]GIA HS'!A:D,4,0),IF(Y1380="Mỹ",VLOOKUP(H1380,'[2]giá mỹ từ 6.8.2025'!B:I,2,0),VLOOKUP(H1380,'[2]giá ngoài mỹ 6.8.2025 (final)'!B:BP,51,0)))))</f>
        <v>77.5</v>
      </c>
      <c r="L1380" s="106">
        <v>81.400000000000006</v>
      </c>
      <c r="M1380" s="106">
        <f t="shared" si="85"/>
        <v>3.9000000000000057</v>
      </c>
      <c r="N1380" s="106">
        <v>81.400000000000006</v>
      </c>
      <c r="O1380" s="107">
        <v>3988.57</v>
      </c>
      <c r="P1380" s="107">
        <v>25870</v>
      </c>
      <c r="Q1380" s="107">
        <v>103184306</v>
      </c>
      <c r="R1380" s="102" t="s">
        <v>30</v>
      </c>
      <c r="S1380" s="108"/>
      <c r="T1380" s="109"/>
      <c r="U1380" s="109"/>
      <c r="V1380" s="102"/>
      <c r="W1380" s="109"/>
      <c r="X1380" s="109"/>
      <c r="Y1380" s="110" t="s">
        <v>395</v>
      </c>
      <c r="Z1380" s="111" t="str">
        <f>MID(E1380,4,2)</f>
        <v>CA</v>
      </c>
    </row>
    <row r="1381" spans="1:26" s="111" customFormat="1" x14ac:dyDescent="0.2">
      <c r="A1381" s="101">
        <v>46254</v>
      </c>
      <c r="B1381" s="91" t="s">
        <v>1649</v>
      </c>
      <c r="C1381" s="102" t="s">
        <v>1650</v>
      </c>
      <c r="D1381" s="103" t="s">
        <v>26</v>
      </c>
      <c r="E1381" s="91" t="s">
        <v>1651</v>
      </c>
      <c r="F1381" s="91" t="s">
        <v>953</v>
      </c>
      <c r="G1381" s="91" t="s">
        <v>954</v>
      </c>
      <c r="H1381" s="104" t="str">
        <f t="shared" si="86"/>
        <v>F5113J30</v>
      </c>
      <c r="I1381" s="104"/>
      <c r="J1381" s="105">
        <v>10.89</v>
      </c>
      <c r="K1381" s="106">
        <f>IF(D1381="CAESARSTONE LTD",VLOOKUP(H1381,'[2]GIA CA'!G:H,2,0),IF(OR(D1381="STONE FACINGS LIMITED",D1381="NORDIA SA",D1381="INVICTUS STONE COUNTERTOPS INC",D1381="QUARTZTOP LLC"),VLOOKUP(H1381,'[2] Giá ngoài Mỹ - SI-GR'!$B$5:$AZ$84,51,0),IF(OR(D1381="HYUNDAI L&amp;C CANADA INC",D1381="Hyundai L&amp; C USA LLC"),VLOOKUP(H1381,'[2]GIA HS'!A:D,4,0),IF(Y1381="Mỹ",VLOOKUP(H1381,'[2]giá mỹ từ 6.8.2025'!B:I,2,0),VLOOKUP(H1381,'[2]giá ngoài mỹ 6.8.2025 (final)'!B:BP,51,0)))))</f>
        <v>77.5</v>
      </c>
      <c r="L1381" s="106">
        <v>81.400000000000006</v>
      </c>
      <c r="M1381" s="106">
        <f t="shared" si="85"/>
        <v>3.9000000000000057</v>
      </c>
      <c r="N1381" s="106">
        <v>81.400000000000006</v>
      </c>
      <c r="O1381" s="107">
        <v>886.44</v>
      </c>
      <c r="P1381" s="107">
        <v>25870</v>
      </c>
      <c r="Q1381" s="107">
        <v>22932203</v>
      </c>
      <c r="R1381" s="102" t="s">
        <v>30</v>
      </c>
      <c r="S1381" s="108"/>
      <c r="T1381" s="109"/>
      <c r="U1381" s="109"/>
      <c r="V1381" s="102"/>
      <c r="W1381" s="109"/>
      <c r="X1381" s="109"/>
      <c r="Y1381" s="110" t="s">
        <v>395</v>
      </c>
      <c r="Z1381" s="111" t="str">
        <f>MID(E1381,4,2)</f>
        <v>CA</v>
      </c>
    </row>
    <row r="1382" spans="1:26" s="111" customFormat="1" x14ac:dyDescent="0.2">
      <c r="A1382" s="101">
        <v>46254</v>
      </c>
      <c r="B1382" s="91" t="s">
        <v>1649</v>
      </c>
      <c r="C1382" s="102" t="s">
        <v>1650</v>
      </c>
      <c r="D1382" s="103" t="s">
        <v>26</v>
      </c>
      <c r="E1382" s="91" t="s">
        <v>1651</v>
      </c>
      <c r="F1382" s="91" t="s">
        <v>953</v>
      </c>
      <c r="G1382" s="91" t="s">
        <v>954</v>
      </c>
      <c r="H1382" s="104" t="str">
        <f t="shared" si="86"/>
        <v>F5113J30</v>
      </c>
      <c r="I1382" s="104"/>
      <c r="J1382" s="105">
        <v>10.89</v>
      </c>
      <c r="K1382" s="106">
        <f>IF(D1382="CAESARSTONE LTD",VLOOKUP(H1382,'[2]GIA CA'!G:H,2,0),IF(OR(D1382="STONE FACINGS LIMITED",D1382="NORDIA SA",D1382="INVICTUS STONE COUNTERTOPS INC",D1382="QUARTZTOP LLC"),VLOOKUP(H1382,'[2] Giá ngoài Mỹ - SI-GR'!$B$5:$AZ$84,51,0),IF(OR(D1382="HYUNDAI L&amp;C CANADA INC",D1382="Hyundai L&amp; C USA LLC"),VLOOKUP(H1382,'[2]GIA HS'!A:D,4,0),IF(Y1382="Mỹ",VLOOKUP(H1382,'[2]giá mỹ từ 6.8.2025'!B:I,2,0),VLOOKUP(H1382,'[2]giá ngoài mỹ 6.8.2025 (final)'!B:BP,51,0)))))</f>
        <v>77.5</v>
      </c>
      <c r="L1382" s="106">
        <v>81.400000000000006</v>
      </c>
      <c r="M1382" s="106">
        <f t="shared" si="85"/>
        <v>3.9000000000000057</v>
      </c>
      <c r="N1382" s="106">
        <v>81.400000000000006</v>
      </c>
      <c r="O1382" s="107">
        <v>886.44</v>
      </c>
      <c r="P1382" s="107">
        <v>25870</v>
      </c>
      <c r="Q1382" s="107">
        <v>22932203</v>
      </c>
      <c r="R1382" s="102" t="s">
        <v>30</v>
      </c>
      <c r="S1382" s="108"/>
      <c r="T1382" s="109"/>
      <c r="U1382" s="109"/>
      <c r="V1382" s="102"/>
      <c r="W1382" s="109"/>
      <c r="X1382" s="109"/>
      <c r="Y1382" s="110" t="s">
        <v>395</v>
      </c>
      <c r="Z1382" s="111" t="str">
        <f>MID(E1382,4,2)</f>
        <v>CA</v>
      </c>
    </row>
    <row r="1383" spans="1:26" s="111" customFormat="1" x14ac:dyDescent="0.2">
      <c r="A1383" s="101">
        <v>46254</v>
      </c>
      <c r="B1383" s="91" t="s">
        <v>1649</v>
      </c>
      <c r="C1383" s="102" t="s">
        <v>1650</v>
      </c>
      <c r="D1383" s="103" t="s">
        <v>26</v>
      </c>
      <c r="E1383" s="91" t="s">
        <v>1651</v>
      </c>
      <c r="F1383" s="91" t="s">
        <v>955</v>
      </c>
      <c r="G1383" s="91" t="s">
        <v>954</v>
      </c>
      <c r="H1383" s="104" t="str">
        <f t="shared" si="86"/>
        <v>F5113J30</v>
      </c>
      <c r="I1383" s="104"/>
      <c r="J1383" s="105">
        <v>5.45</v>
      </c>
      <c r="K1383" s="106">
        <f>IF(D1383="CAESARSTONE LTD",VLOOKUP(H1383,'[2]GIA CA'!G:H,2,0),IF(OR(D1383="STONE FACINGS LIMITED",D1383="NORDIA SA",D1383="INVICTUS STONE COUNTERTOPS INC",D1383="QUARTZTOP LLC"),VLOOKUP(H1383,'[2] Giá ngoài Mỹ - SI-GR'!$B$5:$AZ$84,51,0),IF(OR(D1383="HYUNDAI L&amp;C CANADA INC",D1383="Hyundai L&amp; C USA LLC"),VLOOKUP(H1383,'[2]GIA HS'!A:D,4,0),IF(Y1383="Mỹ",VLOOKUP(H1383,'[2]giá mỹ từ 6.8.2025'!B:I,2,0),VLOOKUP(H1383,'[2]giá ngoài mỹ 6.8.2025 (final)'!B:BP,51,0)))))</f>
        <v>77.5</v>
      </c>
      <c r="L1383" s="106">
        <v>81.400000000000006</v>
      </c>
      <c r="M1383" s="106">
        <f t="shared" si="85"/>
        <v>3.9000000000000057</v>
      </c>
      <c r="N1383" s="106">
        <v>81.400000000000006</v>
      </c>
      <c r="O1383" s="107">
        <v>443.63</v>
      </c>
      <c r="P1383" s="107">
        <v>25870</v>
      </c>
      <c r="Q1383" s="107">
        <v>11476708</v>
      </c>
      <c r="R1383" s="102" t="s">
        <v>30</v>
      </c>
      <c r="S1383" s="108"/>
      <c r="T1383" s="109"/>
      <c r="U1383" s="109"/>
      <c r="V1383" s="102"/>
      <c r="W1383" s="109"/>
      <c r="X1383" s="109"/>
      <c r="Y1383" s="110" t="s">
        <v>395</v>
      </c>
      <c r="Z1383" s="111" t="str">
        <f>MID(E1383,4,2)</f>
        <v>CA</v>
      </c>
    </row>
    <row r="1384" spans="1:26" s="111" customFormat="1" x14ac:dyDescent="0.2">
      <c r="A1384" s="101">
        <v>46254</v>
      </c>
      <c r="B1384" s="91" t="s">
        <v>1654</v>
      </c>
      <c r="C1384" s="102" t="s">
        <v>1655</v>
      </c>
      <c r="D1384" s="103" t="s">
        <v>26</v>
      </c>
      <c r="E1384" s="91" t="s">
        <v>1656</v>
      </c>
      <c r="F1384" s="91" t="s">
        <v>1612</v>
      </c>
      <c r="G1384" s="91" t="s">
        <v>1613</v>
      </c>
      <c r="H1384" s="104" t="str">
        <f t="shared" si="86"/>
        <v>F4004J20</v>
      </c>
      <c r="I1384" s="104"/>
      <c r="J1384" s="105">
        <v>1.47</v>
      </c>
      <c r="K1384" s="106">
        <f>IF(D1384="CAESARSTONE LTD",VLOOKUP(H1384,'[2]GIA CA'!G:H,2,0),IF(OR(D1384="STONE FACINGS LIMITED",D1384="NORDIA SA",D1384="INVICTUS STONE COUNTERTOPS INC",D1384="QUARTZTOP LLC"),VLOOKUP(H1384,'[2] Giá ngoài Mỹ - SI-GR'!$B$5:$AZ$84,51,0),IF(OR(D1384="HYUNDAI L&amp;C CANADA INC",D1384="Hyundai L&amp; C USA LLC"),VLOOKUP(H1384,'[2]GIA HS'!A:D,4,0),IF(Y1384="Mỹ",VLOOKUP(H1384,'[2]giá mỹ từ 6.8.2025'!B:I,2,0),VLOOKUP(H1384,'[2]giá ngoài mỹ 6.8.2025 (final)'!B:BP,51,0)))))</f>
        <v>58</v>
      </c>
      <c r="L1384" s="106">
        <v>95.24</v>
      </c>
      <c r="M1384" s="106">
        <f t="shared" si="85"/>
        <v>37.239999999999995</v>
      </c>
      <c r="N1384" s="106">
        <v>95.24</v>
      </c>
      <c r="O1384" s="107">
        <v>140</v>
      </c>
      <c r="P1384" s="107">
        <v>25870</v>
      </c>
      <c r="Q1384" s="107">
        <v>3621800</v>
      </c>
      <c r="R1384" s="102"/>
      <c r="S1384" s="108"/>
      <c r="T1384" s="109" t="s">
        <v>30</v>
      </c>
      <c r="U1384" s="109"/>
      <c r="V1384" s="102"/>
      <c r="W1384" s="109"/>
      <c r="X1384" s="109"/>
      <c r="Y1384" s="110" t="s">
        <v>290</v>
      </c>
      <c r="Z1384" s="111" t="str">
        <f>MID(E1384,4,2)</f>
        <v>CA</v>
      </c>
    </row>
    <row r="1385" spans="1:26" s="111" customFormat="1" x14ac:dyDescent="0.2">
      <c r="A1385" s="101">
        <v>46254</v>
      </c>
      <c r="B1385" s="91" t="s">
        <v>1654</v>
      </c>
      <c r="C1385" s="102" t="s">
        <v>1655</v>
      </c>
      <c r="D1385" s="103" t="s">
        <v>26</v>
      </c>
      <c r="E1385" s="91" t="s">
        <v>1656</v>
      </c>
      <c r="F1385" s="91" t="s">
        <v>1612</v>
      </c>
      <c r="G1385" s="91" t="s">
        <v>1613</v>
      </c>
      <c r="H1385" s="104" t="str">
        <f t="shared" si="86"/>
        <v>F4004J20</v>
      </c>
      <c r="I1385" s="104"/>
      <c r="J1385" s="105">
        <v>2.94</v>
      </c>
      <c r="K1385" s="106">
        <f>IF(D1385="CAESARSTONE LTD",VLOOKUP(H1385,'[2]GIA CA'!G:H,2,0),IF(OR(D1385="STONE FACINGS LIMITED",D1385="NORDIA SA",D1385="INVICTUS STONE COUNTERTOPS INC",D1385="QUARTZTOP LLC"),VLOOKUP(H1385,'[2] Giá ngoài Mỹ - SI-GR'!$B$5:$AZ$84,51,0),IF(OR(D1385="HYUNDAI L&amp;C CANADA INC",D1385="Hyundai L&amp; C USA LLC"),VLOOKUP(H1385,'[2]GIA HS'!A:D,4,0),IF(Y1385="Mỹ",VLOOKUP(H1385,'[2]giá mỹ từ 6.8.2025'!B:I,2,0),VLOOKUP(H1385,'[2]giá ngoài mỹ 6.8.2025 (final)'!B:BP,51,0)))))</f>
        <v>58</v>
      </c>
      <c r="L1385" s="106">
        <v>95.24</v>
      </c>
      <c r="M1385" s="106">
        <f t="shared" si="85"/>
        <v>37.239999999999995</v>
      </c>
      <c r="N1385" s="106">
        <v>95.24</v>
      </c>
      <c r="O1385" s="107">
        <v>280</v>
      </c>
      <c r="P1385" s="107">
        <v>25870</v>
      </c>
      <c r="Q1385" s="107">
        <v>7243600</v>
      </c>
      <c r="R1385" s="102"/>
      <c r="S1385" s="108"/>
      <c r="T1385" s="109" t="s">
        <v>30</v>
      </c>
      <c r="U1385" s="109"/>
      <c r="V1385" s="102"/>
      <c r="W1385" s="109"/>
      <c r="X1385" s="109"/>
      <c r="Y1385" s="110" t="s">
        <v>290</v>
      </c>
      <c r="Z1385" s="111" t="str">
        <f>MID(E1385,4,2)</f>
        <v>CA</v>
      </c>
    </row>
    <row r="1386" spans="1:26" s="111" customFormat="1" x14ac:dyDescent="0.2">
      <c r="A1386" s="101">
        <v>46254</v>
      </c>
      <c r="B1386" s="91" t="s">
        <v>1654</v>
      </c>
      <c r="C1386" s="102" t="s">
        <v>1655</v>
      </c>
      <c r="D1386" s="103" t="s">
        <v>26</v>
      </c>
      <c r="E1386" s="91" t="s">
        <v>1656</v>
      </c>
      <c r="F1386" s="91" t="s">
        <v>1612</v>
      </c>
      <c r="G1386" s="91" t="s">
        <v>1613</v>
      </c>
      <c r="H1386" s="104" t="str">
        <f t="shared" si="86"/>
        <v>F4004J20</v>
      </c>
      <c r="I1386" s="104"/>
      <c r="J1386" s="105">
        <v>2.94</v>
      </c>
      <c r="K1386" s="106">
        <f>IF(D1386="CAESARSTONE LTD",VLOOKUP(H1386,'[2]GIA CA'!G:H,2,0),IF(OR(D1386="STONE FACINGS LIMITED",D1386="NORDIA SA",D1386="INVICTUS STONE COUNTERTOPS INC",D1386="QUARTZTOP LLC"),VLOOKUP(H1386,'[2] Giá ngoài Mỹ - SI-GR'!$B$5:$AZ$84,51,0),IF(OR(D1386="HYUNDAI L&amp;C CANADA INC",D1386="Hyundai L&amp; C USA LLC"),VLOOKUP(H1386,'[2]GIA HS'!A:D,4,0),IF(Y1386="Mỹ",VLOOKUP(H1386,'[2]giá mỹ từ 6.8.2025'!B:I,2,0),VLOOKUP(H1386,'[2]giá ngoài mỹ 6.8.2025 (final)'!B:BP,51,0)))))</f>
        <v>58</v>
      </c>
      <c r="L1386" s="106">
        <v>95.24</v>
      </c>
      <c r="M1386" s="106">
        <f t="shared" si="85"/>
        <v>37.239999999999995</v>
      </c>
      <c r="N1386" s="106">
        <v>95.24</v>
      </c>
      <c r="O1386" s="107">
        <v>280</v>
      </c>
      <c r="P1386" s="107">
        <v>25870</v>
      </c>
      <c r="Q1386" s="107">
        <v>7243600</v>
      </c>
      <c r="R1386" s="102"/>
      <c r="S1386" s="108"/>
      <c r="T1386" s="109" t="s">
        <v>30</v>
      </c>
      <c r="U1386" s="109"/>
      <c r="V1386" s="102"/>
      <c r="W1386" s="109"/>
      <c r="X1386" s="109"/>
      <c r="Y1386" s="110" t="s">
        <v>290</v>
      </c>
      <c r="Z1386" s="111" t="str">
        <f>MID(E1386,4,2)</f>
        <v>CA</v>
      </c>
    </row>
    <row r="1387" spans="1:26" s="111" customFormat="1" x14ac:dyDescent="0.2">
      <c r="A1387" s="101">
        <v>46254</v>
      </c>
      <c r="B1387" s="91" t="s">
        <v>1654</v>
      </c>
      <c r="C1387" s="102" t="s">
        <v>1655</v>
      </c>
      <c r="D1387" s="103" t="s">
        <v>26</v>
      </c>
      <c r="E1387" s="91" t="s">
        <v>1656</v>
      </c>
      <c r="F1387" s="91" t="s">
        <v>1471</v>
      </c>
      <c r="G1387" s="91" t="s">
        <v>1472</v>
      </c>
      <c r="H1387" s="104" t="str">
        <f t="shared" si="86"/>
        <v>F5112J20</v>
      </c>
      <c r="I1387" s="104"/>
      <c r="J1387" s="105">
        <v>2.94</v>
      </c>
      <c r="K1387" s="106">
        <f>IF(D1387="CAESARSTONE LTD",VLOOKUP(H1387,'[2]GIA CA'!G:H,2,0),IF(OR(D1387="STONE FACINGS LIMITED",D1387="NORDIA SA",D1387="INVICTUS STONE COUNTERTOPS INC",D1387="QUARTZTOP LLC"),VLOOKUP(H1387,'[2] Giá ngoài Mỹ - SI-GR'!$B$5:$AZ$84,51,0),IF(OR(D1387="HYUNDAI L&amp;C CANADA INC",D1387="Hyundai L&amp; C USA LLC"),VLOOKUP(H1387,'[2]GIA HS'!A:D,4,0),IF(Y1387="Mỹ",VLOOKUP(H1387,'[2]giá mỹ từ 6.8.2025'!B:I,2,0),VLOOKUP(H1387,'[2]giá ngoài mỹ 6.8.2025 (final)'!B:BP,51,0)))))</f>
        <v>60</v>
      </c>
      <c r="L1387" s="106">
        <v>121.43</v>
      </c>
      <c r="M1387" s="106">
        <f t="shared" si="85"/>
        <v>61.430000000000007</v>
      </c>
      <c r="N1387" s="106">
        <v>121.43</v>
      </c>
      <c r="O1387" s="107">
        <v>357</v>
      </c>
      <c r="P1387" s="107">
        <v>25870</v>
      </c>
      <c r="Q1387" s="107">
        <v>9235590</v>
      </c>
      <c r="R1387" s="102"/>
      <c r="S1387" s="108"/>
      <c r="T1387" s="109" t="s">
        <v>30</v>
      </c>
      <c r="U1387" s="109"/>
      <c r="V1387" s="102"/>
      <c r="W1387" s="109"/>
      <c r="X1387" s="109"/>
      <c r="Y1387" s="110" t="s">
        <v>290</v>
      </c>
      <c r="Z1387" s="111" t="str">
        <f>MID(E1387,4,2)</f>
        <v>CA</v>
      </c>
    </row>
    <row r="1388" spans="1:26" s="111" customFormat="1" x14ac:dyDescent="0.2">
      <c r="A1388" s="101">
        <v>46254</v>
      </c>
      <c r="B1388" s="91" t="s">
        <v>1654</v>
      </c>
      <c r="C1388" s="102" t="s">
        <v>1655</v>
      </c>
      <c r="D1388" s="103" t="s">
        <v>26</v>
      </c>
      <c r="E1388" s="91" t="s">
        <v>1656</v>
      </c>
      <c r="F1388" s="91" t="s">
        <v>1343</v>
      </c>
      <c r="G1388" s="91" t="s">
        <v>1344</v>
      </c>
      <c r="H1388" s="104" t="str">
        <f t="shared" si="86"/>
        <v>F6134J20</v>
      </c>
      <c r="I1388" s="104"/>
      <c r="J1388" s="105">
        <v>479.16</v>
      </c>
      <c r="K1388" s="106">
        <f>IF(D1388="CAESARSTONE LTD",VLOOKUP(H1388,'[2]GIA CA'!G:H,2,0),IF(OR(D1388="STONE FACINGS LIMITED",D1388="NORDIA SA",D1388="INVICTUS STONE COUNTERTOPS INC",D1388="QUARTZTOP LLC"),VLOOKUP(H1388,'[2] Giá ngoài Mỹ - SI-GR'!$B$5:$AZ$84,51,0),IF(OR(D1388="HYUNDAI L&amp;C CANADA INC",D1388="Hyundai L&amp; C USA LLC"),VLOOKUP(H1388,'[2]GIA HS'!A:D,4,0),IF(Y1388="Mỹ",VLOOKUP(H1388,'[2]giá mỹ từ 6.8.2025'!B:I,2,0),VLOOKUP(H1388,'[2]giá ngoài mỹ 6.8.2025 (final)'!B:BP,51,0)))))</f>
        <v>62</v>
      </c>
      <c r="L1388" s="106">
        <v>65.099999999999994</v>
      </c>
      <c r="M1388" s="106">
        <f t="shared" si="85"/>
        <v>3.0999999999999943</v>
      </c>
      <c r="N1388" s="106">
        <v>65.099999999999994</v>
      </c>
      <c r="O1388" s="107">
        <v>31193.360000000001</v>
      </c>
      <c r="P1388" s="107">
        <v>25870</v>
      </c>
      <c r="Q1388" s="107">
        <v>806972223</v>
      </c>
      <c r="R1388" s="102" t="s">
        <v>30</v>
      </c>
      <c r="S1388" s="108"/>
      <c r="T1388" s="109"/>
      <c r="U1388" s="109"/>
      <c r="V1388" s="102"/>
      <c r="W1388" s="109"/>
      <c r="X1388" s="109"/>
      <c r="Y1388" s="110" t="s">
        <v>290</v>
      </c>
      <c r="Z1388" s="111" t="str">
        <f>MID(E1388,4,2)</f>
        <v>CA</v>
      </c>
    </row>
    <row r="1389" spans="1:26" s="111" customFormat="1" x14ac:dyDescent="0.2">
      <c r="A1389" s="101">
        <v>46254</v>
      </c>
      <c r="B1389" s="91" t="s">
        <v>1654</v>
      </c>
      <c r="C1389" s="102" t="s">
        <v>1655</v>
      </c>
      <c r="D1389" s="103" t="s">
        <v>26</v>
      </c>
      <c r="E1389" s="91" t="s">
        <v>1656</v>
      </c>
      <c r="F1389" s="91" t="s">
        <v>1596</v>
      </c>
      <c r="G1389" s="91" t="s">
        <v>1514</v>
      </c>
      <c r="H1389" s="104" t="str">
        <f t="shared" si="86"/>
        <v>F8251J20</v>
      </c>
      <c r="I1389" s="104"/>
      <c r="J1389" s="105">
        <v>54.45</v>
      </c>
      <c r="K1389" s="106">
        <f>IF(D1389="CAESARSTONE LTD",VLOOKUP(H1389,'[2]GIA CA'!G:H,2,0),IF(OR(D1389="STONE FACINGS LIMITED",D1389="NORDIA SA",D1389="INVICTUS STONE COUNTERTOPS INC",D1389="QUARTZTOP LLC"),VLOOKUP(H1389,'[2] Giá ngoài Mỹ - SI-GR'!$B$5:$AZ$84,51,0),IF(OR(D1389="HYUNDAI L&amp;C CANADA INC",D1389="Hyundai L&amp; C USA LLC"),VLOOKUP(H1389,'[2]GIA HS'!A:D,4,0),IF(Y1389="Mỹ",VLOOKUP(H1389,'[2]giá mỹ từ 6.8.2025'!B:I,2,0),VLOOKUP(H1389,'[2]giá ngoài mỹ 6.8.2025 (final)'!B:BP,51,0)))))</f>
        <v>74</v>
      </c>
      <c r="L1389" s="106">
        <v>77.7</v>
      </c>
      <c r="M1389" s="106">
        <f t="shared" si="85"/>
        <v>3.7000000000000028</v>
      </c>
      <c r="N1389" s="106">
        <v>77.7</v>
      </c>
      <c r="O1389" s="107">
        <v>4230.8</v>
      </c>
      <c r="P1389" s="107">
        <v>25870</v>
      </c>
      <c r="Q1389" s="107">
        <v>109450796</v>
      </c>
      <c r="R1389" s="102" t="s">
        <v>30</v>
      </c>
      <c r="S1389" s="108"/>
      <c r="T1389" s="109"/>
      <c r="U1389" s="109"/>
      <c r="V1389" s="102"/>
      <c r="W1389" s="109"/>
      <c r="X1389" s="109"/>
      <c r="Y1389" s="110" t="s">
        <v>290</v>
      </c>
      <c r="Z1389" s="111" t="str">
        <f>MID(E1389,4,2)</f>
        <v>CA</v>
      </c>
    </row>
    <row r="1390" spans="1:26" s="111" customFormat="1" x14ac:dyDescent="0.2">
      <c r="A1390" s="101">
        <v>46254</v>
      </c>
      <c r="B1390" s="91" t="s">
        <v>1654</v>
      </c>
      <c r="C1390" s="102" t="s">
        <v>1655</v>
      </c>
      <c r="D1390" s="103" t="s">
        <v>26</v>
      </c>
      <c r="E1390" s="91" t="s">
        <v>1656</v>
      </c>
      <c r="F1390" s="91" t="s">
        <v>1592</v>
      </c>
      <c r="G1390" s="91" t="s">
        <v>1514</v>
      </c>
      <c r="H1390" s="104" t="str">
        <f t="shared" si="86"/>
        <v>F8251J20</v>
      </c>
      <c r="I1390" s="104"/>
      <c r="J1390" s="105">
        <v>348.48</v>
      </c>
      <c r="K1390" s="106">
        <f>IF(D1390="CAESARSTONE LTD",VLOOKUP(H1390,'[2]GIA CA'!G:H,2,0),IF(OR(D1390="STONE FACINGS LIMITED",D1390="NORDIA SA",D1390="INVICTUS STONE COUNTERTOPS INC",D1390="QUARTZTOP LLC"),VLOOKUP(H1390,'[2] Giá ngoài Mỹ - SI-GR'!$B$5:$AZ$84,51,0),IF(OR(D1390="HYUNDAI L&amp;C CANADA INC",D1390="Hyundai L&amp; C USA LLC"),VLOOKUP(H1390,'[2]GIA HS'!A:D,4,0),IF(Y1390="Mỹ",VLOOKUP(H1390,'[2]giá mỹ từ 6.8.2025'!B:I,2,0),VLOOKUP(H1390,'[2]giá ngoài mỹ 6.8.2025 (final)'!B:BP,51,0)))))</f>
        <v>74</v>
      </c>
      <c r="L1390" s="106">
        <v>77.7</v>
      </c>
      <c r="M1390" s="106">
        <f t="shared" si="85"/>
        <v>3.7000000000000028</v>
      </c>
      <c r="N1390" s="106">
        <v>77.7</v>
      </c>
      <c r="O1390" s="107">
        <v>27077.119999999999</v>
      </c>
      <c r="P1390" s="107">
        <v>25870</v>
      </c>
      <c r="Q1390" s="107">
        <v>700485094</v>
      </c>
      <c r="R1390" s="102" t="s">
        <v>30</v>
      </c>
      <c r="S1390" s="108"/>
      <c r="T1390" s="109"/>
      <c r="U1390" s="109"/>
      <c r="V1390" s="102"/>
      <c r="W1390" s="109"/>
      <c r="X1390" s="109"/>
      <c r="Y1390" s="110" t="s">
        <v>290</v>
      </c>
      <c r="Z1390" s="111" t="str">
        <f>MID(E1390,4,2)</f>
        <v>CA</v>
      </c>
    </row>
    <row r="1391" spans="1:26" s="111" customFormat="1" x14ac:dyDescent="0.2">
      <c r="A1391" s="101">
        <v>46254</v>
      </c>
      <c r="B1391" s="91" t="s">
        <v>1654</v>
      </c>
      <c r="C1391" s="102" t="s">
        <v>1655</v>
      </c>
      <c r="D1391" s="103" t="s">
        <v>26</v>
      </c>
      <c r="E1391" s="91" t="s">
        <v>1656</v>
      </c>
      <c r="F1391" s="91" t="s">
        <v>1513</v>
      </c>
      <c r="G1391" s="91" t="s">
        <v>1514</v>
      </c>
      <c r="H1391" s="104" t="str">
        <f t="shared" si="86"/>
        <v>F8251J20</v>
      </c>
      <c r="I1391" s="104"/>
      <c r="J1391" s="105">
        <v>76.23</v>
      </c>
      <c r="K1391" s="106">
        <f>IF(D1391="CAESARSTONE LTD",VLOOKUP(H1391,'[2]GIA CA'!G:H,2,0),IF(OR(D1391="STONE FACINGS LIMITED",D1391="NORDIA SA",D1391="INVICTUS STONE COUNTERTOPS INC",D1391="QUARTZTOP LLC"),VLOOKUP(H1391,'[2] Giá ngoài Mỹ - SI-GR'!$B$5:$AZ$84,51,0),IF(OR(D1391="HYUNDAI L&amp;C CANADA INC",D1391="Hyundai L&amp; C USA LLC"),VLOOKUP(H1391,'[2]GIA HS'!A:D,4,0),IF(Y1391="Mỹ",VLOOKUP(H1391,'[2]giá mỹ từ 6.8.2025'!B:I,2,0),VLOOKUP(H1391,'[2]giá ngoài mỹ 6.8.2025 (final)'!B:BP,51,0)))))</f>
        <v>74</v>
      </c>
      <c r="L1391" s="106">
        <v>77.7</v>
      </c>
      <c r="M1391" s="106">
        <f t="shared" si="85"/>
        <v>3.7000000000000028</v>
      </c>
      <c r="N1391" s="106">
        <v>77.7</v>
      </c>
      <c r="O1391" s="107">
        <v>5923.12</v>
      </c>
      <c r="P1391" s="107">
        <v>25870</v>
      </c>
      <c r="Q1391" s="107">
        <v>153231114</v>
      </c>
      <c r="R1391" s="102" t="s">
        <v>30</v>
      </c>
      <c r="S1391" s="108"/>
      <c r="T1391" s="109"/>
      <c r="U1391" s="109"/>
      <c r="V1391" s="102"/>
      <c r="W1391" s="109"/>
      <c r="X1391" s="109"/>
      <c r="Y1391" s="110" t="s">
        <v>290</v>
      </c>
      <c r="Z1391" s="111" t="str">
        <f>MID(E1391,4,2)</f>
        <v>CA</v>
      </c>
    </row>
    <row r="1392" spans="1:26" s="111" customFormat="1" x14ac:dyDescent="0.2">
      <c r="A1392" s="101">
        <v>46254</v>
      </c>
      <c r="B1392" s="91" t="s">
        <v>1654</v>
      </c>
      <c r="C1392" s="102" t="s">
        <v>1655</v>
      </c>
      <c r="D1392" s="103" t="s">
        <v>26</v>
      </c>
      <c r="E1392" s="91" t="s">
        <v>1656</v>
      </c>
      <c r="F1392" s="91" t="s">
        <v>270</v>
      </c>
      <c r="G1392" s="91" t="s">
        <v>271</v>
      </c>
      <c r="H1392" s="104" t="str">
        <f t="shared" si="86"/>
        <v>F4044J20</v>
      </c>
      <c r="I1392" s="104"/>
      <c r="J1392" s="105">
        <v>479.16</v>
      </c>
      <c r="K1392" s="106">
        <f>+L1392</f>
        <v>63</v>
      </c>
      <c r="L1392" s="106">
        <v>63</v>
      </c>
      <c r="M1392" s="106">
        <f t="shared" si="85"/>
        <v>0</v>
      </c>
      <c r="N1392" s="106">
        <v>63</v>
      </c>
      <c r="O1392" s="107">
        <v>30187.52</v>
      </c>
      <c r="P1392" s="107">
        <v>25870</v>
      </c>
      <c r="Q1392" s="107">
        <v>780951142</v>
      </c>
      <c r="R1392" s="102" t="s">
        <v>30</v>
      </c>
      <c r="S1392" s="108"/>
      <c r="T1392" s="109"/>
      <c r="U1392" s="109"/>
      <c r="V1392" s="102"/>
      <c r="W1392" s="109"/>
      <c r="X1392" s="109"/>
      <c r="Y1392" s="110" t="s">
        <v>290</v>
      </c>
      <c r="Z1392" s="111" t="str">
        <f>MID(E1392,4,2)</f>
        <v>CA</v>
      </c>
    </row>
    <row r="1393" spans="1:26" s="111" customFormat="1" x14ac:dyDescent="0.2">
      <c r="A1393" s="101">
        <v>46254</v>
      </c>
      <c r="B1393" s="91" t="s">
        <v>1657</v>
      </c>
      <c r="C1393" s="102" t="s">
        <v>1658</v>
      </c>
      <c r="D1393" s="103" t="s">
        <v>26</v>
      </c>
      <c r="E1393" s="91" t="s">
        <v>1659</v>
      </c>
      <c r="F1393" s="91" t="s">
        <v>653</v>
      </c>
      <c r="G1393" s="91" t="s">
        <v>654</v>
      </c>
      <c r="H1393" s="104" t="str">
        <f t="shared" si="86"/>
        <v>F5171J20</v>
      </c>
      <c r="I1393" s="104"/>
      <c r="J1393" s="105">
        <v>1.47</v>
      </c>
      <c r="K1393" s="106">
        <f>IF(D1393="CAESARSTONE LTD",VLOOKUP(H1393,'[2]GIA CA'!G:H,2,0),IF(OR(D1393="STONE FACINGS LIMITED",D1393="NORDIA SA",D1393="INVICTUS STONE COUNTERTOPS INC",D1393="QUARTZTOP LLC"),VLOOKUP(H1393,'[2] Giá ngoài Mỹ - SI-GR'!$B$5:$AZ$84,51,0),IF(OR(D1393="HYUNDAI L&amp;C CANADA INC",D1393="Hyundai L&amp; C USA LLC"),VLOOKUP(H1393,'[2]GIA HS'!A:D,4,0),IF(Y1393="Mỹ",VLOOKUP(H1393,'[2]giá mỹ từ 6.8.2025'!B:I,2,0),VLOOKUP(H1393,'[2]giá ngoài mỹ 6.8.2025 (final)'!B:BP,51,0)))))</f>
        <v>62</v>
      </c>
      <c r="L1393" s="106">
        <v>130.94999999999999</v>
      </c>
      <c r="M1393" s="106">
        <f t="shared" si="85"/>
        <v>68.949999999999989</v>
      </c>
      <c r="N1393" s="106">
        <v>130.94999999999999</v>
      </c>
      <c r="O1393" s="107">
        <v>192.5</v>
      </c>
      <c r="P1393" s="107">
        <v>25870</v>
      </c>
      <c r="Q1393" s="107">
        <v>4979975</v>
      </c>
      <c r="R1393" s="102"/>
      <c r="S1393" s="108"/>
      <c r="T1393" s="109" t="s">
        <v>30</v>
      </c>
      <c r="U1393" s="109"/>
      <c r="V1393" s="102"/>
      <c r="W1393" s="109"/>
      <c r="X1393" s="109"/>
      <c r="Y1393" s="110" t="s">
        <v>290</v>
      </c>
      <c r="Z1393" s="111" t="str">
        <f>MID(E1393,4,2)</f>
        <v>CA</v>
      </c>
    </row>
    <row r="1394" spans="1:26" s="111" customFormat="1" x14ac:dyDescent="0.2">
      <c r="A1394" s="101">
        <v>46254</v>
      </c>
      <c r="B1394" s="91" t="s">
        <v>1657</v>
      </c>
      <c r="C1394" s="102" t="s">
        <v>1658</v>
      </c>
      <c r="D1394" s="103" t="s">
        <v>26</v>
      </c>
      <c r="E1394" s="91" t="s">
        <v>1659</v>
      </c>
      <c r="F1394" s="91" t="s">
        <v>653</v>
      </c>
      <c r="G1394" s="91" t="s">
        <v>654</v>
      </c>
      <c r="H1394" s="104" t="str">
        <f t="shared" si="86"/>
        <v>F5171J20</v>
      </c>
      <c r="I1394" s="104"/>
      <c r="J1394" s="105">
        <v>1.47</v>
      </c>
      <c r="K1394" s="106">
        <f>IF(D1394="CAESARSTONE LTD",VLOOKUP(H1394,'[2]GIA CA'!G:H,2,0),IF(OR(D1394="STONE FACINGS LIMITED",D1394="NORDIA SA",D1394="INVICTUS STONE COUNTERTOPS INC",D1394="QUARTZTOP LLC"),VLOOKUP(H1394,'[2] Giá ngoài Mỹ - SI-GR'!$B$5:$AZ$84,51,0),IF(OR(D1394="HYUNDAI L&amp;C CANADA INC",D1394="Hyundai L&amp; C USA LLC"),VLOOKUP(H1394,'[2]GIA HS'!A:D,4,0),IF(Y1394="Mỹ",VLOOKUP(H1394,'[2]giá mỹ từ 6.8.2025'!B:I,2,0),VLOOKUP(H1394,'[2]giá ngoài mỹ 6.8.2025 (final)'!B:BP,51,0)))))</f>
        <v>62</v>
      </c>
      <c r="L1394" s="106">
        <v>130.94999999999999</v>
      </c>
      <c r="M1394" s="106">
        <f t="shared" si="85"/>
        <v>68.949999999999989</v>
      </c>
      <c r="N1394" s="106">
        <v>130.94999999999999</v>
      </c>
      <c r="O1394" s="107">
        <v>192.5</v>
      </c>
      <c r="P1394" s="107">
        <v>25870</v>
      </c>
      <c r="Q1394" s="107">
        <v>4979975</v>
      </c>
      <c r="R1394" s="102"/>
      <c r="S1394" s="108"/>
      <c r="T1394" s="109" t="s">
        <v>30</v>
      </c>
      <c r="U1394" s="109"/>
      <c r="V1394" s="102"/>
      <c r="W1394" s="109"/>
      <c r="X1394" s="109"/>
      <c r="Y1394" s="110" t="s">
        <v>290</v>
      </c>
      <c r="Z1394" s="111" t="str">
        <f>MID(E1394,4,2)</f>
        <v>CA</v>
      </c>
    </row>
    <row r="1395" spans="1:26" s="111" customFormat="1" x14ac:dyDescent="0.2">
      <c r="A1395" s="101">
        <v>46254</v>
      </c>
      <c r="B1395" s="91" t="s">
        <v>1657</v>
      </c>
      <c r="C1395" s="102" t="s">
        <v>1658</v>
      </c>
      <c r="D1395" s="103" t="s">
        <v>26</v>
      </c>
      <c r="E1395" s="91" t="s">
        <v>1659</v>
      </c>
      <c r="F1395" s="91" t="s">
        <v>1607</v>
      </c>
      <c r="G1395" s="91" t="s">
        <v>1608</v>
      </c>
      <c r="H1395" s="104" t="str">
        <f t="shared" si="86"/>
        <v>F5444J20</v>
      </c>
      <c r="I1395" s="104"/>
      <c r="J1395" s="105">
        <v>1.47</v>
      </c>
      <c r="K1395" s="106">
        <f>IF(D1395="CAESARSTONE LTD",VLOOKUP(H1395,'[2]GIA CA'!G:H,2,0),IF(OR(D1395="STONE FACINGS LIMITED",D1395="NORDIA SA",D1395="INVICTUS STONE COUNTERTOPS INC",D1395="QUARTZTOP LLC"),VLOOKUP(H1395,'[2] Giá ngoài Mỹ - SI-GR'!$B$5:$AZ$84,51,0),IF(OR(D1395="HYUNDAI L&amp;C CANADA INC",D1395="Hyundai L&amp; C USA LLC"),VLOOKUP(H1395,'[2]GIA HS'!A:D,4,0),IF(Y1395="Mỹ",VLOOKUP(H1395,'[2]giá mỹ từ 6.8.2025'!B:I,2,0),VLOOKUP(H1395,'[2]giá ngoài mỹ 6.8.2025 (final)'!B:BP,51,0)))))</f>
        <v>74</v>
      </c>
      <c r="L1395" s="106">
        <v>142.86000000000001</v>
      </c>
      <c r="M1395" s="106">
        <f t="shared" si="85"/>
        <v>68.860000000000014</v>
      </c>
      <c r="N1395" s="106">
        <v>142.86000000000001</v>
      </c>
      <c r="O1395" s="107">
        <v>210</v>
      </c>
      <c r="P1395" s="107">
        <v>25870</v>
      </c>
      <c r="Q1395" s="107">
        <v>5432700</v>
      </c>
      <c r="R1395" s="102"/>
      <c r="S1395" s="108"/>
      <c r="T1395" s="109" t="s">
        <v>30</v>
      </c>
      <c r="U1395" s="109"/>
      <c r="V1395" s="102"/>
      <c r="W1395" s="109"/>
      <c r="X1395" s="109"/>
      <c r="Y1395" s="110" t="s">
        <v>290</v>
      </c>
      <c r="Z1395" s="111" t="str">
        <f>MID(E1395,4,2)</f>
        <v>CA</v>
      </c>
    </row>
    <row r="1396" spans="1:26" s="111" customFormat="1" x14ac:dyDescent="0.2">
      <c r="A1396" s="101">
        <v>46254</v>
      </c>
      <c r="B1396" s="91" t="s">
        <v>1657</v>
      </c>
      <c r="C1396" s="102" t="s">
        <v>1658</v>
      </c>
      <c r="D1396" s="103" t="s">
        <v>26</v>
      </c>
      <c r="E1396" s="91" t="s">
        <v>1659</v>
      </c>
      <c r="F1396" s="91" t="s">
        <v>1343</v>
      </c>
      <c r="G1396" s="91" t="s">
        <v>1344</v>
      </c>
      <c r="H1396" s="104" t="str">
        <f t="shared" si="86"/>
        <v>F6134J20</v>
      </c>
      <c r="I1396" s="104"/>
      <c r="J1396" s="105">
        <v>479.16</v>
      </c>
      <c r="K1396" s="106">
        <f>IF(D1396="CAESARSTONE LTD",VLOOKUP(H1396,'[2]GIA CA'!G:H,2,0),IF(OR(D1396="STONE FACINGS LIMITED",D1396="NORDIA SA",D1396="INVICTUS STONE COUNTERTOPS INC",D1396="QUARTZTOP LLC"),VLOOKUP(H1396,'[2] Giá ngoài Mỹ - SI-GR'!$B$5:$AZ$84,51,0),IF(OR(D1396="HYUNDAI L&amp;C CANADA INC",D1396="Hyundai L&amp; C USA LLC"),VLOOKUP(H1396,'[2]GIA HS'!A:D,4,0),IF(Y1396="Mỹ",VLOOKUP(H1396,'[2]giá mỹ từ 6.8.2025'!B:I,2,0),VLOOKUP(H1396,'[2]giá ngoài mỹ 6.8.2025 (final)'!B:BP,51,0)))))</f>
        <v>62</v>
      </c>
      <c r="L1396" s="106">
        <v>65.099999999999994</v>
      </c>
      <c r="M1396" s="106">
        <f t="shared" si="85"/>
        <v>3.0999999999999943</v>
      </c>
      <c r="N1396" s="106">
        <v>65.099999999999994</v>
      </c>
      <c r="O1396" s="107">
        <v>31193.360000000001</v>
      </c>
      <c r="P1396" s="107">
        <v>25870</v>
      </c>
      <c r="Q1396" s="107">
        <v>806972223</v>
      </c>
      <c r="R1396" s="102" t="s">
        <v>30</v>
      </c>
      <c r="S1396" s="108"/>
      <c r="T1396" s="109"/>
      <c r="U1396" s="109"/>
      <c r="V1396" s="102"/>
      <c r="W1396" s="109"/>
      <c r="X1396" s="109"/>
      <c r="Y1396" s="110" t="s">
        <v>290</v>
      </c>
      <c r="Z1396" s="111" t="str">
        <f>MID(E1396,4,2)</f>
        <v>CA</v>
      </c>
    </row>
    <row r="1397" spans="1:26" s="111" customFormat="1" x14ac:dyDescent="0.2">
      <c r="A1397" s="101">
        <v>46254</v>
      </c>
      <c r="B1397" s="91" t="s">
        <v>1657</v>
      </c>
      <c r="C1397" s="102" t="s">
        <v>1658</v>
      </c>
      <c r="D1397" s="103" t="s">
        <v>26</v>
      </c>
      <c r="E1397" s="91" t="s">
        <v>1659</v>
      </c>
      <c r="F1397" s="91" t="s">
        <v>270</v>
      </c>
      <c r="G1397" s="91" t="s">
        <v>271</v>
      </c>
      <c r="H1397" s="104" t="str">
        <f t="shared" si="86"/>
        <v>F4044J20</v>
      </c>
      <c r="I1397" s="104"/>
      <c r="J1397" s="105">
        <v>479.16</v>
      </c>
      <c r="K1397" s="106">
        <f>+L1397</f>
        <v>63</v>
      </c>
      <c r="L1397" s="106">
        <v>63</v>
      </c>
      <c r="M1397" s="106">
        <f t="shared" si="85"/>
        <v>0</v>
      </c>
      <c r="N1397" s="106">
        <v>63</v>
      </c>
      <c r="O1397" s="107">
        <v>30187.52</v>
      </c>
      <c r="P1397" s="107">
        <v>25870</v>
      </c>
      <c r="Q1397" s="107">
        <v>780951142</v>
      </c>
      <c r="R1397" s="102" t="s">
        <v>30</v>
      </c>
      <c r="S1397" s="108"/>
      <c r="T1397" s="109"/>
      <c r="U1397" s="109"/>
      <c r="V1397" s="102"/>
      <c r="W1397" s="109"/>
      <c r="X1397" s="109"/>
      <c r="Y1397" s="110" t="s">
        <v>290</v>
      </c>
      <c r="Z1397" s="111" t="str">
        <f>MID(E1397,4,2)</f>
        <v>CA</v>
      </c>
    </row>
    <row r="1398" spans="1:26" s="111" customFormat="1" x14ac:dyDescent="0.2">
      <c r="A1398" s="101">
        <v>46254</v>
      </c>
      <c r="B1398" s="91" t="s">
        <v>1660</v>
      </c>
      <c r="C1398" s="102" t="s">
        <v>1661</v>
      </c>
      <c r="D1398" s="103" t="s">
        <v>26</v>
      </c>
      <c r="E1398" s="91" t="s">
        <v>1662</v>
      </c>
      <c r="F1398" s="91" t="s">
        <v>886</v>
      </c>
      <c r="G1398" s="91" t="s">
        <v>769</v>
      </c>
      <c r="H1398" s="104" t="str">
        <f t="shared" si="86"/>
        <v>F5113J20</v>
      </c>
      <c r="I1398" s="104"/>
      <c r="J1398" s="105">
        <v>239.58</v>
      </c>
      <c r="K1398" s="106">
        <f>IF(D1398="CAESARSTONE LTD",VLOOKUP(H1398,'[2]GIA CA'!G:H,2,0),IF(OR(D1398="STONE FACINGS LIMITED",D1398="NORDIA SA",D1398="INVICTUS STONE COUNTERTOPS INC",D1398="QUARTZTOP LLC"),VLOOKUP(H1398,'[2] Giá ngoài Mỹ - SI-GR'!$B$5:$AZ$84,51,0),IF(OR(D1398="HYUNDAI L&amp;C CANADA INC",D1398="Hyundai L&amp; C USA LLC"),VLOOKUP(H1398,'[2]GIA HS'!A:D,4,0),IF(Y1398="Mỹ",VLOOKUP(H1398,'[2]giá mỹ từ 6.8.2025'!B:I,2,0),VLOOKUP(H1398,'[2]giá ngoài mỹ 6.8.2025 (final)'!B:BP,51,0)))))</f>
        <v>62</v>
      </c>
      <c r="L1398" s="106">
        <v>65.099999999999994</v>
      </c>
      <c r="M1398" s="106">
        <f t="shared" si="85"/>
        <v>3.0999999999999943</v>
      </c>
      <c r="N1398" s="106">
        <v>65.099999999999994</v>
      </c>
      <c r="O1398" s="107">
        <v>15596.68</v>
      </c>
      <c r="P1398" s="107">
        <v>25870</v>
      </c>
      <c r="Q1398" s="107">
        <v>403486112</v>
      </c>
      <c r="R1398" s="102" t="s">
        <v>30</v>
      </c>
      <c r="S1398" s="108"/>
      <c r="T1398" s="109"/>
      <c r="U1398" s="109"/>
      <c r="V1398" s="102"/>
      <c r="W1398" s="109"/>
      <c r="X1398" s="109"/>
      <c r="Y1398" s="110" t="s">
        <v>290</v>
      </c>
      <c r="Z1398" s="111" t="str">
        <f>MID(E1398,4,2)</f>
        <v>CA</v>
      </c>
    </row>
    <row r="1399" spans="1:26" s="111" customFormat="1" x14ac:dyDescent="0.2">
      <c r="A1399" s="101">
        <v>46254</v>
      </c>
      <c r="B1399" s="91" t="s">
        <v>1660</v>
      </c>
      <c r="C1399" s="102" t="s">
        <v>1661</v>
      </c>
      <c r="D1399" s="103" t="s">
        <v>26</v>
      </c>
      <c r="E1399" s="91" t="s">
        <v>1662</v>
      </c>
      <c r="F1399" s="91" t="s">
        <v>887</v>
      </c>
      <c r="G1399" s="91" t="s">
        <v>888</v>
      </c>
      <c r="H1399" s="104" t="str">
        <f t="shared" si="86"/>
        <v>F5444J20</v>
      </c>
      <c r="I1399" s="104"/>
      <c r="J1399" s="105">
        <v>239.58</v>
      </c>
      <c r="K1399" s="106">
        <f>IF(D1399="CAESARSTONE LTD",VLOOKUP(H1399,'[2]GIA CA'!G:H,2,0),IF(OR(D1399="STONE FACINGS LIMITED",D1399="NORDIA SA",D1399="INVICTUS STONE COUNTERTOPS INC",D1399="QUARTZTOP LLC"),VLOOKUP(H1399,'[2] Giá ngoài Mỹ - SI-GR'!$B$5:$AZ$84,51,0),IF(OR(D1399="HYUNDAI L&amp;C CANADA INC",D1399="Hyundai L&amp; C USA LLC"),VLOOKUP(H1399,'[2]GIA HS'!A:D,4,0),IF(Y1399="Mỹ",VLOOKUP(H1399,'[2]giá mỹ từ 6.8.2025'!B:I,2,0),VLOOKUP(H1399,'[2]giá ngoài mỹ 6.8.2025 (final)'!B:BP,51,0)))))</f>
        <v>74</v>
      </c>
      <c r="L1399" s="106">
        <v>77.7</v>
      </c>
      <c r="M1399" s="106">
        <f t="shared" si="85"/>
        <v>3.7000000000000028</v>
      </c>
      <c r="N1399" s="106">
        <v>77.7</v>
      </c>
      <c r="O1399" s="107">
        <v>18615.52</v>
      </c>
      <c r="P1399" s="107">
        <v>25870</v>
      </c>
      <c r="Q1399" s="107">
        <v>481583502</v>
      </c>
      <c r="R1399" s="102" t="s">
        <v>30</v>
      </c>
      <c r="S1399" s="108"/>
      <c r="T1399" s="109"/>
      <c r="U1399" s="109"/>
      <c r="V1399" s="102"/>
      <c r="W1399" s="109"/>
      <c r="X1399" s="109"/>
      <c r="Y1399" s="110" t="s">
        <v>290</v>
      </c>
      <c r="Z1399" s="111" t="str">
        <f>MID(E1399,4,2)</f>
        <v>CA</v>
      </c>
    </row>
    <row r="1400" spans="1:26" s="111" customFormat="1" x14ac:dyDescent="0.2">
      <c r="A1400" s="101">
        <v>46254</v>
      </c>
      <c r="B1400" s="91" t="s">
        <v>1663</v>
      </c>
      <c r="C1400" s="102" t="s">
        <v>1664</v>
      </c>
      <c r="D1400" s="103" t="s">
        <v>26</v>
      </c>
      <c r="E1400" s="91" t="s">
        <v>1665</v>
      </c>
      <c r="F1400" s="91" t="s">
        <v>270</v>
      </c>
      <c r="G1400" s="91" t="s">
        <v>271</v>
      </c>
      <c r="H1400" s="104" t="str">
        <f t="shared" si="86"/>
        <v>F4044J20</v>
      </c>
      <c r="I1400" s="104"/>
      <c r="J1400" s="105">
        <v>206.91</v>
      </c>
      <c r="K1400" s="106">
        <f>+L1400</f>
        <v>63</v>
      </c>
      <c r="L1400" s="106">
        <v>63</v>
      </c>
      <c r="M1400" s="106">
        <f t="shared" si="85"/>
        <v>0</v>
      </c>
      <c r="N1400" s="106">
        <v>63</v>
      </c>
      <c r="O1400" s="107">
        <v>13035.52</v>
      </c>
      <c r="P1400" s="107">
        <v>25870</v>
      </c>
      <c r="Q1400" s="107">
        <v>337228902</v>
      </c>
      <c r="R1400" s="102" t="s">
        <v>30</v>
      </c>
      <c r="S1400" s="108"/>
      <c r="T1400" s="109"/>
      <c r="U1400" s="109"/>
      <c r="V1400" s="102"/>
      <c r="W1400" s="109"/>
      <c r="X1400" s="109"/>
      <c r="Y1400" s="110" t="s">
        <v>290</v>
      </c>
      <c r="Z1400" s="111" t="str">
        <f>MID(E1400,4,2)</f>
        <v>CA</v>
      </c>
    </row>
    <row r="1401" spans="1:26" s="111" customFormat="1" x14ac:dyDescent="0.2">
      <c r="A1401" s="101">
        <v>46254</v>
      </c>
      <c r="B1401" s="91" t="s">
        <v>1663</v>
      </c>
      <c r="C1401" s="102" t="s">
        <v>1664</v>
      </c>
      <c r="D1401" s="103" t="s">
        <v>26</v>
      </c>
      <c r="E1401" s="91" t="s">
        <v>1665</v>
      </c>
      <c r="F1401" s="91" t="s">
        <v>999</v>
      </c>
      <c r="G1401" s="91" t="s">
        <v>1000</v>
      </c>
      <c r="H1401" s="104" t="str">
        <f t="shared" si="86"/>
        <v>F5144J20</v>
      </c>
      <c r="I1401" s="104"/>
      <c r="J1401" s="105">
        <v>32.67</v>
      </c>
      <c r="K1401" s="106">
        <f>IF(D1401="CAESARSTONE LTD",VLOOKUP(H1401,'[2]GIA CA'!G:H,2,0),IF(OR(D1401="STONE FACINGS LIMITED",D1401="NORDIA SA",D1401="INVICTUS STONE COUNTERTOPS INC",D1401="QUARTZTOP LLC"),VLOOKUP(H1401,'[2] Giá ngoài Mỹ - SI-GR'!$B$5:$AZ$84,51,0),IF(OR(D1401="HYUNDAI L&amp;C CANADA INC",D1401="Hyundai L&amp; C USA LLC"),VLOOKUP(H1401,'[2]GIA HS'!A:D,4,0),IF(Y1401="Mỹ",VLOOKUP(H1401,'[2]giá mỹ từ 6.8.2025'!B:I,2,0),VLOOKUP(H1401,'[2]giá ngoài mỹ 6.8.2025 (final)'!B:BP,51,0)))))</f>
        <v>62</v>
      </c>
      <c r="L1401" s="106">
        <v>65.099999999999994</v>
      </c>
      <c r="M1401" s="106">
        <f t="shared" si="85"/>
        <v>3.0999999999999943</v>
      </c>
      <c r="N1401" s="106">
        <v>65.099999999999994</v>
      </c>
      <c r="O1401" s="107">
        <v>2126.8200000000002</v>
      </c>
      <c r="P1401" s="107">
        <v>25870</v>
      </c>
      <c r="Q1401" s="107">
        <v>55020833</v>
      </c>
      <c r="R1401" s="102" t="s">
        <v>30</v>
      </c>
      <c r="S1401" s="108"/>
      <c r="T1401" s="109"/>
      <c r="U1401" s="109"/>
      <c r="V1401" s="102"/>
      <c r="W1401" s="109"/>
      <c r="X1401" s="109"/>
      <c r="Y1401" s="110" t="s">
        <v>290</v>
      </c>
      <c r="Z1401" s="111" t="str">
        <f>MID(E1401,4,2)</f>
        <v>CA</v>
      </c>
    </row>
    <row r="1402" spans="1:26" s="111" customFormat="1" x14ac:dyDescent="0.2">
      <c r="A1402" s="101">
        <v>46254</v>
      </c>
      <c r="B1402" s="91" t="s">
        <v>1663</v>
      </c>
      <c r="C1402" s="102" t="s">
        <v>1664</v>
      </c>
      <c r="D1402" s="103" t="s">
        <v>26</v>
      </c>
      <c r="E1402" s="91" t="s">
        <v>1665</v>
      </c>
      <c r="F1402" s="91" t="s">
        <v>1592</v>
      </c>
      <c r="G1402" s="91" t="s">
        <v>1514</v>
      </c>
      <c r="H1402" s="104" t="str">
        <f t="shared" si="86"/>
        <v>F8251J20</v>
      </c>
      <c r="I1402" s="104"/>
      <c r="J1402" s="105">
        <v>92.56</v>
      </c>
      <c r="K1402" s="106">
        <f>IF(D1402="CAESARSTONE LTD",VLOOKUP(H1402,'[2]GIA CA'!G:H,2,0),IF(OR(D1402="STONE FACINGS LIMITED",D1402="NORDIA SA",D1402="INVICTUS STONE COUNTERTOPS INC",D1402="QUARTZTOP LLC"),VLOOKUP(H1402,'[2] Giá ngoài Mỹ - SI-GR'!$B$5:$AZ$84,51,0),IF(OR(D1402="HYUNDAI L&amp;C CANADA INC",D1402="Hyundai L&amp; C USA LLC"),VLOOKUP(H1402,'[2]GIA HS'!A:D,4,0),IF(Y1402="Mỹ",VLOOKUP(H1402,'[2]giá mỹ từ 6.8.2025'!B:I,2,0),VLOOKUP(H1402,'[2]giá ngoài mỹ 6.8.2025 (final)'!B:BP,51,0)))))</f>
        <v>74</v>
      </c>
      <c r="L1402" s="106">
        <v>77.7</v>
      </c>
      <c r="M1402" s="106">
        <f t="shared" si="85"/>
        <v>3.7000000000000028</v>
      </c>
      <c r="N1402" s="106">
        <v>77.7</v>
      </c>
      <c r="O1402" s="107">
        <v>7191.97</v>
      </c>
      <c r="P1402" s="107">
        <v>25870</v>
      </c>
      <c r="Q1402" s="107">
        <v>186056264</v>
      </c>
      <c r="R1402" s="102" t="s">
        <v>30</v>
      </c>
      <c r="S1402" s="108"/>
      <c r="T1402" s="109"/>
      <c r="U1402" s="109"/>
      <c r="V1402" s="102"/>
      <c r="W1402" s="109"/>
      <c r="X1402" s="109"/>
      <c r="Y1402" s="110" t="s">
        <v>290</v>
      </c>
      <c r="Z1402" s="111" t="str">
        <f>MID(E1402,4,2)</f>
        <v>CA</v>
      </c>
    </row>
    <row r="1403" spans="1:26" s="111" customFormat="1" x14ac:dyDescent="0.2">
      <c r="A1403" s="101">
        <v>46254</v>
      </c>
      <c r="B1403" s="91" t="s">
        <v>1663</v>
      </c>
      <c r="C1403" s="102" t="s">
        <v>1664</v>
      </c>
      <c r="D1403" s="103" t="s">
        <v>26</v>
      </c>
      <c r="E1403" s="91" t="s">
        <v>1665</v>
      </c>
      <c r="F1403" s="91" t="s">
        <v>1513</v>
      </c>
      <c r="G1403" s="91" t="s">
        <v>1514</v>
      </c>
      <c r="H1403" s="104" t="str">
        <f t="shared" si="86"/>
        <v>F8251J20</v>
      </c>
      <c r="I1403" s="104"/>
      <c r="J1403" s="105">
        <v>147.02000000000001</v>
      </c>
      <c r="K1403" s="106">
        <f>IF(D1403="CAESARSTONE LTD",VLOOKUP(H1403,'[2]GIA CA'!G:H,2,0),IF(OR(D1403="STONE FACINGS LIMITED",D1403="NORDIA SA",D1403="INVICTUS STONE COUNTERTOPS INC",D1403="QUARTZTOP LLC"),VLOOKUP(H1403,'[2] Giá ngoài Mỹ - SI-GR'!$B$5:$AZ$84,51,0),IF(OR(D1403="HYUNDAI L&amp;C CANADA INC",D1403="Hyundai L&amp; C USA LLC"),VLOOKUP(H1403,'[2]GIA HS'!A:D,4,0),IF(Y1403="Mỹ",VLOOKUP(H1403,'[2]giá mỹ từ 6.8.2025'!B:I,2,0),VLOOKUP(H1403,'[2]giá ngoài mỹ 6.8.2025 (final)'!B:BP,51,0)))))</f>
        <v>74</v>
      </c>
      <c r="L1403" s="106">
        <v>77.7</v>
      </c>
      <c r="M1403" s="106">
        <f t="shared" si="85"/>
        <v>3.7000000000000028</v>
      </c>
      <c r="N1403" s="106">
        <v>77.7</v>
      </c>
      <c r="O1403" s="107">
        <v>11423.55</v>
      </c>
      <c r="P1403" s="107">
        <v>25870</v>
      </c>
      <c r="Q1403" s="107">
        <v>295527239</v>
      </c>
      <c r="R1403" s="102" t="s">
        <v>30</v>
      </c>
      <c r="S1403" s="108"/>
      <c r="T1403" s="109"/>
      <c r="U1403" s="109"/>
      <c r="V1403" s="102"/>
      <c r="W1403" s="109"/>
      <c r="X1403" s="109"/>
      <c r="Y1403" s="110" t="s">
        <v>290</v>
      </c>
      <c r="Z1403" s="111" t="str">
        <f>MID(E1403,4,2)</f>
        <v>CA</v>
      </c>
    </row>
    <row r="1404" spans="1:26" s="111" customFormat="1" x14ac:dyDescent="0.2">
      <c r="A1404" s="101">
        <v>46254</v>
      </c>
      <c r="B1404" s="91" t="s">
        <v>1666</v>
      </c>
      <c r="C1404" s="102" t="s">
        <v>1667</v>
      </c>
      <c r="D1404" s="103" t="s">
        <v>26</v>
      </c>
      <c r="E1404" s="91" t="s">
        <v>1668</v>
      </c>
      <c r="F1404" s="91" t="s">
        <v>1082</v>
      </c>
      <c r="G1404" s="91" t="s">
        <v>1083</v>
      </c>
      <c r="H1404" s="104" t="str">
        <f t="shared" si="86"/>
        <v>F4001J20</v>
      </c>
      <c r="I1404" s="104"/>
      <c r="J1404" s="105">
        <v>1.47</v>
      </c>
      <c r="K1404" s="106">
        <f>IF(D1404="CAESARSTONE LTD",VLOOKUP(H1404,'[2]GIA CA'!G:H,2,0),IF(OR(D1404="STONE FACINGS LIMITED",D1404="NORDIA SA",D1404="INVICTUS STONE COUNTERTOPS INC",D1404="QUARTZTOP LLC"),VLOOKUP(H1404,'[2] Giá ngoài Mỹ - SI-GR'!$B$5:$AZ$84,51,0),IF(OR(D1404="HYUNDAI L&amp;C CANADA INC",D1404="Hyundai L&amp; C USA LLC"),VLOOKUP(H1404,'[2]GIA HS'!A:D,4,0),IF(Y1404="Mỹ",VLOOKUP(H1404,'[2]giá mỹ từ 6.8.2025'!B:I,2,0),VLOOKUP(H1404,'[2]giá ngoài mỹ 6.8.2025 (final)'!B:BP,51,0)))))</f>
        <v>58</v>
      </c>
      <c r="L1404" s="106">
        <v>95.24</v>
      </c>
      <c r="M1404" s="106">
        <f t="shared" si="85"/>
        <v>37.239999999999995</v>
      </c>
      <c r="N1404" s="106">
        <v>95.24</v>
      </c>
      <c r="O1404" s="107">
        <v>140</v>
      </c>
      <c r="P1404" s="107">
        <v>25870</v>
      </c>
      <c r="Q1404" s="107">
        <v>3621800</v>
      </c>
      <c r="R1404" s="102"/>
      <c r="S1404" s="108"/>
      <c r="T1404" s="109" t="s">
        <v>30</v>
      </c>
      <c r="U1404" s="109"/>
      <c r="V1404" s="102"/>
      <c r="W1404" s="109"/>
      <c r="X1404" s="109"/>
      <c r="Y1404" s="110" t="s">
        <v>290</v>
      </c>
      <c r="Z1404" s="111" t="str">
        <f>MID(E1404,4,2)</f>
        <v>CA</v>
      </c>
    </row>
    <row r="1405" spans="1:26" s="111" customFormat="1" x14ac:dyDescent="0.2">
      <c r="A1405" s="101">
        <v>46254</v>
      </c>
      <c r="B1405" s="91" t="s">
        <v>1666</v>
      </c>
      <c r="C1405" s="102" t="s">
        <v>1667</v>
      </c>
      <c r="D1405" s="103" t="s">
        <v>26</v>
      </c>
      <c r="E1405" s="91" t="s">
        <v>1668</v>
      </c>
      <c r="F1405" s="91" t="s">
        <v>1080</v>
      </c>
      <c r="G1405" s="91" t="s">
        <v>1081</v>
      </c>
      <c r="H1405" s="104" t="str">
        <f t="shared" si="86"/>
        <v>F4011J20</v>
      </c>
      <c r="I1405" s="104"/>
      <c r="J1405" s="105">
        <v>1.47</v>
      </c>
      <c r="K1405" s="106">
        <f t="shared" ref="K1405:K1406" si="87">+L1405</f>
        <v>95.24</v>
      </c>
      <c r="L1405" s="106">
        <v>95.24</v>
      </c>
      <c r="M1405" s="106">
        <f t="shared" si="85"/>
        <v>0</v>
      </c>
      <c r="N1405" s="106">
        <v>95.24</v>
      </c>
      <c r="O1405" s="107">
        <v>140</v>
      </c>
      <c r="P1405" s="107">
        <v>25870</v>
      </c>
      <c r="Q1405" s="107">
        <v>3621800</v>
      </c>
      <c r="R1405" s="102"/>
      <c r="S1405" s="108"/>
      <c r="T1405" s="109" t="s">
        <v>30</v>
      </c>
      <c r="U1405" s="109"/>
      <c r="V1405" s="102"/>
      <c r="W1405" s="109"/>
      <c r="X1405" s="109"/>
      <c r="Y1405" s="110" t="s">
        <v>290</v>
      </c>
      <c r="Z1405" s="111" t="str">
        <f>MID(E1405,4,2)</f>
        <v>CA</v>
      </c>
    </row>
    <row r="1406" spans="1:26" s="111" customFormat="1" x14ac:dyDescent="0.2">
      <c r="A1406" s="101">
        <v>46254</v>
      </c>
      <c r="B1406" s="91" t="s">
        <v>1666</v>
      </c>
      <c r="C1406" s="102" t="s">
        <v>1667</v>
      </c>
      <c r="D1406" s="103" t="s">
        <v>26</v>
      </c>
      <c r="E1406" s="91" t="s">
        <v>1668</v>
      </c>
      <c r="F1406" s="91" t="s">
        <v>1080</v>
      </c>
      <c r="G1406" s="91" t="s">
        <v>1081</v>
      </c>
      <c r="H1406" s="104" t="str">
        <f t="shared" si="86"/>
        <v>F4011J20</v>
      </c>
      <c r="I1406" s="104"/>
      <c r="J1406" s="105">
        <v>1.47</v>
      </c>
      <c r="K1406" s="106">
        <f t="shared" si="87"/>
        <v>95.24</v>
      </c>
      <c r="L1406" s="106">
        <v>95.24</v>
      </c>
      <c r="M1406" s="106">
        <f t="shared" si="85"/>
        <v>0</v>
      </c>
      <c r="N1406" s="106">
        <v>95.24</v>
      </c>
      <c r="O1406" s="107">
        <v>140</v>
      </c>
      <c r="P1406" s="107">
        <v>25870</v>
      </c>
      <c r="Q1406" s="107">
        <v>3621800</v>
      </c>
      <c r="R1406" s="102"/>
      <c r="S1406" s="108"/>
      <c r="T1406" s="109" t="s">
        <v>30</v>
      </c>
      <c r="U1406" s="109"/>
      <c r="V1406" s="102"/>
      <c r="W1406" s="109"/>
      <c r="X1406" s="109"/>
      <c r="Y1406" s="110" t="s">
        <v>290</v>
      </c>
      <c r="Z1406" s="111" t="str">
        <f>MID(E1406,4,2)</f>
        <v>CA</v>
      </c>
    </row>
    <row r="1407" spans="1:26" s="111" customFormat="1" x14ac:dyDescent="0.2">
      <c r="A1407" s="101">
        <v>46254</v>
      </c>
      <c r="B1407" s="91" t="s">
        <v>1666</v>
      </c>
      <c r="C1407" s="102" t="s">
        <v>1667</v>
      </c>
      <c r="D1407" s="103" t="s">
        <v>26</v>
      </c>
      <c r="E1407" s="91" t="s">
        <v>1668</v>
      </c>
      <c r="F1407" s="91" t="s">
        <v>649</v>
      </c>
      <c r="G1407" s="91" t="s">
        <v>650</v>
      </c>
      <c r="H1407" s="104" t="str">
        <f t="shared" si="86"/>
        <v>F5113J20</v>
      </c>
      <c r="I1407" s="104"/>
      <c r="J1407" s="105">
        <v>1.47</v>
      </c>
      <c r="K1407" s="106">
        <f>IF(D1407="CAESARSTONE LTD",VLOOKUP(H1407,'[2]GIA CA'!G:H,2,0),IF(OR(D1407="STONE FACINGS LIMITED",D1407="NORDIA SA",D1407="INVICTUS STONE COUNTERTOPS INC",D1407="QUARTZTOP LLC"),VLOOKUP(H1407,'[2] Giá ngoài Mỹ - SI-GR'!$B$5:$AZ$84,51,0),IF(OR(D1407="HYUNDAI L&amp;C CANADA INC",D1407="Hyundai L&amp; C USA LLC"),VLOOKUP(H1407,'[2]GIA HS'!A:D,4,0),IF(Y1407="Mỹ",VLOOKUP(H1407,'[2]giá mỹ từ 6.8.2025'!B:I,2,0),VLOOKUP(H1407,'[2]giá ngoài mỹ 6.8.2025 (final)'!B:BP,51,0)))))</f>
        <v>62</v>
      </c>
      <c r="L1407" s="106">
        <v>130.94999999999999</v>
      </c>
      <c r="M1407" s="106">
        <f t="shared" si="85"/>
        <v>68.949999999999989</v>
      </c>
      <c r="N1407" s="106">
        <v>130.94999999999999</v>
      </c>
      <c r="O1407" s="107">
        <v>192.5</v>
      </c>
      <c r="P1407" s="107">
        <v>25870</v>
      </c>
      <c r="Q1407" s="107">
        <v>4979975</v>
      </c>
      <c r="R1407" s="102"/>
      <c r="S1407" s="108"/>
      <c r="T1407" s="109" t="s">
        <v>30</v>
      </c>
      <c r="U1407" s="109"/>
      <c r="V1407" s="102"/>
      <c r="W1407" s="109"/>
      <c r="X1407" s="109"/>
      <c r="Y1407" s="110" t="s">
        <v>290</v>
      </c>
      <c r="Z1407" s="111" t="str">
        <f>MID(E1407,4,2)</f>
        <v>CA</v>
      </c>
    </row>
    <row r="1408" spans="1:26" s="111" customFormat="1" x14ac:dyDescent="0.2">
      <c r="A1408" s="101">
        <v>46254</v>
      </c>
      <c r="B1408" s="91" t="s">
        <v>1666</v>
      </c>
      <c r="C1408" s="102" t="s">
        <v>1667</v>
      </c>
      <c r="D1408" s="103" t="s">
        <v>26</v>
      </c>
      <c r="E1408" s="91" t="s">
        <v>1668</v>
      </c>
      <c r="F1408" s="91" t="s">
        <v>649</v>
      </c>
      <c r="G1408" s="91" t="s">
        <v>650</v>
      </c>
      <c r="H1408" s="104" t="str">
        <f t="shared" si="86"/>
        <v>F5113J20</v>
      </c>
      <c r="I1408" s="104"/>
      <c r="J1408" s="105">
        <v>1.47</v>
      </c>
      <c r="K1408" s="106">
        <f>IF(D1408="CAESARSTONE LTD",VLOOKUP(H1408,'[2]GIA CA'!G:H,2,0),IF(OR(D1408="STONE FACINGS LIMITED",D1408="NORDIA SA",D1408="INVICTUS STONE COUNTERTOPS INC",D1408="QUARTZTOP LLC"),VLOOKUP(H1408,'[2] Giá ngoài Mỹ - SI-GR'!$B$5:$AZ$84,51,0),IF(OR(D1408="HYUNDAI L&amp;C CANADA INC",D1408="Hyundai L&amp; C USA LLC"),VLOOKUP(H1408,'[2]GIA HS'!A:D,4,0),IF(Y1408="Mỹ",VLOOKUP(H1408,'[2]giá mỹ từ 6.8.2025'!B:I,2,0),VLOOKUP(H1408,'[2]giá ngoài mỹ 6.8.2025 (final)'!B:BP,51,0)))))</f>
        <v>62</v>
      </c>
      <c r="L1408" s="106">
        <v>130.94999999999999</v>
      </c>
      <c r="M1408" s="106">
        <f t="shared" si="85"/>
        <v>68.949999999999989</v>
      </c>
      <c r="N1408" s="106">
        <v>130.94999999999999</v>
      </c>
      <c r="O1408" s="107">
        <v>192.5</v>
      </c>
      <c r="P1408" s="107">
        <v>25870</v>
      </c>
      <c r="Q1408" s="107">
        <v>4979975</v>
      </c>
      <c r="R1408" s="102"/>
      <c r="S1408" s="108"/>
      <c r="T1408" s="109" t="s">
        <v>30</v>
      </c>
      <c r="U1408" s="109"/>
      <c r="V1408" s="102"/>
      <c r="W1408" s="109"/>
      <c r="X1408" s="109"/>
      <c r="Y1408" s="110" t="s">
        <v>290</v>
      </c>
      <c r="Z1408" s="111" t="str">
        <f>MID(E1408,4,2)</f>
        <v>CA</v>
      </c>
    </row>
    <row r="1409" spans="1:26" s="111" customFormat="1" x14ac:dyDescent="0.2">
      <c r="A1409" s="101">
        <v>46254</v>
      </c>
      <c r="B1409" s="91" t="s">
        <v>1666</v>
      </c>
      <c r="C1409" s="102" t="s">
        <v>1667</v>
      </c>
      <c r="D1409" s="103" t="s">
        <v>26</v>
      </c>
      <c r="E1409" s="91" t="s">
        <v>1668</v>
      </c>
      <c r="F1409" s="91" t="s">
        <v>310</v>
      </c>
      <c r="G1409" s="91" t="s">
        <v>311</v>
      </c>
      <c r="H1409" s="104" t="str">
        <f t="shared" si="86"/>
        <v>F5441J20</v>
      </c>
      <c r="I1409" s="104"/>
      <c r="J1409" s="105">
        <v>1.47</v>
      </c>
      <c r="K1409" s="106">
        <f>IF(D1409="CAESARSTONE LTD",VLOOKUP(H1409,'[2]GIA CA'!G:H,2,0),IF(OR(D1409="STONE FACINGS LIMITED",D1409="NORDIA SA",D1409="INVICTUS STONE COUNTERTOPS INC",D1409="QUARTZTOP LLC"),VLOOKUP(H1409,'[2] Giá ngoài Mỹ - SI-GR'!$B$5:$AZ$84,51,0),IF(OR(D1409="HYUNDAI L&amp;C CANADA INC",D1409="Hyundai L&amp; C USA LLC"),VLOOKUP(H1409,'[2]GIA HS'!A:D,4,0),IF(Y1409="Mỹ",VLOOKUP(H1409,'[2]giá mỹ từ 6.8.2025'!B:I,2,0),VLOOKUP(H1409,'[2]giá ngoài mỹ 6.8.2025 (final)'!B:BP,51,0)))))</f>
        <v>74</v>
      </c>
      <c r="L1409" s="106">
        <v>142.86000000000001</v>
      </c>
      <c r="M1409" s="106">
        <f t="shared" si="85"/>
        <v>68.860000000000014</v>
      </c>
      <c r="N1409" s="106">
        <v>142.86000000000001</v>
      </c>
      <c r="O1409" s="107">
        <v>210</v>
      </c>
      <c r="P1409" s="107">
        <v>25870</v>
      </c>
      <c r="Q1409" s="107">
        <v>5432700</v>
      </c>
      <c r="R1409" s="102"/>
      <c r="S1409" s="108"/>
      <c r="T1409" s="109" t="s">
        <v>30</v>
      </c>
      <c r="U1409" s="109"/>
      <c r="V1409" s="102"/>
      <c r="W1409" s="109"/>
      <c r="X1409" s="109"/>
      <c r="Y1409" s="110" t="s">
        <v>290</v>
      </c>
      <c r="Z1409" s="111" t="str">
        <f>MID(E1409,4,2)</f>
        <v>CA</v>
      </c>
    </row>
    <row r="1410" spans="1:26" s="111" customFormat="1" x14ac:dyDescent="0.2">
      <c r="A1410" s="101">
        <v>46254</v>
      </c>
      <c r="B1410" s="91" t="s">
        <v>1666</v>
      </c>
      <c r="C1410" s="102" t="s">
        <v>1667</v>
      </c>
      <c r="D1410" s="103" t="s">
        <v>26</v>
      </c>
      <c r="E1410" s="91" t="s">
        <v>1668</v>
      </c>
      <c r="F1410" s="91" t="s">
        <v>655</v>
      </c>
      <c r="G1410" s="91" t="s">
        <v>656</v>
      </c>
      <c r="H1410" s="104" t="str">
        <f t="shared" si="86"/>
        <v>F6134J20</v>
      </c>
      <c r="I1410" s="104"/>
      <c r="J1410" s="105">
        <v>1.47</v>
      </c>
      <c r="K1410" s="106">
        <f>IF(D1410="CAESARSTONE LTD",VLOOKUP(H1410,'[2]GIA CA'!G:H,2,0),IF(OR(D1410="STONE FACINGS LIMITED",D1410="NORDIA SA",D1410="INVICTUS STONE COUNTERTOPS INC",D1410="QUARTZTOP LLC"),VLOOKUP(H1410,'[2] Giá ngoài Mỹ - SI-GR'!$B$5:$AZ$84,51,0),IF(OR(D1410="HYUNDAI L&amp;C CANADA INC",D1410="Hyundai L&amp; C USA LLC"),VLOOKUP(H1410,'[2]GIA HS'!A:D,4,0),IF(Y1410="Mỹ",VLOOKUP(H1410,'[2]giá mỹ từ 6.8.2025'!B:I,2,0),VLOOKUP(H1410,'[2]giá ngoài mỹ 6.8.2025 (final)'!B:BP,51,0)))))</f>
        <v>62</v>
      </c>
      <c r="L1410" s="106">
        <v>95.24</v>
      </c>
      <c r="M1410" s="106">
        <f t="shared" si="85"/>
        <v>33.239999999999995</v>
      </c>
      <c r="N1410" s="106">
        <v>95.24</v>
      </c>
      <c r="O1410" s="107">
        <v>140</v>
      </c>
      <c r="P1410" s="107">
        <v>25870</v>
      </c>
      <c r="Q1410" s="107">
        <v>3621800</v>
      </c>
      <c r="R1410" s="102"/>
      <c r="S1410" s="108"/>
      <c r="T1410" s="109" t="s">
        <v>30</v>
      </c>
      <c r="U1410" s="109"/>
      <c r="V1410" s="102"/>
      <c r="W1410" s="109"/>
      <c r="X1410" s="109"/>
      <c r="Y1410" s="110" t="s">
        <v>290</v>
      </c>
      <c r="Z1410" s="111" t="str">
        <f>MID(E1410,4,2)</f>
        <v>CA</v>
      </c>
    </row>
    <row r="1411" spans="1:26" s="111" customFormat="1" x14ac:dyDescent="0.2">
      <c r="A1411" s="101">
        <v>46254</v>
      </c>
      <c r="B1411" s="91" t="s">
        <v>1666</v>
      </c>
      <c r="C1411" s="102" t="s">
        <v>1667</v>
      </c>
      <c r="D1411" s="103" t="s">
        <v>26</v>
      </c>
      <c r="E1411" s="91" t="s">
        <v>1668</v>
      </c>
      <c r="F1411" s="91" t="s">
        <v>655</v>
      </c>
      <c r="G1411" s="91" t="s">
        <v>656</v>
      </c>
      <c r="H1411" s="104" t="str">
        <f t="shared" si="86"/>
        <v>F6134J20</v>
      </c>
      <c r="I1411" s="104"/>
      <c r="J1411" s="105">
        <v>1.47</v>
      </c>
      <c r="K1411" s="106">
        <f>IF(D1411="CAESARSTONE LTD",VLOOKUP(H1411,'[2]GIA CA'!G:H,2,0),IF(OR(D1411="STONE FACINGS LIMITED",D1411="NORDIA SA",D1411="INVICTUS STONE COUNTERTOPS INC",D1411="QUARTZTOP LLC"),VLOOKUP(H1411,'[2] Giá ngoài Mỹ - SI-GR'!$B$5:$AZ$84,51,0),IF(OR(D1411="HYUNDAI L&amp;C CANADA INC",D1411="Hyundai L&amp; C USA LLC"),VLOOKUP(H1411,'[2]GIA HS'!A:D,4,0),IF(Y1411="Mỹ",VLOOKUP(H1411,'[2]giá mỹ từ 6.8.2025'!B:I,2,0),VLOOKUP(H1411,'[2]giá ngoài mỹ 6.8.2025 (final)'!B:BP,51,0)))))</f>
        <v>62</v>
      </c>
      <c r="L1411" s="106">
        <v>95.24</v>
      </c>
      <c r="M1411" s="106">
        <f t="shared" si="85"/>
        <v>33.239999999999995</v>
      </c>
      <c r="N1411" s="106">
        <v>95.24</v>
      </c>
      <c r="O1411" s="107">
        <v>140</v>
      </c>
      <c r="P1411" s="107">
        <v>25870</v>
      </c>
      <c r="Q1411" s="107">
        <v>3621800</v>
      </c>
      <c r="R1411" s="102"/>
      <c r="S1411" s="108"/>
      <c r="T1411" s="109" t="s">
        <v>30</v>
      </c>
      <c r="U1411" s="109"/>
      <c r="V1411" s="102"/>
      <c r="W1411" s="109"/>
      <c r="X1411" s="109"/>
      <c r="Y1411" s="110" t="s">
        <v>290</v>
      </c>
      <c r="Z1411" s="111" t="str">
        <f>MID(E1411,4,2)</f>
        <v>CA</v>
      </c>
    </row>
    <row r="1412" spans="1:26" s="111" customFormat="1" x14ac:dyDescent="0.2">
      <c r="A1412" s="101">
        <v>46254</v>
      </c>
      <c r="B1412" s="91" t="s">
        <v>1666</v>
      </c>
      <c r="C1412" s="102" t="s">
        <v>1667</v>
      </c>
      <c r="D1412" s="103" t="s">
        <v>26</v>
      </c>
      <c r="E1412" s="91" t="s">
        <v>1668</v>
      </c>
      <c r="F1412" s="91" t="s">
        <v>1669</v>
      </c>
      <c r="G1412" s="91" t="s">
        <v>1670</v>
      </c>
      <c r="H1412" s="104" t="str">
        <f t="shared" si="86"/>
        <v>F4011J20</v>
      </c>
      <c r="I1412" s="104"/>
      <c r="J1412" s="105">
        <v>1.25</v>
      </c>
      <c r="K1412" s="106">
        <f>+L1412</f>
        <v>94.72</v>
      </c>
      <c r="L1412" s="106">
        <v>94.72</v>
      </c>
      <c r="M1412" s="106">
        <f t="shared" si="85"/>
        <v>0</v>
      </c>
      <c r="N1412" s="106">
        <v>94.72</v>
      </c>
      <c r="O1412" s="107">
        <v>118.4</v>
      </c>
      <c r="P1412" s="107">
        <v>25870</v>
      </c>
      <c r="Q1412" s="107">
        <v>3063008</v>
      </c>
      <c r="R1412" s="102"/>
      <c r="S1412" s="108"/>
      <c r="T1412" s="109" t="s">
        <v>30</v>
      </c>
      <c r="U1412" s="109"/>
      <c r="V1412" s="102"/>
      <c r="W1412" s="109"/>
      <c r="X1412" s="109"/>
      <c r="Y1412" s="110" t="s">
        <v>290</v>
      </c>
      <c r="Z1412" s="111" t="str">
        <f>MID(E1412,4,2)</f>
        <v>CA</v>
      </c>
    </row>
    <row r="1413" spans="1:26" s="111" customFormat="1" x14ac:dyDescent="0.2">
      <c r="A1413" s="101">
        <v>46254</v>
      </c>
      <c r="B1413" s="91" t="s">
        <v>1666</v>
      </c>
      <c r="C1413" s="102" t="s">
        <v>1667</v>
      </c>
      <c r="D1413" s="103" t="s">
        <v>26</v>
      </c>
      <c r="E1413" s="91" t="s">
        <v>1668</v>
      </c>
      <c r="F1413" s="91" t="s">
        <v>1605</v>
      </c>
      <c r="G1413" s="91" t="s">
        <v>1606</v>
      </c>
      <c r="H1413" s="104" t="str">
        <f t="shared" si="86"/>
        <v>F5133J20</v>
      </c>
      <c r="I1413" s="104"/>
      <c r="J1413" s="105">
        <v>1.47</v>
      </c>
      <c r="K1413" s="106">
        <f>IF(D1413="CAESARSTONE LTD",VLOOKUP(H1413,'[2]GIA CA'!G:H,2,0),IF(OR(D1413="STONE FACINGS LIMITED",D1413="NORDIA SA",D1413="INVICTUS STONE COUNTERTOPS INC",D1413="QUARTZTOP LLC"),VLOOKUP(H1413,'[2] Giá ngoài Mỹ - SI-GR'!$B$5:$AZ$84,51,0),IF(OR(D1413="HYUNDAI L&amp;C CANADA INC",D1413="Hyundai L&amp; C USA LLC"),VLOOKUP(H1413,'[2]GIA HS'!A:D,4,0),IF(Y1413="Mỹ",VLOOKUP(H1413,'[2]giá mỹ từ 6.8.2025'!B:I,2,0),VLOOKUP(H1413,'[2]giá ngoài mỹ 6.8.2025 (final)'!B:BP,51,0)))))</f>
        <v>62</v>
      </c>
      <c r="L1413" s="106">
        <v>95.24</v>
      </c>
      <c r="M1413" s="106">
        <f t="shared" si="85"/>
        <v>33.239999999999995</v>
      </c>
      <c r="N1413" s="106">
        <v>95.24</v>
      </c>
      <c r="O1413" s="107">
        <v>140</v>
      </c>
      <c r="P1413" s="107">
        <v>25870</v>
      </c>
      <c r="Q1413" s="107">
        <v>3621800</v>
      </c>
      <c r="R1413" s="102"/>
      <c r="S1413" s="108"/>
      <c r="T1413" s="109" t="s">
        <v>30</v>
      </c>
      <c r="U1413" s="109"/>
      <c r="V1413" s="102"/>
      <c r="W1413" s="109"/>
      <c r="X1413" s="109"/>
      <c r="Y1413" s="110" t="s">
        <v>290</v>
      </c>
      <c r="Z1413" s="111" t="str">
        <f>MID(E1413,4,2)</f>
        <v>CA</v>
      </c>
    </row>
    <row r="1414" spans="1:26" s="111" customFormat="1" x14ac:dyDescent="0.2">
      <c r="A1414" s="101">
        <v>46254</v>
      </c>
      <c r="B1414" s="91" t="s">
        <v>1666</v>
      </c>
      <c r="C1414" s="102" t="s">
        <v>1667</v>
      </c>
      <c r="D1414" s="103" t="s">
        <v>26</v>
      </c>
      <c r="E1414" s="91" t="s">
        <v>1668</v>
      </c>
      <c r="F1414" s="91" t="s">
        <v>1605</v>
      </c>
      <c r="G1414" s="91" t="s">
        <v>1606</v>
      </c>
      <c r="H1414" s="104" t="str">
        <f t="shared" si="86"/>
        <v>F5133J20</v>
      </c>
      <c r="I1414" s="104"/>
      <c r="J1414" s="105">
        <v>1.47</v>
      </c>
      <c r="K1414" s="106">
        <f>IF(D1414="CAESARSTONE LTD",VLOOKUP(H1414,'[2]GIA CA'!G:H,2,0),IF(OR(D1414="STONE FACINGS LIMITED",D1414="NORDIA SA",D1414="INVICTUS STONE COUNTERTOPS INC",D1414="QUARTZTOP LLC"),VLOOKUP(H1414,'[2] Giá ngoài Mỹ - SI-GR'!$B$5:$AZ$84,51,0),IF(OR(D1414="HYUNDAI L&amp;C CANADA INC",D1414="Hyundai L&amp; C USA LLC"),VLOOKUP(H1414,'[2]GIA HS'!A:D,4,0),IF(Y1414="Mỹ",VLOOKUP(H1414,'[2]giá mỹ từ 6.8.2025'!B:I,2,0),VLOOKUP(H1414,'[2]giá ngoài mỹ 6.8.2025 (final)'!B:BP,51,0)))))</f>
        <v>62</v>
      </c>
      <c r="L1414" s="106">
        <v>95.24</v>
      </c>
      <c r="M1414" s="106">
        <f t="shared" si="85"/>
        <v>33.239999999999995</v>
      </c>
      <c r="N1414" s="106">
        <v>95.24</v>
      </c>
      <c r="O1414" s="107">
        <v>140</v>
      </c>
      <c r="P1414" s="107">
        <v>25870</v>
      </c>
      <c r="Q1414" s="107">
        <v>3621800</v>
      </c>
      <c r="R1414" s="102"/>
      <c r="S1414" s="108"/>
      <c r="T1414" s="109" t="s">
        <v>30</v>
      </c>
      <c r="U1414" s="109"/>
      <c r="V1414" s="102"/>
      <c r="W1414" s="109"/>
      <c r="X1414" s="109"/>
      <c r="Y1414" s="110" t="s">
        <v>290</v>
      </c>
      <c r="Z1414" s="111" t="str">
        <f>MID(E1414,4,2)</f>
        <v>CA</v>
      </c>
    </row>
    <row r="1415" spans="1:26" s="111" customFormat="1" x14ac:dyDescent="0.2">
      <c r="A1415" s="101">
        <v>46254</v>
      </c>
      <c r="B1415" s="91" t="s">
        <v>1666</v>
      </c>
      <c r="C1415" s="102" t="s">
        <v>1667</v>
      </c>
      <c r="D1415" s="103" t="s">
        <v>26</v>
      </c>
      <c r="E1415" s="91" t="s">
        <v>1668</v>
      </c>
      <c r="F1415" s="91" t="s">
        <v>1605</v>
      </c>
      <c r="G1415" s="91" t="s">
        <v>1606</v>
      </c>
      <c r="H1415" s="104" t="str">
        <f t="shared" si="86"/>
        <v>F5133J20</v>
      </c>
      <c r="I1415" s="104"/>
      <c r="J1415" s="105">
        <v>2.94</v>
      </c>
      <c r="K1415" s="106">
        <f>IF(D1415="CAESARSTONE LTD",VLOOKUP(H1415,'[2]GIA CA'!G:H,2,0),IF(OR(D1415="STONE FACINGS LIMITED",D1415="NORDIA SA",D1415="INVICTUS STONE COUNTERTOPS INC",D1415="QUARTZTOP LLC"),VLOOKUP(H1415,'[2] Giá ngoài Mỹ - SI-GR'!$B$5:$AZ$84,51,0),IF(OR(D1415="HYUNDAI L&amp;C CANADA INC",D1415="Hyundai L&amp; C USA LLC"),VLOOKUP(H1415,'[2]GIA HS'!A:D,4,0),IF(Y1415="Mỹ",VLOOKUP(H1415,'[2]giá mỹ từ 6.8.2025'!B:I,2,0),VLOOKUP(H1415,'[2]giá ngoài mỹ 6.8.2025 (final)'!B:BP,51,0)))))</f>
        <v>62</v>
      </c>
      <c r="L1415" s="106">
        <v>95.24</v>
      </c>
      <c r="M1415" s="106">
        <f t="shared" si="85"/>
        <v>33.239999999999995</v>
      </c>
      <c r="N1415" s="106">
        <v>95.24</v>
      </c>
      <c r="O1415" s="107">
        <v>280</v>
      </c>
      <c r="P1415" s="107">
        <v>25870</v>
      </c>
      <c r="Q1415" s="107">
        <v>7243600</v>
      </c>
      <c r="R1415" s="102"/>
      <c r="S1415" s="108"/>
      <c r="T1415" s="109" t="s">
        <v>30</v>
      </c>
      <c r="U1415" s="109"/>
      <c r="V1415" s="102"/>
      <c r="W1415" s="109"/>
      <c r="X1415" s="109"/>
      <c r="Y1415" s="110" t="s">
        <v>290</v>
      </c>
      <c r="Z1415" s="111" t="str">
        <f>MID(E1415,4,2)</f>
        <v>CA</v>
      </c>
    </row>
    <row r="1416" spans="1:26" s="111" customFormat="1" x14ac:dyDescent="0.2">
      <c r="A1416" s="101">
        <v>46254</v>
      </c>
      <c r="B1416" s="91" t="s">
        <v>1666</v>
      </c>
      <c r="C1416" s="102" t="s">
        <v>1667</v>
      </c>
      <c r="D1416" s="103" t="s">
        <v>26</v>
      </c>
      <c r="E1416" s="91" t="s">
        <v>1668</v>
      </c>
      <c r="F1416" s="91" t="s">
        <v>651</v>
      </c>
      <c r="G1416" s="91" t="s">
        <v>652</v>
      </c>
      <c r="H1416" s="104" t="str">
        <f t="shared" si="86"/>
        <v>F5144J20</v>
      </c>
      <c r="I1416" s="104"/>
      <c r="J1416" s="105">
        <v>1.47</v>
      </c>
      <c r="K1416" s="106">
        <f>IF(D1416="CAESARSTONE LTD",VLOOKUP(H1416,'[2]GIA CA'!G:H,2,0),IF(OR(D1416="STONE FACINGS LIMITED",D1416="NORDIA SA",D1416="INVICTUS STONE COUNTERTOPS INC",D1416="QUARTZTOP LLC"),VLOOKUP(H1416,'[2] Giá ngoài Mỹ - SI-GR'!$B$5:$AZ$84,51,0),IF(OR(D1416="HYUNDAI L&amp;C CANADA INC",D1416="Hyundai L&amp; C USA LLC"),VLOOKUP(H1416,'[2]GIA HS'!A:D,4,0),IF(Y1416="Mỹ",VLOOKUP(H1416,'[2]giá mỹ từ 6.8.2025'!B:I,2,0),VLOOKUP(H1416,'[2]giá ngoài mỹ 6.8.2025 (final)'!B:BP,51,0)))))</f>
        <v>62</v>
      </c>
      <c r="L1416" s="106">
        <v>95.24</v>
      </c>
      <c r="M1416" s="106">
        <f t="shared" si="85"/>
        <v>33.239999999999995</v>
      </c>
      <c r="N1416" s="106">
        <v>95.24</v>
      </c>
      <c r="O1416" s="107">
        <v>140</v>
      </c>
      <c r="P1416" s="107">
        <v>25870</v>
      </c>
      <c r="Q1416" s="107">
        <v>3621800</v>
      </c>
      <c r="R1416" s="102"/>
      <c r="S1416" s="108"/>
      <c r="T1416" s="109" t="s">
        <v>30</v>
      </c>
      <c r="U1416" s="109"/>
      <c r="V1416" s="102"/>
      <c r="W1416" s="109"/>
      <c r="X1416" s="109"/>
      <c r="Y1416" s="110" t="s">
        <v>290</v>
      </c>
      <c r="Z1416" s="111" t="str">
        <f>MID(E1416,4,2)</f>
        <v>CA</v>
      </c>
    </row>
    <row r="1417" spans="1:26" s="111" customFormat="1" x14ac:dyDescent="0.2">
      <c r="A1417" s="101">
        <v>46254</v>
      </c>
      <c r="B1417" s="91" t="s">
        <v>1666</v>
      </c>
      <c r="C1417" s="102" t="s">
        <v>1667</v>
      </c>
      <c r="D1417" s="103" t="s">
        <v>26</v>
      </c>
      <c r="E1417" s="91" t="s">
        <v>1668</v>
      </c>
      <c r="F1417" s="91" t="s">
        <v>651</v>
      </c>
      <c r="G1417" s="91" t="s">
        <v>652</v>
      </c>
      <c r="H1417" s="104" t="str">
        <f t="shared" si="86"/>
        <v>F5144J20</v>
      </c>
      <c r="I1417" s="104"/>
      <c r="J1417" s="105">
        <v>2.94</v>
      </c>
      <c r="K1417" s="106">
        <f>IF(D1417="CAESARSTONE LTD",VLOOKUP(H1417,'[2]GIA CA'!G:H,2,0),IF(OR(D1417="STONE FACINGS LIMITED",D1417="NORDIA SA",D1417="INVICTUS STONE COUNTERTOPS INC",D1417="QUARTZTOP LLC"),VLOOKUP(H1417,'[2] Giá ngoài Mỹ - SI-GR'!$B$5:$AZ$84,51,0),IF(OR(D1417="HYUNDAI L&amp;C CANADA INC",D1417="Hyundai L&amp; C USA LLC"),VLOOKUP(H1417,'[2]GIA HS'!A:D,4,0),IF(Y1417="Mỹ",VLOOKUP(H1417,'[2]giá mỹ từ 6.8.2025'!B:I,2,0),VLOOKUP(H1417,'[2]giá ngoài mỹ 6.8.2025 (final)'!B:BP,51,0)))))</f>
        <v>62</v>
      </c>
      <c r="L1417" s="106">
        <v>95.24</v>
      </c>
      <c r="M1417" s="106">
        <f t="shared" si="85"/>
        <v>33.239999999999995</v>
      </c>
      <c r="N1417" s="106">
        <v>95.24</v>
      </c>
      <c r="O1417" s="107">
        <v>280</v>
      </c>
      <c r="P1417" s="107">
        <v>25870</v>
      </c>
      <c r="Q1417" s="107">
        <v>7243600</v>
      </c>
      <c r="R1417" s="102"/>
      <c r="S1417" s="108"/>
      <c r="T1417" s="109" t="s">
        <v>30</v>
      </c>
      <c r="U1417" s="109"/>
      <c r="V1417" s="102"/>
      <c r="W1417" s="109"/>
      <c r="X1417" s="109"/>
      <c r="Y1417" s="110" t="s">
        <v>290</v>
      </c>
      <c r="Z1417" s="111" t="str">
        <f>MID(E1417,4,2)</f>
        <v>CA</v>
      </c>
    </row>
    <row r="1418" spans="1:26" s="111" customFormat="1" x14ac:dyDescent="0.2">
      <c r="A1418" s="101">
        <v>46254</v>
      </c>
      <c r="B1418" s="91" t="s">
        <v>1666</v>
      </c>
      <c r="C1418" s="102" t="s">
        <v>1667</v>
      </c>
      <c r="D1418" s="103" t="s">
        <v>26</v>
      </c>
      <c r="E1418" s="91" t="s">
        <v>1668</v>
      </c>
      <c r="F1418" s="91" t="s">
        <v>651</v>
      </c>
      <c r="G1418" s="91" t="s">
        <v>652</v>
      </c>
      <c r="H1418" s="104" t="str">
        <f t="shared" si="86"/>
        <v>F5144J20</v>
      </c>
      <c r="I1418" s="104"/>
      <c r="J1418" s="105">
        <v>1.47</v>
      </c>
      <c r="K1418" s="106">
        <f>IF(D1418="CAESARSTONE LTD",VLOOKUP(H1418,'[2]GIA CA'!G:H,2,0),IF(OR(D1418="STONE FACINGS LIMITED",D1418="NORDIA SA",D1418="INVICTUS STONE COUNTERTOPS INC",D1418="QUARTZTOP LLC"),VLOOKUP(H1418,'[2] Giá ngoài Mỹ - SI-GR'!$B$5:$AZ$84,51,0),IF(OR(D1418="HYUNDAI L&amp;C CANADA INC",D1418="Hyundai L&amp; C USA LLC"),VLOOKUP(H1418,'[2]GIA HS'!A:D,4,0),IF(Y1418="Mỹ",VLOOKUP(H1418,'[2]giá mỹ từ 6.8.2025'!B:I,2,0),VLOOKUP(H1418,'[2]giá ngoài mỹ 6.8.2025 (final)'!B:BP,51,0)))))</f>
        <v>62</v>
      </c>
      <c r="L1418" s="106">
        <v>95.24</v>
      </c>
      <c r="M1418" s="106">
        <f t="shared" si="85"/>
        <v>33.239999999999995</v>
      </c>
      <c r="N1418" s="106">
        <v>95.24</v>
      </c>
      <c r="O1418" s="107">
        <v>140</v>
      </c>
      <c r="P1418" s="107">
        <v>25870</v>
      </c>
      <c r="Q1418" s="107">
        <v>3621800</v>
      </c>
      <c r="R1418" s="102"/>
      <c r="S1418" s="108"/>
      <c r="T1418" s="109" t="s">
        <v>30</v>
      </c>
      <c r="U1418" s="109"/>
      <c r="V1418" s="102"/>
      <c r="W1418" s="109"/>
      <c r="X1418" s="109"/>
      <c r="Y1418" s="110" t="s">
        <v>290</v>
      </c>
      <c r="Z1418" s="111" t="str">
        <f>MID(E1418,4,2)</f>
        <v>CA</v>
      </c>
    </row>
    <row r="1419" spans="1:26" s="111" customFormat="1" x14ac:dyDescent="0.2">
      <c r="A1419" s="101">
        <v>46254</v>
      </c>
      <c r="B1419" s="91" t="s">
        <v>1666</v>
      </c>
      <c r="C1419" s="102" t="s">
        <v>1667</v>
      </c>
      <c r="D1419" s="103" t="s">
        <v>26</v>
      </c>
      <c r="E1419" s="91" t="s">
        <v>1668</v>
      </c>
      <c r="F1419" s="91" t="s">
        <v>653</v>
      </c>
      <c r="G1419" s="91" t="s">
        <v>654</v>
      </c>
      <c r="H1419" s="104" t="str">
        <f t="shared" si="86"/>
        <v>F5171J20</v>
      </c>
      <c r="I1419" s="104"/>
      <c r="J1419" s="105">
        <v>1.47</v>
      </c>
      <c r="K1419" s="106">
        <f>IF(D1419="CAESARSTONE LTD",VLOOKUP(H1419,'[2]GIA CA'!G:H,2,0),IF(OR(D1419="STONE FACINGS LIMITED",D1419="NORDIA SA",D1419="INVICTUS STONE COUNTERTOPS INC",D1419="QUARTZTOP LLC"),VLOOKUP(H1419,'[2] Giá ngoài Mỹ - SI-GR'!$B$5:$AZ$84,51,0),IF(OR(D1419="HYUNDAI L&amp;C CANADA INC",D1419="Hyundai L&amp; C USA LLC"),VLOOKUP(H1419,'[2]GIA HS'!A:D,4,0),IF(Y1419="Mỹ",VLOOKUP(H1419,'[2]giá mỹ từ 6.8.2025'!B:I,2,0),VLOOKUP(H1419,'[2]giá ngoài mỹ 6.8.2025 (final)'!B:BP,51,0)))))</f>
        <v>62</v>
      </c>
      <c r="L1419" s="106">
        <v>130.94999999999999</v>
      </c>
      <c r="M1419" s="106">
        <f t="shared" si="85"/>
        <v>68.949999999999989</v>
      </c>
      <c r="N1419" s="106">
        <v>130.94999999999999</v>
      </c>
      <c r="O1419" s="107">
        <v>192.5</v>
      </c>
      <c r="P1419" s="107">
        <v>25870</v>
      </c>
      <c r="Q1419" s="107">
        <v>4979975</v>
      </c>
      <c r="R1419" s="102"/>
      <c r="S1419" s="108"/>
      <c r="T1419" s="109" t="s">
        <v>30</v>
      </c>
      <c r="U1419" s="109"/>
      <c r="V1419" s="102"/>
      <c r="W1419" s="109"/>
      <c r="X1419" s="109"/>
      <c r="Y1419" s="110" t="s">
        <v>290</v>
      </c>
      <c r="Z1419" s="111" t="str">
        <f>MID(E1419,4,2)</f>
        <v>CA</v>
      </c>
    </row>
    <row r="1420" spans="1:26" s="111" customFormat="1" x14ac:dyDescent="0.2">
      <c r="A1420" s="101">
        <v>46254</v>
      </c>
      <c r="B1420" s="91" t="s">
        <v>1666</v>
      </c>
      <c r="C1420" s="102" t="s">
        <v>1667</v>
      </c>
      <c r="D1420" s="103" t="s">
        <v>26</v>
      </c>
      <c r="E1420" s="91" t="s">
        <v>1668</v>
      </c>
      <c r="F1420" s="91" t="s">
        <v>1343</v>
      </c>
      <c r="G1420" s="91" t="s">
        <v>1344</v>
      </c>
      <c r="H1420" s="104" t="str">
        <f t="shared" si="86"/>
        <v>F6134J20</v>
      </c>
      <c r="I1420" s="104"/>
      <c r="J1420" s="105">
        <v>479.16</v>
      </c>
      <c r="K1420" s="106">
        <f>IF(D1420="CAESARSTONE LTD",VLOOKUP(H1420,'[2]GIA CA'!G:H,2,0),IF(OR(D1420="STONE FACINGS LIMITED",D1420="NORDIA SA",D1420="INVICTUS STONE COUNTERTOPS INC",D1420="QUARTZTOP LLC"),VLOOKUP(H1420,'[2] Giá ngoài Mỹ - SI-GR'!$B$5:$AZ$84,51,0),IF(OR(D1420="HYUNDAI L&amp;C CANADA INC",D1420="Hyundai L&amp; C USA LLC"),VLOOKUP(H1420,'[2]GIA HS'!A:D,4,0),IF(Y1420="Mỹ",VLOOKUP(H1420,'[2]giá mỹ từ 6.8.2025'!B:I,2,0),VLOOKUP(H1420,'[2]giá ngoài mỹ 6.8.2025 (final)'!B:BP,51,0)))))</f>
        <v>62</v>
      </c>
      <c r="L1420" s="106">
        <v>63.55</v>
      </c>
      <c r="M1420" s="106">
        <f t="shared" si="85"/>
        <v>1.5499999999999972</v>
      </c>
      <c r="N1420" s="106">
        <v>63.55</v>
      </c>
      <c r="O1420" s="107">
        <v>30450.639999999999</v>
      </c>
      <c r="P1420" s="107">
        <v>25870</v>
      </c>
      <c r="Q1420" s="107">
        <v>787758057</v>
      </c>
      <c r="R1420" s="102" t="s">
        <v>30</v>
      </c>
      <c r="S1420" s="108"/>
      <c r="T1420" s="109"/>
      <c r="U1420" s="109"/>
      <c r="V1420" s="102"/>
      <c r="W1420" s="109"/>
      <c r="X1420" s="109"/>
      <c r="Y1420" s="110" t="s">
        <v>290</v>
      </c>
      <c r="Z1420" s="111" t="str">
        <f>MID(E1420,4,2)</f>
        <v>CA</v>
      </c>
    </row>
    <row r="1421" spans="1:26" s="111" customFormat="1" x14ac:dyDescent="0.2">
      <c r="A1421" s="101">
        <v>46254</v>
      </c>
      <c r="B1421" s="91" t="s">
        <v>1666</v>
      </c>
      <c r="C1421" s="102" t="s">
        <v>1667</v>
      </c>
      <c r="D1421" s="103" t="s">
        <v>26</v>
      </c>
      <c r="E1421" s="91" t="s">
        <v>1668</v>
      </c>
      <c r="F1421" s="91" t="s">
        <v>1343</v>
      </c>
      <c r="G1421" s="91" t="s">
        <v>1344</v>
      </c>
      <c r="H1421" s="104" t="str">
        <f t="shared" si="86"/>
        <v>F6134J20</v>
      </c>
      <c r="I1421" s="104"/>
      <c r="J1421" s="105">
        <v>479.16</v>
      </c>
      <c r="K1421" s="106">
        <f>IF(D1421="CAESARSTONE LTD",VLOOKUP(H1421,'[2]GIA CA'!G:H,2,0),IF(OR(D1421="STONE FACINGS LIMITED",D1421="NORDIA SA",D1421="INVICTUS STONE COUNTERTOPS INC",D1421="QUARTZTOP LLC"),VLOOKUP(H1421,'[2] Giá ngoài Mỹ - SI-GR'!$B$5:$AZ$84,51,0),IF(OR(D1421="HYUNDAI L&amp;C CANADA INC",D1421="Hyundai L&amp; C USA LLC"),VLOOKUP(H1421,'[2]GIA HS'!A:D,4,0),IF(Y1421="Mỹ",VLOOKUP(H1421,'[2]giá mỹ từ 6.8.2025'!B:I,2,0),VLOOKUP(H1421,'[2]giá ngoài mỹ 6.8.2025 (final)'!B:BP,51,0)))))</f>
        <v>62</v>
      </c>
      <c r="L1421" s="106">
        <v>63.55</v>
      </c>
      <c r="M1421" s="106">
        <f t="shared" ref="M1421:M1484" si="88">L1421-K1421</f>
        <v>1.5499999999999972</v>
      </c>
      <c r="N1421" s="106">
        <v>63.55</v>
      </c>
      <c r="O1421" s="107">
        <v>30450.639999999999</v>
      </c>
      <c r="P1421" s="107">
        <v>25870</v>
      </c>
      <c r="Q1421" s="107">
        <v>787758057</v>
      </c>
      <c r="R1421" s="102" t="s">
        <v>30</v>
      </c>
      <c r="S1421" s="108"/>
      <c r="T1421" s="109"/>
      <c r="U1421" s="109"/>
      <c r="V1421" s="102"/>
      <c r="W1421" s="109"/>
      <c r="X1421" s="109"/>
      <c r="Y1421" s="110" t="s">
        <v>290</v>
      </c>
      <c r="Z1421" s="111" t="str">
        <f>MID(E1421,4,2)</f>
        <v>CA</v>
      </c>
    </row>
    <row r="1422" spans="1:26" s="111" customFormat="1" x14ac:dyDescent="0.2">
      <c r="A1422" s="101">
        <v>46254</v>
      </c>
      <c r="B1422" s="91" t="s">
        <v>1671</v>
      </c>
      <c r="C1422" s="102" t="s">
        <v>1672</v>
      </c>
      <c r="D1422" s="103" t="s">
        <v>26</v>
      </c>
      <c r="E1422" s="91" t="s">
        <v>1673</v>
      </c>
      <c r="F1422" s="91" t="s">
        <v>1612</v>
      </c>
      <c r="G1422" s="91" t="s">
        <v>1613</v>
      </c>
      <c r="H1422" s="104" t="str">
        <f t="shared" ref="H1422:H1485" si="89">IF(LEN(G1422)=13,LEFT(G1422,5)&amp;MID(G1422,SEARCH("-J",G1422)+1,3),LEFT(G1422,5)&amp;"J20")</f>
        <v>F4004J20</v>
      </c>
      <c r="I1422" s="104"/>
      <c r="J1422" s="105">
        <v>1.47</v>
      </c>
      <c r="K1422" s="106">
        <f>IF(D1422="CAESARSTONE LTD",VLOOKUP(H1422,'[2]GIA CA'!G:H,2,0),IF(OR(D1422="STONE FACINGS LIMITED",D1422="NORDIA SA",D1422="INVICTUS STONE COUNTERTOPS INC",D1422="QUARTZTOP LLC"),VLOOKUP(H1422,'[2] Giá ngoài Mỹ - SI-GR'!$B$5:$AZ$84,51,0),IF(OR(D1422="HYUNDAI L&amp;C CANADA INC",D1422="Hyundai L&amp; C USA LLC"),VLOOKUP(H1422,'[2]GIA HS'!A:D,4,0),IF(Y1422="Mỹ",VLOOKUP(H1422,'[2]giá mỹ từ 6.8.2025'!B:I,2,0),VLOOKUP(H1422,'[2]giá ngoài mỹ 6.8.2025 (final)'!B:BP,51,0)))))</f>
        <v>58</v>
      </c>
      <c r="L1422" s="106">
        <v>95.24</v>
      </c>
      <c r="M1422" s="106">
        <f t="shared" si="88"/>
        <v>37.239999999999995</v>
      </c>
      <c r="N1422" s="106">
        <v>95.24</v>
      </c>
      <c r="O1422" s="107">
        <v>140</v>
      </c>
      <c r="P1422" s="107">
        <v>25870</v>
      </c>
      <c r="Q1422" s="107">
        <v>3621800</v>
      </c>
      <c r="R1422" s="102"/>
      <c r="S1422" s="108"/>
      <c r="T1422" s="109" t="s">
        <v>30</v>
      </c>
      <c r="U1422" s="109"/>
      <c r="V1422" s="102"/>
      <c r="W1422" s="109"/>
      <c r="X1422" s="109"/>
      <c r="Y1422" s="110" t="s">
        <v>290</v>
      </c>
      <c r="Z1422" s="111" t="str">
        <f>MID(E1422,4,2)</f>
        <v>CA</v>
      </c>
    </row>
    <row r="1423" spans="1:26" s="111" customFormat="1" x14ac:dyDescent="0.2">
      <c r="A1423" s="101">
        <v>46254</v>
      </c>
      <c r="B1423" s="91" t="s">
        <v>1671</v>
      </c>
      <c r="C1423" s="102" t="s">
        <v>1672</v>
      </c>
      <c r="D1423" s="103" t="s">
        <v>26</v>
      </c>
      <c r="E1423" s="91" t="s">
        <v>1673</v>
      </c>
      <c r="F1423" s="91" t="s">
        <v>1612</v>
      </c>
      <c r="G1423" s="91" t="s">
        <v>1613</v>
      </c>
      <c r="H1423" s="104" t="str">
        <f t="shared" si="89"/>
        <v>F4004J20</v>
      </c>
      <c r="I1423" s="104"/>
      <c r="J1423" s="105">
        <v>1.47</v>
      </c>
      <c r="K1423" s="106">
        <f>IF(D1423="CAESARSTONE LTD",VLOOKUP(H1423,'[2]GIA CA'!G:H,2,0),IF(OR(D1423="STONE FACINGS LIMITED",D1423="NORDIA SA",D1423="INVICTUS STONE COUNTERTOPS INC",D1423="QUARTZTOP LLC"),VLOOKUP(H1423,'[2] Giá ngoài Mỹ - SI-GR'!$B$5:$AZ$84,51,0),IF(OR(D1423="HYUNDAI L&amp;C CANADA INC",D1423="Hyundai L&amp; C USA LLC"),VLOOKUP(H1423,'[2]GIA HS'!A:D,4,0),IF(Y1423="Mỹ",VLOOKUP(H1423,'[2]giá mỹ từ 6.8.2025'!B:I,2,0),VLOOKUP(H1423,'[2]giá ngoài mỹ 6.8.2025 (final)'!B:BP,51,0)))))</f>
        <v>58</v>
      </c>
      <c r="L1423" s="106">
        <v>95.24</v>
      </c>
      <c r="M1423" s="106">
        <f t="shared" si="88"/>
        <v>37.239999999999995</v>
      </c>
      <c r="N1423" s="106">
        <v>95.24</v>
      </c>
      <c r="O1423" s="107">
        <v>140</v>
      </c>
      <c r="P1423" s="107">
        <v>25870</v>
      </c>
      <c r="Q1423" s="107">
        <v>3621800</v>
      </c>
      <c r="R1423" s="102"/>
      <c r="S1423" s="108"/>
      <c r="T1423" s="109" t="s">
        <v>30</v>
      </c>
      <c r="U1423" s="109"/>
      <c r="V1423" s="102"/>
      <c r="W1423" s="109"/>
      <c r="X1423" s="109"/>
      <c r="Y1423" s="110" t="s">
        <v>290</v>
      </c>
      <c r="Z1423" s="111" t="str">
        <f>MID(E1423,4,2)</f>
        <v>CA</v>
      </c>
    </row>
    <row r="1424" spans="1:26" s="111" customFormat="1" x14ac:dyDescent="0.2">
      <c r="A1424" s="101">
        <v>46254</v>
      </c>
      <c r="B1424" s="91" t="s">
        <v>1671</v>
      </c>
      <c r="C1424" s="102" t="s">
        <v>1672</v>
      </c>
      <c r="D1424" s="103" t="s">
        <v>26</v>
      </c>
      <c r="E1424" s="91" t="s">
        <v>1673</v>
      </c>
      <c r="F1424" s="91" t="s">
        <v>1471</v>
      </c>
      <c r="G1424" s="91" t="s">
        <v>1472</v>
      </c>
      <c r="H1424" s="104" t="str">
        <f t="shared" si="89"/>
        <v>F5112J20</v>
      </c>
      <c r="I1424" s="104"/>
      <c r="J1424" s="105">
        <v>1.47</v>
      </c>
      <c r="K1424" s="106">
        <f>IF(D1424="CAESARSTONE LTD",VLOOKUP(H1424,'[2]GIA CA'!G:H,2,0),IF(OR(D1424="STONE FACINGS LIMITED",D1424="NORDIA SA",D1424="INVICTUS STONE COUNTERTOPS INC",D1424="QUARTZTOP LLC"),VLOOKUP(H1424,'[2] Giá ngoài Mỹ - SI-GR'!$B$5:$AZ$84,51,0),IF(OR(D1424="HYUNDAI L&amp;C CANADA INC",D1424="Hyundai L&amp; C USA LLC"),VLOOKUP(H1424,'[2]GIA HS'!A:D,4,0),IF(Y1424="Mỹ",VLOOKUP(H1424,'[2]giá mỹ từ 6.8.2025'!B:I,2,0),VLOOKUP(H1424,'[2]giá ngoài mỹ 6.8.2025 (final)'!B:BP,51,0)))))</f>
        <v>60</v>
      </c>
      <c r="L1424" s="106">
        <v>121.43</v>
      </c>
      <c r="M1424" s="106">
        <f t="shared" si="88"/>
        <v>61.430000000000007</v>
      </c>
      <c r="N1424" s="106">
        <v>121.43</v>
      </c>
      <c r="O1424" s="107">
        <v>178.5</v>
      </c>
      <c r="P1424" s="107">
        <v>25870</v>
      </c>
      <c r="Q1424" s="107">
        <v>4617795</v>
      </c>
      <c r="R1424" s="102"/>
      <c r="S1424" s="108"/>
      <c r="T1424" s="109" t="s">
        <v>30</v>
      </c>
      <c r="U1424" s="109"/>
      <c r="V1424" s="102"/>
      <c r="W1424" s="109"/>
      <c r="X1424" s="109"/>
      <c r="Y1424" s="110" t="s">
        <v>290</v>
      </c>
      <c r="Z1424" s="111" t="str">
        <f>MID(E1424,4,2)</f>
        <v>CA</v>
      </c>
    </row>
    <row r="1425" spans="1:26" s="111" customFormat="1" x14ac:dyDescent="0.2">
      <c r="A1425" s="101">
        <v>46254</v>
      </c>
      <c r="B1425" s="91" t="s">
        <v>1671</v>
      </c>
      <c r="C1425" s="102" t="s">
        <v>1672</v>
      </c>
      <c r="D1425" s="103" t="s">
        <v>26</v>
      </c>
      <c r="E1425" s="91" t="s">
        <v>1673</v>
      </c>
      <c r="F1425" s="91" t="s">
        <v>1603</v>
      </c>
      <c r="G1425" s="91" t="s">
        <v>1604</v>
      </c>
      <c r="H1425" s="104" t="str">
        <f t="shared" si="89"/>
        <v>F5131J20</v>
      </c>
      <c r="I1425" s="104"/>
      <c r="J1425" s="105">
        <v>1.47</v>
      </c>
      <c r="K1425" s="106">
        <f>IF(D1425="CAESARSTONE LTD",VLOOKUP(H1425,'[2]GIA CA'!G:H,2,0),IF(OR(D1425="STONE FACINGS LIMITED",D1425="NORDIA SA",D1425="INVICTUS STONE COUNTERTOPS INC",D1425="QUARTZTOP LLC"),VLOOKUP(H1425,'[2] Giá ngoài Mỹ - SI-GR'!$B$5:$AZ$84,51,0),IF(OR(D1425="HYUNDAI L&amp;C CANADA INC",D1425="Hyundai L&amp; C USA LLC"),VLOOKUP(H1425,'[2]GIA HS'!A:D,4,0),IF(Y1425="Mỹ",VLOOKUP(H1425,'[2]giá mỹ từ 6.8.2025'!B:I,2,0),VLOOKUP(H1425,'[2]giá ngoài mỹ 6.8.2025 (final)'!B:BP,51,0)))))</f>
        <v>60</v>
      </c>
      <c r="L1425" s="106">
        <v>121.43</v>
      </c>
      <c r="M1425" s="106">
        <f t="shared" si="88"/>
        <v>61.430000000000007</v>
      </c>
      <c r="N1425" s="106">
        <v>121.43</v>
      </c>
      <c r="O1425" s="107">
        <v>178.5</v>
      </c>
      <c r="P1425" s="107">
        <v>25870</v>
      </c>
      <c r="Q1425" s="107">
        <v>4617795</v>
      </c>
      <c r="R1425" s="102"/>
      <c r="S1425" s="108"/>
      <c r="T1425" s="109" t="s">
        <v>30</v>
      </c>
      <c r="U1425" s="109"/>
      <c r="V1425" s="102"/>
      <c r="W1425" s="109"/>
      <c r="X1425" s="109"/>
      <c r="Y1425" s="110" t="s">
        <v>290</v>
      </c>
      <c r="Z1425" s="111" t="str">
        <f>MID(E1425,4,2)</f>
        <v>CA</v>
      </c>
    </row>
    <row r="1426" spans="1:26" s="111" customFormat="1" x14ac:dyDescent="0.2">
      <c r="A1426" s="101">
        <v>46254</v>
      </c>
      <c r="B1426" s="91" t="s">
        <v>1671</v>
      </c>
      <c r="C1426" s="102" t="s">
        <v>1672</v>
      </c>
      <c r="D1426" s="103" t="s">
        <v>26</v>
      </c>
      <c r="E1426" s="91" t="s">
        <v>1673</v>
      </c>
      <c r="F1426" s="91" t="s">
        <v>1388</v>
      </c>
      <c r="G1426" s="91" t="s">
        <v>1389</v>
      </c>
      <c r="H1426" s="104" t="str">
        <f t="shared" si="89"/>
        <v>F5132J20</v>
      </c>
      <c r="I1426" s="104"/>
      <c r="J1426" s="105">
        <v>1.47</v>
      </c>
      <c r="K1426" s="106">
        <f>IF(D1426="CAESARSTONE LTD",VLOOKUP(H1426,'[2]GIA CA'!G:H,2,0),IF(OR(D1426="STONE FACINGS LIMITED",D1426="NORDIA SA",D1426="INVICTUS STONE COUNTERTOPS INC",D1426="QUARTZTOP LLC"),VLOOKUP(H1426,'[2] Giá ngoài Mỹ - SI-GR'!$B$5:$AZ$84,51,0),IF(OR(D1426="HYUNDAI L&amp;C CANADA INC",D1426="Hyundai L&amp; C USA LLC"),VLOOKUP(H1426,'[2]GIA HS'!A:D,4,0),IF(Y1426="Mỹ",VLOOKUP(H1426,'[2]giá mỹ từ 6.8.2025'!B:I,2,0),VLOOKUP(H1426,'[2]giá ngoài mỹ 6.8.2025 (final)'!B:BP,51,0)))))</f>
        <v>62</v>
      </c>
      <c r="L1426" s="106">
        <v>130.94999999999999</v>
      </c>
      <c r="M1426" s="106">
        <f t="shared" si="88"/>
        <v>68.949999999999989</v>
      </c>
      <c r="N1426" s="106">
        <v>130.94999999999999</v>
      </c>
      <c r="O1426" s="107">
        <v>192.5</v>
      </c>
      <c r="P1426" s="107">
        <v>25870</v>
      </c>
      <c r="Q1426" s="107">
        <v>4979975</v>
      </c>
      <c r="R1426" s="102"/>
      <c r="S1426" s="108"/>
      <c r="T1426" s="109" t="s">
        <v>30</v>
      </c>
      <c r="U1426" s="109"/>
      <c r="V1426" s="102"/>
      <c r="W1426" s="109"/>
      <c r="X1426" s="109"/>
      <c r="Y1426" s="110" t="s">
        <v>290</v>
      </c>
      <c r="Z1426" s="111" t="str">
        <f>MID(E1426,4,2)</f>
        <v>CA</v>
      </c>
    </row>
    <row r="1427" spans="1:26" s="111" customFormat="1" x14ac:dyDescent="0.2">
      <c r="A1427" s="101">
        <v>46254</v>
      </c>
      <c r="B1427" s="91" t="s">
        <v>1671</v>
      </c>
      <c r="C1427" s="102" t="s">
        <v>1672</v>
      </c>
      <c r="D1427" s="103" t="s">
        <v>26</v>
      </c>
      <c r="E1427" s="91" t="s">
        <v>1673</v>
      </c>
      <c r="F1427" s="91" t="s">
        <v>1388</v>
      </c>
      <c r="G1427" s="91" t="s">
        <v>1389</v>
      </c>
      <c r="H1427" s="104" t="str">
        <f t="shared" si="89"/>
        <v>F5132J20</v>
      </c>
      <c r="I1427" s="104"/>
      <c r="J1427" s="105">
        <v>1.47</v>
      </c>
      <c r="K1427" s="106">
        <f>IF(D1427="CAESARSTONE LTD",VLOOKUP(H1427,'[2]GIA CA'!G:H,2,0),IF(OR(D1427="STONE FACINGS LIMITED",D1427="NORDIA SA",D1427="INVICTUS STONE COUNTERTOPS INC",D1427="QUARTZTOP LLC"),VLOOKUP(H1427,'[2] Giá ngoài Mỹ - SI-GR'!$B$5:$AZ$84,51,0),IF(OR(D1427="HYUNDAI L&amp;C CANADA INC",D1427="Hyundai L&amp; C USA LLC"),VLOOKUP(H1427,'[2]GIA HS'!A:D,4,0),IF(Y1427="Mỹ",VLOOKUP(H1427,'[2]giá mỹ từ 6.8.2025'!B:I,2,0),VLOOKUP(H1427,'[2]giá ngoài mỹ 6.8.2025 (final)'!B:BP,51,0)))))</f>
        <v>62</v>
      </c>
      <c r="L1427" s="106">
        <v>130.94999999999999</v>
      </c>
      <c r="M1427" s="106">
        <f t="shared" si="88"/>
        <v>68.949999999999989</v>
      </c>
      <c r="N1427" s="106">
        <v>130.94999999999999</v>
      </c>
      <c r="O1427" s="107">
        <v>192.5</v>
      </c>
      <c r="P1427" s="107">
        <v>25870</v>
      </c>
      <c r="Q1427" s="107">
        <v>4979975</v>
      </c>
      <c r="R1427" s="102"/>
      <c r="S1427" s="108"/>
      <c r="T1427" s="109" t="s">
        <v>30</v>
      </c>
      <c r="U1427" s="109"/>
      <c r="V1427" s="102"/>
      <c r="W1427" s="109"/>
      <c r="X1427" s="109"/>
      <c r="Y1427" s="110" t="s">
        <v>290</v>
      </c>
      <c r="Z1427" s="111" t="str">
        <f>MID(E1427,4,2)</f>
        <v>CA</v>
      </c>
    </row>
    <row r="1428" spans="1:26" s="111" customFormat="1" x14ac:dyDescent="0.2">
      <c r="A1428" s="101">
        <v>46254</v>
      </c>
      <c r="B1428" s="91" t="s">
        <v>1671</v>
      </c>
      <c r="C1428" s="102" t="s">
        <v>1672</v>
      </c>
      <c r="D1428" s="103" t="s">
        <v>26</v>
      </c>
      <c r="E1428" s="91" t="s">
        <v>1673</v>
      </c>
      <c r="F1428" s="91" t="s">
        <v>1343</v>
      </c>
      <c r="G1428" s="91" t="s">
        <v>1344</v>
      </c>
      <c r="H1428" s="104" t="str">
        <f t="shared" si="89"/>
        <v>F6134J20</v>
      </c>
      <c r="I1428" s="104"/>
      <c r="J1428" s="105">
        <v>479.16</v>
      </c>
      <c r="K1428" s="106">
        <f>IF(D1428="CAESARSTONE LTD",VLOOKUP(H1428,'[2]GIA CA'!G:H,2,0),IF(OR(D1428="STONE FACINGS LIMITED",D1428="NORDIA SA",D1428="INVICTUS STONE COUNTERTOPS INC",D1428="QUARTZTOP LLC"),VLOOKUP(H1428,'[2] Giá ngoài Mỹ - SI-GR'!$B$5:$AZ$84,51,0),IF(OR(D1428="HYUNDAI L&amp;C CANADA INC",D1428="Hyundai L&amp; C USA LLC"),VLOOKUP(H1428,'[2]GIA HS'!A:D,4,0),IF(Y1428="Mỹ",VLOOKUP(H1428,'[2]giá mỹ từ 6.8.2025'!B:I,2,0),VLOOKUP(H1428,'[2]giá ngoài mỹ 6.8.2025 (final)'!B:BP,51,0)))))</f>
        <v>62</v>
      </c>
      <c r="L1428" s="106">
        <v>65.099999999999994</v>
      </c>
      <c r="M1428" s="106">
        <f t="shared" si="88"/>
        <v>3.0999999999999943</v>
      </c>
      <c r="N1428" s="106">
        <v>65.099999999999994</v>
      </c>
      <c r="O1428" s="107">
        <v>31193.360000000001</v>
      </c>
      <c r="P1428" s="107">
        <v>25870</v>
      </c>
      <c r="Q1428" s="107">
        <v>806972223</v>
      </c>
      <c r="R1428" s="102" t="s">
        <v>30</v>
      </c>
      <c r="S1428" s="108"/>
      <c r="T1428" s="109"/>
      <c r="U1428" s="109"/>
      <c r="V1428" s="102"/>
      <c r="W1428" s="109"/>
      <c r="X1428" s="109"/>
      <c r="Y1428" s="110" t="s">
        <v>290</v>
      </c>
      <c r="Z1428" s="111" t="str">
        <f>MID(E1428,4,2)</f>
        <v>CA</v>
      </c>
    </row>
    <row r="1429" spans="1:26" s="111" customFormat="1" x14ac:dyDescent="0.2">
      <c r="A1429" s="101">
        <v>46254</v>
      </c>
      <c r="B1429" s="91" t="s">
        <v>1674</v>
      </c>
      <c r="C1429" s="102" t="s">
        <v>1675</v>
      </c>
      <c r="D1429" s="103" t="s">
        <v>26</v>
      </c>
      <c r="E1429" s="91" t="s">
        <v>1676</v>
      </c>
      <c r="F1429" s="91" t="s">
        <v>1677</v>
      </c>
      <c r="G1429" s="91" t="s">
        <v>1678</v>
      </c>
      <c r="H1429" s="104" t="str">
        <f t="shared" si="89"/>
        <v>C0406J30</v>
      </c>
      <c r="I1429" s="104"/>
      <c r="J1429" s="105">
        <v>10.89</v>
      </c>
      <c r="K1429" s="106">
        <v>18.37</v>
      </c>
      <c r="L1429" s="106">
        <f>+N1429</f>
        <v>18.37</v>
      </c>
      <c r="M1429" s="106">
        <f t="shared" si="88"/>
        <v>0</v>
      </c>
      <c r="N1429" s="106">
        <v>18.37</v>
      </c>
      <c r="O1429" s="107">
        <v>200</v>
      </c>
      <c r="P1429" s="107">
        <v>25870</v>
      </c>
      <c r="Q1429" s="107">
        <v>5174000</v>
      </c>
      <c r="R1429" s="102" t="s">
        <v>30</v>
      </c>
      <c r="S1429" s="108"/>
      <c r="T1429" s="109"/>
      <c r="U1429" s="109"/>
      <c r="V1429" s="102"/>
      <c r="W1429" s="109"/>
      <c r="X1429" s="109"/>
      <c r="Y1429" s="110" t="s">
        <v>1679</v>
      </c>
    </row>
    <row r="1430" spans="1:26" s="111" customFormat="1" x14ac:dyDescent="0.2">
      <c r="A1430" s="101">
        <v>46254</v>
      </c>
      <c r="B1430" s="91" t="s">
        <v>1674</v>
      </c>
      <c r="C1430" s="102" t="s">
        <v>1675</v>
      </c>
      <c r="D1430" s="103" t="s">
        <v>26</v>
      </c>
      <c r="E1430" s="91" t="s">
        <v>1676</v>
      </c>
      <c r="F1430" s="91" t="s">
        <v>1680</v>
      </c>
      <c r="G1430" s="91" t="s">
        <v>1681</v>
      </c>
      <c r="H1430" s="104" t="str">
        <f t="shared" si="89"/>
        <v>C4033J13</v>
      </c>
      <c r="I1430" s="104"/>
      <c r="J1430" s="105">
        <v>179.69</v>
      </c>
      <c r="K1430" s="106">
        <f>+L1430</f>
        <v>50.9</v>
      </c>
      <c r="L1430" s="106">
        <v>50.9</v>
      </c>
      <c r="M1430" s="106">
        <f t="shared" si="88"/>
        <v>0</v>
      </c>
      <c r="N1430" s="106">
        <v>50.9</v>
      </c>
      <c r="O1430" s="107">
        <v>9145.9500000000007</v>
      </c>
      <c r="P1430" s="107">
        <v>25870</v>
      </c>
      <c r="Q1430" s="107">
        <v>236605727</v>
      </c>
      <c r="R1430" s="102" t="s">
        <v>30</v>
      </c>
      <c r="S1430" s="108"/>
      <c r="T1430" s="109"/>
      <c r="U1430" s="109"/>
      <c r="V1430" s="102"/>
      <c r="W1430" s="109"/>
      <c r="X1430" s="109"/>
      <c r="Y1430" s="110" t="s">
        <v>1679</v>
      </c>
    </row>
    <row r="1431" spans="1:26" s="111" customFormat="1" x14ac:dyDescent="0.2">
      <c r="A1431" s="101">
        <v>46254</v>
      </c>
      <c r="B1431" s="91" t="s">
        <v>1674</v>
      </c>
      <c r="C1431" s="102" t="s">
        <v>1675</v>
      </c>
      <c r="D1431" s="103" t="s">
        <v>26</v>
      </c>
      <c r="E1431" s="91" t="s">
        <v>1676</v>
      </c>
      <c r="F1431" s="91" t="s">
        <v>1682</v>
      </c>
      <c r="G1431" s="91" t="s">
        <v>1683</v>
      </c>
      <c r="H1431" s="104" t="str">
        <f t="shared" si="89"/>
        <v>C5100J13</v>
      </c>
      <c r="I1431" s="104"/>
      <c r="J1431" s="105">
        <v>179.69</v>
      </c>
      <c r="K1431" s="106">
        <f>IF(D1431="CAESARSTONE LTD",VLOOKUP(H1431,'[2]GIA CA'!G:H,2,0),IF(OR(D1431="STONE FACINGS LIMITED",D1431="NORDIA SA",D1431="INVICTUS STONE COUNTERTOPS INC",D1431="QUARTZTOP LLC"),VLOOKUP(H1431,'[2] Giá ngoài Mỹ - SI-GR'!$B$5:$AZ$84,51,0),IF(OR(D1431="HYUNDAI L&amp;C CANADA INC",D1431="Hyundai L&amp; C USA LLC"),VLOOKUP(H1431,'[2]GIA HS'!A:D,4,0),IF(Y1431="Mỹ",VLOOKUP(H1431,'[2]giá mỹ từ 6.8.2025'!B:I,2,0),VLOOKUP(H1431,'[2]giá ngoài mỹ 6.8.2025 (final)'!B:BP,51,0)))))</f>
        <v>50.15</v>
      </c>
      <c r="L1431" s="106">
        <v>52.7</v>
      </c>
      <c r="M1431" s="106">
        <f t="shared" si="88"/>
        <v>2.5500000000000043</v>
      </c>
      <c r="N1431" s="106">
        <v>52.7</v>
      </c>
      <c r="O1431" s="107">
        <v>9469.35</v>
      </c>
      <c r="P1431" s="107">
        <v>25870</v>
      </c>
      <c r="Q1431" s="107">
        <v>244972085</v>
      </c>
      <c r="R1431" s="102" t="s">
        <v>30</v>
      </c>
      <c r="S1431" s="108"/>
      <c r="T1431" s="109"/>
      <c r="U1431" s="109"/>
      <c r="V1431" s="102"/>
      <c r="W1431" s="109"/>
      <c r="X1431" s="109"/>
      <c r="Y1431" s="110" t="s">
        <v>1679</v>
      </c>
    </row>
    <row r="1432" spans="1:26" s="111" customFormat="1" x14ac:dyDescent="0.2">
      <c r="A1432" s="101">
        <v>46254</v>
      </c>
      <c r="B1432" s="91" t="s">
        <v>1674</v>
      </c>
      <c r="C1432" s="102" t="s">
        <v>1675</v>
      </c>
      <c r="D1432" s="103" t="s">
        <v>26</v>
      </c>
      <c r="E1432" s="91" t="s">
        <v>1676</v>
      </c>
      <c r="F1432" s="91" t="s">
        <v>1684</v>
      </c>
      <c r="G1432" s="91" t="s">
        <v>1685</v>
      </c>
      <c r="H1432" s="104" t="str">
        <f t="shared" si="89"/>
        <v>C6338J13</v>
      </c>
      <c r="I1432" s="104"/>
      <c r="J1432" s="105">
        <v>163.35</v>
      </c>
      <c r="K1432" s="106">
        <f>+L1432</f>
        <v>50.9</v>
      </c>
      <c r="L1432" s="106">
        <v>50.9</v>
      </c>
      <c r="M1432" s="106">
        <f t="shared" si="88"/>
        <v>0</v>
      </c>
      <c r="N1432" s="106">
        <v>50.9</v>
      </c>
      <c r="O1432" s="107">
        <v>8314.5</v>
      </c>
      <c r="P1432" s="107">
        <v>25870</v>
      </c>
      <c r="Q1432" s="107">
        <v>215096115</v>
      </c>
      <c r="R1432" s="102" t="s">
        <v>30</v>
      </c>
      <c r="S1432" s="108"/>
      <c r="T1432" s="109"/>
      <c r="U1432" s="109"/>
      <c r="V1432" s="102"/>
      <c r="W1432" s="109"/>
      <c r="X1432" s="109"/>
      <c r="Y1432" s="110" t="s">
        <v>1679</v>
      </c>
    </row>
    <row r="1433" spans="1:26" s="111" customFormat="1" x14ac:dyDescent="0.2">
      <c r="A1433" s="101">
        <v>46254</v>
      </c>
      <c r="B1433" s="91" t="s">
        <v>1674</v>
      </c>
      <c r="C1433" s="102" t="s">
        <v>1675</v>
      </c>
      <c r="D1433" s="103" t="s">
        <v>26</v>
      </c>
      <c r="E1433" s="91" t="s">
        <v>1676</v>
      </c>
      <c r="F1433" s="91" t="s">
        <v>1686</v>
      </c>
      <c r="G1433" s="91" t="s">
        <v>1687</v>
      </c>
      <c r="H1433" s="104" t="str">
        <f t="shared" si="89"/>
        <v>F5171J13</v>
      </c>
      <c r="I1433" s="104"/>
      <c r="J1433" s="105">
        <v>27.23</v>
      </c>
      <c r="K1433" s="106">
        <f>IF(D1433="CAESARSTONE LTD",VLOOKUP(H1433,'[2]GIA CA'!G:H,2,0),IF(OR(D1433="STONE FACINGS LIMITED",D1433="NORDIA SA",D1433="INVICTUS STONE COUNTERTOPS INC",D1433="QUARTZTOP LLC"),VLOOKUP(H1433,'[2] Giá ngoài Mỹ - SI-GR'!$B$5:$AZ$84,51,0),IF(OR(D1433="HYUNDAI L&amp;C CANADA INC",D1433="Hyundai L&amp; C USA LLC"),VLOOKUP(H1433,'[2]GIA HS'!A:D,4,0),IF(Y1433="Mỹ",VLOOKUP(H1433,'[2]giá mỹ từ 6.8.2025'!B:I,2,0),VLOOKUP(H1433,'[2]giá ngoài mỹ 6.8.2025 (final)'!B:BP,51,0)))))</f>
        <v>52.699999999999996</v>
      </c>
      <c r="L1433" s="106">
        <v>55.29</v>
      </c>
      <c r="M1433" s="106">
        <f t="shared" si="88"/>
        <v>2.5900000000000034</v>
      </c>
      <c r="N1433" s="106">
        <v>55.29</v>
      </c>
      <c r="O1433" s="107">
        <v>1505.55</v>
      </c>
      <c r="P1433" s="107">
        <v>25870</v>
      </c>
      <c r="Q1433" s="107">
        <v>38948579</v>
      </c>
      <c r="R1433" s="102" t="s">
        <v>30</v>
      </c>
      <c r="S1433" s="108"/>
      <c r="T1433" s="109"/>
      <c r="U1433" s="109"/>
      <c r="V1433" s="102"/>
      <c r="W1433" s="109"/>
      <c r="X1433" s="109"/>
      <c r="Y1433" s="110" t="s">
        <v>1679</v>
      </c>
    </row>
    <row r="1434" spans="1:26" s="111" customFormat="1" x14ac:dyDescent="0.2">
      <c r="A1434" s="101">
        <v>46255</v>
      </c>
      <c r="B1434" s="91" t="s">
        <v>1688</v>
      </c>
      <c r="C1434" s="102" t="s">
        <v>1689</v>
      </c>
      <c r="D1434" s="103" t="s">
        <v>215</v>
      </c>
      <c r="E1434" s="91" t="s">
        <v>1690</v>
      </c>
      <c r="F1434" s="91" t="s">
        <v>787</v>
      </c>
      <c r="G1434" s="91" t="s">
        <v>788</v>
      </c>
      <c r="H1434" s="104" t="str">
        <f t="shared" si="89"/>
        <v>C5233J20</v>
      </c>
      <c r="I1434" s="104"/>
      <c r="J1434" s="105">
        <v>1.94</v>
      </c>
      <c r="K1434" s="106"/>
      <c r="L1434" s="106">
        <v>0</v>
      </c>
      <c r="M1434" s="106">
        <f t="shared" si="88"/>
        <v>0</v>
      </c>
      <c r="N1434" s="106">
        <v>86</v>
      </c>
      <c r="O1434" s="107">
        <v>166.84</v>
      </c>
      <c r="P1434" s="107">
        <v>25870</v>
      </c>
      <c r="Q1434" s="107">
        <v>4316151</v>
      </c>
      <c r="R1434" s="102"/>
      <c r="S1434" s="108"/>
      <c r="T1434" s="109"/>
      <c r="U1434" s="109" t="s">
        <v>30</v>
      </c>
      <c r="V1434" s="102"/>
      <c r="W1434" s="109"/>
      <c r="X1434" s="109"/>
      <c r="Y1434" s="110" t="s">
        <v>31</v>
      </c>
    </row>
    <row r="1435" spans="1:26" s="111" customFormat="1" x14ac:dyDescent="0.2">
      <c r="A1435" s="101">
        <v>46255</v>
      </c>
      <c r="B1435" s="91" t="s">
        <v>1688</v>
      </c>
      <c r="C1435" s="102" t="s">
        <v>1689</v>
      </c>
      <c r="D1435" s="103" t="s">
        <v>215</v>
      </c>
      <c r="E1435" s="91" t="s">
        <v>1690</v>
      </c>
      <c r="F1435" s="91" t="s">
        <v>789</v>
      </c>
      <c r="G1435" s="91" t="s">
        <v>790</v>
      </c>
      <c r="H1435" s="104" t="str">
        <f t="shared" si="89"/>
        <v>C5233J30</v>
      </c>
      <c r="I1435" s="104"/>
      <c r="J1435" s="105">
        <v>299.48</v>
      </c>
      <c r="K1435" s="106">
        <f>IF(D1435="CAESARSTONE LTD",VLOOKUP(H1435,'[2]GIA CA'!G:H,2,0),IF(OR(D1435="STONE FACINGS LIMITED",D1435="NORDIA SA",D1435="INVICTUS STONE COUNTERTOPS INC",D1435="QUARTZTOP LLC"),VLOOKUP(H1435,'[2] Giá ngoài Mỹ - SI-GR'!$B$5:$AZ$84,51,0),IF(OR(D1435="HYUNDAI L&amp;C CANADA INC",D1435="Hyundai L&amp; C USA LLC"),VLOOKUP(H1435,'[2]GIA HS'!A:D,4,0),IF(Y1435="Mỹ",VLOOKUP(H1435,'[2]giá mỹ từ 6.8.2025'!B:I,2,0),VLOOKUP(H1435,'[2]giá ngoài mỹ 6.8.2025 (final)'!B:BP,51,0)))))</f>
        <v>95</v>
      </c>
      <c r="L1435" s="106">
        <v>100.242</v>
      </c>
      <c r="M1435" s="106">
        <f t="shared" si="88"/>
        <v>5.2420000000000044</v>
      </c>
      <c r="N1435" s="106">
        <v>100.24</v>
      </c>
      <c r="O1435" s="107">
        <v>30020.74</v>
      </c>
      <c r="P1435" s="107">
        <v>25870</v>
      </c>
      <c r="Q1435" s="107">
        <v>776636544</v>
      </c>
      <c r="R1435" s="102" t="s">
        <v>30</v>
      </c>
      <c r="S1435" s="108"/>
      <c r="T1435" s="109"/>
      <c r="U1435" s="109"/>
      <c r="V1435" s="102"/>
      <c r="W1435" s="109"/>
      <c r="X1435" s="109"/>
      <c r="Y1435" s="110" t="s">
        <v>31</v>
      </c>
    </row>
    <row r="1436" spans="1:26" s="111" customFormat="1" x14ac:dyDescent="0.2">
      <c r="A1436" s="101">
        <v>46255</v>
      </c>
      <c r="B1436" s="91" t="s">
        <v>1691</v>
      </c>
      <c r="C1436" s="102" t="s">
        <v>1692</v>
      </c>
      <c r="D1436" s="103" t="s">
        <v>215</v>
      </c>
      <c r="E1436" s="91" t="s">
        <v>1693</v>
      </c>
      <c r="F1436" s="91" t="s">
        <v>787</v>
      </c>
      <c r="G1436" s="91" t="s">
        <v>788</v>
      </c>
      <c r="H1436" s="104" t="str">
        <f t="shared" si="89"/>
        <v>C5233J20</v>
      </c>
      <c r="I1436" s="104"/>
      <c r="J1436" s="105">
        <v>1.94</v>
      </c>
      <c r="K1436" s="106"/>
      <c r="L1436" s="106">
        <v>0</v>
      </c>
      <c r="M1436" s="106">
        <f t="shared" si="88"/>
        <v>0</v>
      </c>
      <c r="N1436" s="106">
        <v>86</v>
      </c>
      <c r="O1436" s="107">
        <v>166.84</v>
      </c>
      <c r="P1436" s="107">
        <v>25870</v>
      </c>
      <c r="Q1436" s="107">
        <v>4316151</v>
      </c>
      <c r="R1436" s="102"/>
      <c r="S1436" s="108"/>
      <c r="T1436" s="109"/>
      <c r="U1436" s="109" t="s">
        <v>30</v>
      </c>
      <c r="V1436" s="102"/>
      <c r="W1436" s="109"/>
      <c r="X1436" s="109"/>
      <c r="Y1436" s="110" t="s">
        <v>31</v>
      </c>
    </row>
    <row r="1437" spans="1:26" s="111" customFormat="1" x14ac:dyDescent="0.2">
      <c r="A1437" s="101">
        <v>46255</v>
      </c>
      <c r="B1437" s="91" t="s">
        <v>1691</v>
      </c>
      <c r="C1437" s="102" t="s">
        <v>1692</v>
      </c>
      <c r="D1437" s="103" t="s">
        <v>215</v>
      </c>
      <c r="E1437" s="91" t="s">
        <v>1693</v>
      </c>
      <c r="F1437" s="91" t="s">
        <v>789</v>
      </c>
      <c r="G1437" s="91" t="s">
        <v>790</v>
      </c>
      <c r="H1437" s="104" t="str">
        <f t="shared" si="89"/>
        <v>C5233J30</v>
      </c>
      <c r="I1437" s="104"/>
      <c r="J1437" s="105">
        <v>299.48</v>
      </c>
      <c r="K1437" s="106">
        <f>IF(D1437="CAESARSTONE LTD",VLOOKUP(H1437,'[2]GIA CA'!G:H,2,0),IF(OR(D1437="STONE FACINGS LIMITED",D1437="NORDIA SA",D1437="INVICTUS STONE COUNTERTOPS INC",D1437="QUARTZTOP LLC"),VLOOKUP(H1437,'[2] Giá ngoài Mỹ - SI-GR'!$B$5:$AZ$84,51,0),IF(OR(D1437="HYUNDAI L&amp;C CANADA INC",D1437="Hyundai L&amp; C USA LLC"),VLOOKUP(H1437,'[2]GIA HS'!A:D,4,0),IF(Y1437="Mỹ",VLOOKUP(H1437,'[2]giá mỹ từ 6.8.2025'!B:I,2,0),VLOOKUP(H1437,'[2]giá ngoài mỹ 6.8.2025 (final)'!B:BP,51,0)))))</f>
        <v>95</v>
      </c>
      <c r="L1437" s="106">
        <v>100.24</v>
      </c>
      <c r="M1437" s="106">
        <f t="shared" si="88"/>
        <v>5.2399999999999949</v>
      </c>
      <c r="N1437" s="106">
        <v>100.24</v>
      </c>
      <c r="O1437" s="107">
        <v>30020.74</v>
      </c>
      <c r="P1437" s="107">
        <v>25870</v>
      </c>
      <c r="Q1437" s="107">
        <v>776636544</v>
      </c>
      <c r="R1437" s="102" t="s">
        <v>30</v>
      </c>
      <c r="S1437" s="108"/>
      <c r="T1437" s="109"/>
      <c r="U1437" s="109"/>
      <c r="V1437" s="102"/>
      <c r="W1437" s="109"/>
      <c r="X1437" s="109"/>
      <c r="Y1437" s="110" t="s">
        <v>31</v>
      </c>
    </row>
    <row r="1438" spans="1:26" s="111" customFormat="1" x14ac:dyDescent="0.2">
      <c r="A1438" s="101">
        <v>46255</v>
      </c>
      <c r="B1438" s="91" t="s">
        <v>1694</v>
      </c>
      <c r="C1438" s="102" t="s">
        <v>1695</v>
      </c>
      <c r="D1438" s="103" t="s">
        <v>215</v>
      </c>
      <c r="E1438" s="91" t="s">
        <v>1696</v>
      </c>
      <c r="F1438" s="91" t="s">
        <v>787</v>
      </c>
      <c r="G1438" s="91" t="s">
        <v>788</v>
      </c>
      <c r="H1438" s="104" t="str">
        <f t="shared" si="89"/>
        <v>C5233J20</v>
      </c>
      <c r="I1438" s="104"/>
      <c r="J1438" s="105">
        <v>1.94</v>
      </c>
      <c r="K1438" s="106"/>
      <c r="L1438" s="106">
        <v>0</v>
      </c>
      <c r="M1438" s="106">
        <f t="shared" si="88"/>
        <v>0</v>
      </c>
      <c r="N1438" s="106">
        <v>86</v>
      </c>
      <c r="O1438" s="107">
        <v>166.84</v>
      </c>
      <c r="P1438" s="107">
        <v>25870</v>
      </c>
      <c r="Q1438" s="107">
        <v>4316151</v>
      </c>
      <c r="R1438" s="102"/>
      <c r="S1438" s="108"/>
      <c r="T1438" s="109"/>
      <c r="U1438" s="109" t="s">
        <v>30</v>
      </c>
      <c r="V1438" s="102"/>
      <c r="W1438" s="109"/>
      <c r="X1438" s="109"/>
      <c r="Y1438" s="110" t="s">
        <v>31</v>
      </c>
    </row>
    <row r="1439" spans="1:26" s="111" customFormat="1" x14ac:dyDescent="0.2">
      <c r="A1439" s="101">
        <v>46255</v>
      </c>
      <c r="B1439" s="91" t="s">
        <v>1694</v>
      </c>
      <c r="C1439" s="102" t="s">
        <v>1695</v>
      </c>
      <c r="D1439" s="103" t="s">
        <v>215</v>
      </c>
      <c r="E1439" s="91" t="s">
        <v>1696</v>
      </c>
      <c r="F1439" s="91" t="s">
        <v>789</v>
      </c>
      <c r="G1439" s="91" t="s">
        <v>790</v>
      </c>
      <c r="H1439" s="104" t="str">
        <f t="shared" si="89"/>
        <v>C5233J30</v>
      </c>
      <c r="I1439" s="104"/>
      <c r="J1439" s="105">
        <v>299.48</v>
      </c>
      <c r="K1439" s="106">
        <f>IF(D1439="CAESARSTONE LTD",VLOOKUP(H1439,'[2]GIA CA'!G:H,2,0),IF(OR(D1439="STONE FACINGS LIMITED",D1439="NORDIA SA",D1439="INVICTUS STONE COUNTERTOPS INC",D1439="QUARTZTOP LLC"),VLOOKUP(H1439,'[2] Giá ngoài Mỹ - SI-GR'!$B$5:$AZ$84,51,0),IF(OR(D1439="HYUNDAI L&amp;C CANADA INC",D1439="Hyundai L&amp; C USA LLC"),VLOOKUP(H1439,'[2]GIA HS'!A:D,4,0),IF(Y1439="Mỹ",VLOOKUP(H1439,'[2]giá mỹ từ 6.8.2025'!B:I,2,0),VLOOKUP(H1439,'[2]giá ngoài mỹ 6.8.2025 (final)'!B:BP,51,0)))))</f>
        <v>95</v>
      </c>
      <c r="L1439" s="106">
        <v>100.242</v>
      </c>
      <c r="M1439" s="106">
        <f t="shared" si="88"/>
        <v>5.2420000000000044</v>
      </c>
      <c r="N1439" s="106">
        <v>100.24</v>
      </c>
      <c r="O1439" s="107">
        <v>30020.74</v>
      </c>
      <c r="P1439" s="107">
        <v>25870</v>
      </c>
      <c r="Q1439" s="107">
        <v>776636544</v>
      </c>
      <c r="R1439" s="102" t="s">
        <v>30</v>
      </c>
      <c r="S1439" s="108"/>
      <c r="T1439" s="109"/>
      <c r="U1439" s="109"/>
      <c r="V1439" s="102"/>
      <c r="W1439" s="109"/>
      <c r="X1439" s="109"/>
      <c r="Y1439" s="110" t="s">
        <v>31</v>
      </c>
    </row>
    <row r="1440" spans="1:26" s="111" customFormat="1" x14ac:dyDescent="0.2">
      <c r="A1440" s="101">
        <v>46255</v>
      </c>
      <c r="B1440" s="91" t="s">
        <v>1697</v>
      </c>
      <c r="C1440" s="102" t="s">
        <v>1698</v>
      </c>
      <c r="D1440" s="103" t="s">
        <v>26</v>
      </c>
      <c r="E1440" s="91" t="s">
        <v>1699</v>
      </c>
      <c r="F1440" s="91" t="s">
        <v>1222</v>
      </c>
      <c r="G1440" s="91" t="s">
        <v>1223</v>
      </c>
      <c r="H1440" s="104" t="str">
        <f t="shared" si="89"/>
        <v>F5132J20</v>
      </c>
      <c r="I1440" s="104"/>
      <c r="J1440" s="105">
        <v>10.94</v>
      </c>
      <c r="K1440" s="106">
        <f>IF(D1440="CAESARSTONE LTD",VLOOKUP(H1440,'[2]GIA CA'!G:H,2,0),IF(OR(D1440="STONE FACINGS LIMITED",D1440="NORDIA SA",D1440="INVICTUS STONE COUNTERTOPS INC",D1440="QUARTZTOP LLC"),VLOOKUP(H1440,'[2] Giá ngoài Mỹ - SI-GR'!$B$5:$AZ$84,51,0),IF(OR(D1440="HYUNDAI L&amp;C CANADA INC",D1440="Hyundai L&amp; C USA LLC"),VLOOKUP(H1440,'[2]GIA HS'!A:D,4,0),IF(Y1440="Mỹ",VLOOKUP(H1440,'[2]giá mỹ từ 6.8.2025'!B:I,2,0),VLOOKUP(H1440,'[2]giá ngoài mỹ 6.8.2025 (final)'!B:BP,51,0)))))</f>
        <v>62</v>
      </c>
      <c r="L1440" s="106">
        <v>129.25</v>
      </c>
      <c r="M1440" s="106">
        <f t="shared" si="88"/>
        <v>67.25</v>
      </c>
      <c r="N1440" s="106">
        <v>129.25</v>
      </c>
      <c r="O1440" s="107">
        <v>1414</v>
      </c>
      <c r="P1440" s="107">
        <v>25870</v>
      </c>
      <c r="Q1440" s="107">
        <v>36580180</v>
      </c>
      <c r="R1440" s="102"/>
      <c r="S1440" s="108"/>
      <c r="T1440" s="109" t="s">
        <v>30</v>
      </c>
      <c r="U1440" s="109"/>
      <c r="V1440" s="102"/>
      <c r="W1440" s="109"/>
      <c r="X1440" s="109"/>
      <c r="Y1440" s="110" t="s">
        <v>31</v>
      </c>
    </row>
    <row r="1441" spans="1:25" s="111" customFormat="1" x14ac:dyDescent="0.2">
      <c r="A1441" s="101">
        <v>46255</v>
      </c>
      <c r="B1441" s="91" t="s">
        <v>1697</v>
      </c>
      <c r="C1441" s="102" t="s">
        <v>1698</v>
      </c>
      <c r="D1441" s="103" t="s">
        <v>26</v>
      </c>
      <c r="E1441" s="91" t="s">
        <v>1699</v>
      </c>
      <c r="F1441" s="91" t="s">
        <v>1222</v>
      </c>
      <c r="G1441" s="91" t="s">
        <v>1223</v>
      </c>
      <c r="H1441" s="104" t="str">
        <f t="shared" si="89"/>
        <v>F5132J20</v>
      </c>
      <c r="I1441" s="104"/>
      <c r="J1441" s="105">
        <v>10.94</v>
      </c>
      <c r="K1441" s="106">
        <f>IF(D1441="CAESARSTONE LTD",VLOOKUP(H1441,'[2]GIA CA'!G:H,2,0),IF(OR(D1441="STONE FACINGS LIMITED",D1441="NORDIA SA",D1441="INVICTUS STONE COUNTERTOPS INC",D1441="QUARTZTOP LLC"),VLOOKUP(H1441,'[2] Giá ngoài Mỹ - SI-GR'!$B$5:$AZ$84,51,0),IF(OR(D1441="HYUNDAI L&amp;C CANADA INC",D1441="Hyundai L&amp; C USA LLC"),VLOOKUP(H1441,'[2]GIA HS'!A:D,4,0),IF(Y1441="Mỹ",VLOOKUP(H1441,'[2]giá mỹ từ 6.8.2025'!B:I,2,0),VLOOKUP(H1441,'[2]giá ngoài mỹ 6.8.2025 (final)'!B:BP,51,0)))))</f>
        <v>62</v>
      </c>
      <c r="L1441" s="106">
        <v>129.25</v>
      </c>
      <c r="M1441" s="106">
        <f t="shared" si="88"/>
        <v>67.25</v>
      </c>
      <c r="N1441" s="106">
        <v>129.25</v>
      </c>
      <c r="O1441" s="107">
        <v>1414</v>
      </c>
      <c r="P1441" s="107">
        <v>25870</v>
      </c>
      <c r="Q1441" s="107">
        <v>36580180</v>
      </c>
      <c r="R1441" s="102"/>
      <c r="S1441" s="108"/>
      <c r="T1441" s="109" t="s">
        <v>30</v>
      </c>
      <c r="U1441" s="109"/>
      <c r="V1441" s="102"/>
      <c r="W1441" s="109"/>
      <c r="X1441" s="109"/>
      <c r="Y1441" s="110" t="s">
        <v>31</v>
      </c>
    </row>
    <row r="1442" spans="1:25" s="111" customFormat="1" x14ac:dyDescent="0.2">
      <c r="A1442" s="101">
        <v>46255</v>
      </c>
      <c r="B1442" s="91" t="s">
        <v>1697</v>
      </c>
      <c r="C1442" s="102" t="s">
        <v>1698</v>
      </c>
      <c r="D1442" s="103" t="s">
        <v>26</v>
      </c>
      <c r="E1442" s="91" t="s">
        <v>1699</v>
      </c>
      <c r="F1442" s="91" t="s">
        <v>1222</v>
      </c>
      <c r="G1442" s="91" t="s">
        <v>1223</v>
      </c>
      <c r="H1442" s="104" t="str">
        <f t="shared" si="89"/>
        <v>F5132J20</v>
      </c>
      <c r="I1442" s="104"/>
      <c r="J1442" s="105">
        <v>10.94</v>
      </c>
      <c r="K1442" s="106">
        <f>IF(D1442="CAESARSTONE LTD",VLOOKUP(H1442,'[2]GIA CA'!G:H,2,0),IF(OR(D1442="STONE FACINGS LIMITED",D1442="NORDIA SA",D1442="INVICTUS STONE COUNTERTOPS INC",D1442="QUARTZTOP LLC"),VLOOKUP(H1442,'[2] Giá ngoài Mỹ - SI-GR'!$B$5:$AZ$84,51,0),IF(OR(D1442="HYUNDAI L&amp;C CANADA INC",D1442="Hyundai L&amp; C USA LLC"),VLOOKUP(H1442,'[2]GIA HS'!A:D,4,0),IF(Y1442="Mỹ",VLOOKUP(H1442,'[2]giá mỹ từ 6.8.2025'!B:I,2,0),VLOOKUP(H1442,'[2]giá ngoài mỹ 6.8.2025 (final)'!B:BP,51,0)))))</f>
        <v>62</v>
      </c>
      <c r="L1442" s="106">
        <v>129.25</v>
      </c>
      <c r="M1442" s="106">
        <f t="shared" si="88"/>
        <v>67.25</v>
      </c>
      <c r="N1442" s="106">
        <v>129.25</v>
      </c>
      <c r="O1442" s="107">
        <v>1414</v>
      </c>
      <c r="P1442" s="107">
        <v>25870</v>
      </c>
      <c r="Q1442" s="107">
        <v>36580180</v>
      </c>
      <c r="R1442" s="102"/>
      <c r="S1442" s="108"/>
      <c r="T1442" s="109" t="s">
        <v>30</v>
      </c>
      <c r="U1442" s="109"/>
      <c r="V1442" s="102"/>
      <c r="W1442" s="109"/>
      <c r="X1442" s="109"/>
      <c r="Y1442" s="110" t="s">
        <v>31</v>
      </c>
    </row>
    <row r="1443" spans="1:25" s="111" customFormat="1" x14ac:dyDescent="0.2">
      <c r="A1443" s="101">
        <v>46255</v>
      </c>
      <c r="B1443" s="91" t="s">
        <v>1697</v>
      </c>
      <c r="C1443" s="102" t="s">
        <v>1698</v>
      </c>
      <c r="D1443" s="103" t="s">
        <v>26</v>
      </c>
      <c r="E1443" s="91" t="s">
        <v>1699</v>
      </c>
      <c r="F1443" s="91" t="s">
        <v>1222</v>
      </c>
      <c r="G1443" s="91" t="s">
        <v>1223</v>
      </c>
      <c r="H1443" s="104" t="str">
        <f t="shared" si="89"/>
        <v>F5132J20</v>
      </c>
      <c r="I1443" s="104"/>
      <c r="J1443" s="105">
        <v>10.94</v>
      </c>
      <c r="K1443" s="106">
        <f>IF(D1443="CAESARSTONE LTD",VLOOKUP(H1443,'[2]GIA CA'!G:H,2,0),IF(OR(D1443="STONE FACINGS LIMITED",D1443="NORDIA SA",D1443="INVICTUS STONE COUNTERTOPS INC",D1443="QUARTZTOP LLC"),VLOOKUP(H1443,'[2] Giá ngoài Mỹ - SI-GR'!$B$5:$AZ$84,51,0),IF(OR(D1443="HYUNDAI L&amp;C CANADA INC",D1443="Hyundai L&amp; C USA LLC"),VLOOKUP(H1443,'[2]GIA HS'!A:D,4,0),IF(Y1443="Mỹ",VLOOKUP(H1443,'[2]giá mỹ từ 6.8.2025'!B:I,2,0),VLOOKUP(H1443,'[2]giá ngoài mỹ 6.8.2025 (final)'!B:BP,51,0)))))</f>
        <v>62</v>
      </c>
      <c r="L1443" s="106">
        <v>129.25</v>
      </c>
      <c r="M1443" s="106">
        <f t="shared" si="88"/>
        <v>67.25</v>
      </c>
      <c r="N1443" s="106">
        <v>129.25</v>
      </c>
      <c r="O1443" s="107">
        <v>1414</v>
      </c>
      <c r="P1443" s="107">
        <v>25870</v>
      </c>
      <c r="Q1443" s="107">
        <v>36580180</v>
      </c>
      <c r="R1443" s="102"/>
      <c r="S1443" s="108"/>
      <c r="T1443" s="109" t="s">
        <v>30</v>
      </c>
      <c r="U1443" s="109"/>
      <c r="V1443" s="102"/>
      <c r="W1443" s="109"/>
      <c r="X1443" s="109"/>
      <c r="Y1443" s="110" t="s">
        <v>31</v>
      </c>
    </row>
    <row r="1444" spans="1:25" s="111" customFormat="1" x14ac:dyDescent="0.2">
      <c r="A1444" s="101">
        <v>46255</v>
      </c>
      <c r="B1444" s="91" t="s">
        <v>1697</v>
      </c>
      <c r="C1444" s="102" t="s">
        <v>1698</v>
      </c>
      <c r="D1444" s="103" t="s">
        <v>26</v>
      </c>
      <c r="E1444" s="91" t="s">
        <v>1699</v>
      </c>
      <c r="F1444" s="91" t="s">
        <v>32</v>
      </c>
      <c r="G1444" s="91" t="s">
        <v>33</v>
      </c>
      <c r="H1444" s="104" t="str">
        <f t="shared" si="89"/>
        <v>F4001J30</v>
      </c>
      <c r="I1444" s="104"/>
      <c r="J1444" s="105">
        <v>250.47</v>
      </c>
      <c r="K1444" s="106">
        <f>IF(D1444="CAESARSTONE LTD",VLOOKUP(H1444,'[2]GIA CA'!G:H,2,0),IF(OR(D1444="STONE FACINGS LIMITED",D1444="NORDIA SA",D1444="INVICTUS STONE COUNTERTOPS INC",D1444="QUARTZTOP LLC"),VLOOKUP(H1444,'[2] Giá ngoài Mỹ - SI-GR'!$B$5:$AZ$84,51,0),IF(OR(D1444="HYUNDAI L&amp;C CANADA INC",D1444="Hyundai L&amp; C USA LLC"),VLOOKUP(H1444,'[2]GIA HS'!A:D,4,0),IF(Y1444="Mỹ",VLOOKUP(H1444,'[2]giá mỹ từ 6.8.2025'!B:I,2,0),VLOOKUP(H1444,'[2]giá ngoài mỹ 6.8.2025 (final)'!B:BP,51,0)))))</f>
        <v>72.5</v>
      </c>
      <c r="L1444" s="106">
        <v>76.099999999999994</v>
      </c>
      <c r="M1444" s="106">
        <f t="shared" si="88"/>
        <v>3.5999999999999943</v>
      </c>
      <c r="N1444" s="106">
        <v>76.099999999999994</v>
      </c>
      <c r="O1444" s="107">
        <v>19060.560000000001</v>
      </c>
      <c r="P1444" s="107">
        <v>25870</v>
      </c>
      <c r="Q1444" s="107">
        <v>493096687</v>
      </c>
      <c r="R1444" s="102" t="s">
        <v>30</v>
      </c>
      <c r="S1444" s="108"/>
      <c r="T1444" s="109"/>
      <c r="U1444" s="109"/>
      <c r="V1444" s="102"/>
      <c r="W1444" s="109"/>
      <c r="X1444" s="109"/>
      <c r="Y1444" s="110" t="s">
        <v>31</v>
      </c>
    </row>
    <row r="1445" spans="1:25" s="111" customFormat="1" x14ac:dyDescent="0.2">
      <c r="A1445" s="101">
        <v>46255</v>
      </c>
      <c r="B1445" s="91" t="s">
        <v>1697</v>
      </c>
      <c r="C1445" s="102" t="s">
        <v>1698</v>
      </c>
      <c r="D1445" s="103" t="s">
        <v>26</v>
      </c>
      <c r="E1445" s="91" t="s">
        <v>1699</v>
      </c>
      <c r="F1445" s="91" t="s">
        <v>282</v>
      </c>
      <c r="G1445" s="91" t="s">
        <v>283</v>
      </c>
      <c r="H1445" s="104" t="str">
        <f t="shared" si="89"/>
        <v>F5100J20</v>
      </c>
      <c r="I1445" s="104"/>
      <c r="J1445" s="105">
        <v>32.67</v>
      </c>
      <c r="K1445" s="106">
        <f>IF(D1445="CAESARSTONE LTD",VLOOKUP(H1445,'[2]GIA CA'!G:H,2,0),IF(OR(D1445="STONE FACINGS LIMITED",D1445="NORDIA SA",D1445="INVICTUS STONE COUNTERTOPS INC",D1445="QUARTZTOP LLC"),VLOOKUP(H1445,'[2] Giá ngoài Mỹ - SI-GR'!$B$5:$AZ$84,51,0),IF(OR(D1445="HYUNDAI L&amp;C CANADA INC",D1445="Hyundai L&amp; C USA LLC"),VLOOKUP(H1445,'[2]GIA HS'!A:D,4,0),IF(Y1445="Mỹ",VLOOKUP(H1445,'[2]giá mỹ từ 6.8.2025'!B:I,2,0),VLOOKUP(H1445,'[2]giá ngoài mỹ 6.8.2025 (final)'!B:BP,51,0)))))</f>
        <v>62</v>
      </c>
      <c r="L1445" s="106">
        <v>65.099999999999994</v>
      </c>
      <c r="M1445" s="106">
        <f t="shared" si="88"/>
        <v>3.0999999999999943</v>
      </c>
      <c r="N1445" s="106">
        <v>65.099999999999994</v>
      </c>
      <c r="O1445" s="107">
        <v>2126.8200000000002</v>
      </c>
      <c r="P1445" s="107">
        <v>25870</v>
      </c>
      <c r="Q1445" s="107">
        <v>55020833</v>
      </c>
      <c r="R1445" s="102" t="s">
        <v>30</v>
      </c>
      <c r="S1445" s="108"/>
      <c r="T1445" s="109"/>
      <c r="U1445" s="109"/>
      <c r="V1445" s="102"/>
      <c r="W1445" s="109"/>
      <c r="X1445" s="109"/>
      <c r="Y1445" s="110" t="s">
        <v>31</v>
      </c>
    </row>
    <row r="1446" spans="1:25" s="111" customFormat="1" x14ac:dyDescent="0.2">
      <c r="A1446" s="101">
        <v>46255</v>
      </c>
      <c r="B1446" s="91" t="s">
        <v>1697</v>
      </c>
      <c r="C1446" s="102" t="s">
        <v>1698</v>
      </c>
      <c r="D1446" s="103" t="s">
        <v>26</v>
      </c>
      <c r="E1446" s="91" t="s">
        <v>1699</v>
      </c>
      <c r="F1446" s="91" t="s">
        <v>1204</v>
      </c>
      <c r="G1446" s="91" t="s">
        <v>283</v>
      </c>
      <c r="H1446" s="104" t="str">
        <f t="shared" si="89"/>
        <v>F5100J20</v>
      </c>
      <c r="I1446" s="104"/>
      <c r="J1446" s="105">
        <v>76.23</v>
      </c>
      <c r="K1446" s="106">
        <f>IF(D1446="CAESARSTONE LTD",VLOOKUP(H1446,'[2]GIA CA'!G:H,2,0),IF(OR(D1446="STONE FACINGS LIMITED",D1446="NORDIA SA",D1446="INVICTUS STONE COUNTERTOPS INC",D1446="QUARTZTOP LLC"),VLOOKUP(H1446,'[2] Giá ngoài Mỹ - SI-GR'!$B$5:$AZ$84,51,0),IF(OR(D1446="HYUNDAI L&amp;C CANADA INC",D1446="Hyundai L&amp; C USA LLC"),VLOOKUP(H1446,'[2]GIA HS'!A:D,4,0),IF(Y1446="Mỹ",VLOOKUP(H1446,'[2]giá mỹ từ 6.8.2025'!B:I,2,0),VLOOKUP(H1446,'[2]giá ngoài mỹ 6.8.2025 (final)'!B:BP,51,0)))))</f>
        <v>62</v>
      </c>
      <c r="L1446" s="106">
        <v>65.099999999999994</v>
      </c>
      <c r="M1446" s="106">
        <f t="shared" si="88"/>
        <v>3.0999999999999943</v>
      </c>
      <c r="N1446" s="106">
        <v>65.099999999999994</v>
      </c>
      <c r="O1446" s="107">
        <v>4962.58</v>
      </c>
      <c r="P1446" s="107">
        <v>25870</v>
      </c>
      <c r="Q1446" s="107">
        <v>128381945</v>
      </c>
      <c r="R1446" s="102" t="s">
        <v>30</v>
      </c>
      <c r="S1446" s="108"/>
      <c r="T1446" s="109"/>
      <c r="U1446" s="109"/>
      <c r="V1446" s="102"/>
      <c r="W1446" s="109"/>
      <c r="X1446" s="109"/>
      <c r="Y1446" s="110" t="s">
        <v>31</v>
      </c>
    </row>
    <row r="1447" spans="1:25" s="111" customFormat="1" x14ac:dyDescent="0.2">
      <c r="A1447" s="101">
        <v>46255</v>
      </c>
      <c r="B1447" s="91" t="s">
        <v>1700</v>
      </c>
      <c r="C1447" s="102" t="s">
        <v>1701</v>
      </c>
      <c r="D1447" s="103" t="s">
        <v>26</v>
      </c>
      <c r="E1447" s="91" t="s">
        <v>1702</v>
      </c>
      <c r="F1447" s="91" t="s">
        <v>1592</v>
      </c>
      <c r="G1447" s="91" t="s">
        <v>1514</v>
      </c>
      <c r="H1447" s="104" t="str">
        <f t="shared" si="89"/>
        <v>F8251J20</v>
      </c>
      <c r="I1447" s="104"/>
      <c r="J1447" s="105">
        <v>435.6</v>
      </c>
      <c r="K1447" s="106">
        <f>IF(D1447="CAESARSTONE LTD",VLOOKUP(H1447,'[2]GIA CA'!G:H,2,0),IF(OR(D1447="STONE FACINGS LIMITED",D1447="NORDIA SA",D1447="INVICTUS STONE COUNTERTOPS INC",D1447="QUARTZTOP LLC"),VLOOKUP(H1447,'[2] Giá ngoài Mỹ - SI-GR'!$B$5:$AZ$84,51,0),IF(OR(D1447="HYUNDAI L&amp;C CANADA INC",D1447="Hyundai L&amp; C USA LLC"),VLOOKUP(H1447,'[2]GIA HS'!A:D,4,0),IF(Y1447="Mỹ",VLOOKUP(H1447,'[2]giá mỹ từ 6.8.2025'!B:I,2,0),VLOOKUP(H1447,'[2]giá ngoài mỹ 6.8.2025 (final)'!B:BP,51,0)))))</f>
        <v>74</v>
      </c>
      <c r="L1447" s="106">
        <v>77.7</v>
      </c>
      <c r="M1447" s="106">
        <f t="shared" si="88"/>
        <v>3.7000000000000028</v>
      </c>
      <c r="N1447" s="106">
        <v>77.7</v>
      </c>
      <c r="O1447" s="107">
        <v>33846.400000000001</v>
      </c>
      <c r="P1447" s="107">
        <v>25870</v>
      </c>
      <c r="Q1447" s="107">
        <v>875606368</v>
      </c>
      <c r="R1447" s="102" t="s">
        <v>30</v>
      </c>
      <c r="S1447" s="108"/>
      <c r="T1447" s="109"/>
      <c r="U1447" s="109"/>
      <c r="V1447" s="102"/>
      <c r="W1447" s="109"/>
      <c r="X1447" s="109"/>
      <c r="Y1447" s="110" t="s">
        <v>132</v>
      </c>
    </row>
    <row r="1448" spans="1:25" s="111" customFormat="1" x14ac:dyDescent="0.2">
      <c r="A1448" s="101">
        <v>46255</v>
      </c>
      <c r="B1448" s="91" t="s">
        <v>1700</v>
      </c>
      <c r="C1448" s="102" t="s">
        <v>1701</v>
      </c>
      <c r="D1448" s="103" t="s">
        <v>26</v>
      </c>
      <c r="E1448" s="91" t="s">
        <v>1702</v>
      </c>
      <c r="F1448" s="91" t="s">
        <v>1592</v>
      </c>
      <c r="G1448" s="91" t="s">
        <v>1514</v>
      </c>
      <c r="H1448" s="104" t="str">
        <f t="shared" si="89"/>
        <v>F8251J20</v>
      </c>
      <c r="I1448" s="104"/>
      <c r="J1448" s="105">
        <v>435.6</v>
      </c>
      <c r="K1448" s="106">
        <f>IF(D1448="CAESARSTONE LTD",VLOOKUP(H1448,'[2]GIA CA'!G:H,2,0),IF(OR(D1448="STONE FACINGS LIMITED",D1448="NORDIA SA",D1448="INVICTUS STONE COUNTERTOPS INC",D1448="QUARTZTOP LLC"),VLOOKUP(H1448,'[2] Giá ngoài Mỹ - SI-GR'!$B$5:$AZ$84,51,0),IF(OR(D1448="HYUNDAI L&amp;C CANADA INC",D1448="Hyundai L&amp; C USA LLC"),VLOOKUP(H1448,'[2]GIA HS'!A:D,4,0),IF(Y1448="Mỹ",VLOOKUP(H1448,'[2]giá mỹ từ 6.8.2025'!B:I,2,0),VLOOKUP(H1448,'[2]giá ngoài mỹ 6.8.2025 (final)'!B:BP,51,0)))))</f>
        <v>74</v>
      </c>
      <c r="L1448" s="106">
        <v>77.7</v>
      </c>
      <c r="M1448" s="106">
        <f t="shared" si="88"/>
        <v>3.7000000000000028</v>
      </c>
      <c r="N1448" s="106">
        <v>77.7</v>
      </c>
      <c r="O1448" s="107">
        <v>33846.400000000001</v>
      </c>
      <c r="P1448" s="107">
        <v>25870</v>
      </c>
      <c r="Q1448" s="107">
        <v>875606368</v>
      </c>
      <c r="R1448" s="102" t="s">
        <v>30</v>
      </c>
      <c r="S1448" s="108"/>
      <c r="T1448" s="109"/>
      <c r="U1448" s="109"/>
      <c r="V1448" s="102"/>
      <c r="W1448" s="109"/>
      <c r="X1448" s="109"/>
      <c r="Y1448" s="110" t="s">
        <v>132</v>
      </c>
    </row>
    <row r="1449" spans="1:25" s="111" customFormat="1" x14ac:dyDescent="0.2">
      <c r="A1449" s="101">
        <v>46255</v>
      </c>
      <c r="B1449" s="91" t="s">
        <v>1703</v>
      </c>
      <c r="C1449" s="102" t="s">
        <v>1704</v>
      </c>
      <c r="D1449" s="103" t="s">
        <v>26</v>
      </c>
      <c r="E1449" s="91" t="s">
        <v>1705</v>
      </c>
      <c r="F1449" s="91" t="s">
        <v>1592</v>
      </c>
      <c r="G1449" s="91" t="s">
        <v>1514</v>
      </c>
      <c r="H1449" s="104" t="str">
        <f t="shared" si="89"/>
        <v>F8251J20</v>
      </c>
      <c r="I1449" s="104"/>
      <c r="J1449" s="105">
        <v>435.6</v>
      </c>
      <c r="K1449" s="106">
        <f>IF(D1449="CAESARSTONE LTD",VLOOKUP(H1449,'[2]GIA CA'!G:H,2,0),IF(OR(D1449="STONE FACINGS LIMITED",D1449="NORDIA SA",D1449="INVICTUS STONE COUNTERTOPS INC",D1449="QUARTZTOP LLC"),VLOOKUP(H1449,'[2] Giá ngoài Mỹ - SI-GR'!$B$5:$AZ$84,51,0),IF(OR(D1449="HYUNDAI L&amp;C CANADA INC",D1449="Hyundai L&amp; C USA LLC"),VLOOKUP(H1449,'[2]GIA HS'!A:D,4,0),IF(Y1449="Mỹ",VLOOKUP(H1449,'[2]giá mỹ từ 6.8.2025'!B:I,2,0),VLOOKUP(H1449,'[2]giá ngoài mỹ 6.8.2025 (final)'!B:BP,51,0)))))</f>
        <v>74</v>
      </c>
      <c r="L1449" s="106">
        <v>77.7</v>
      </c>
      <c r="M1449" s="106">
        <f t="shared" si="88"/>
        <v>3.7000000000000028</v>
      </c>
      <c r="N1449" s="106">
        <v>77.7</v>
      </c>
      <c r="O1449" s="107">
        <v>33846.400000000001</v>
      </c>
      <c r="P1449" s="107">
        <v>25870</v>
      </c>
      <c r="Q1449" s="107">
        <v>875606368</v>
      </c>
      <c r="R1449" s="102" t="s">
        <v>30</v>
      </c>
      <c r="S1449" s="108"/>
      <c r="T1449" s="109"/>
      <c r="U1449" s="109"/>
      <c r="V1449" s="102"/>
      <c r="W1449" s="109"/>
      <c r="X1449" s="109"/>
      <c r="Y1449" s="110" t="s">
        <v>132</v>
      </c>
    </row>
    <row r="1450" spans="1:25" s="111" customFormat="1" x14ac:dyDescent="0.2">
      <c r="A1450" s="101">
        <v>46255</v>
      </c>
      <c r="B1450" s="91" t="s">
        <v>1703</v>
      </c>
      <c r="C1450" s="102" t="s">
        <v>1704</v>
      </c>
      <c r="D1450" s="103" t="s">
        <v>26</v>
      </c>
      <c r="E1450" s="91" t="s">
        <v>1705</v>
      </c>
      <c r="F1450" s="91" t="s">
        <v>1592</v>
      </c>
      <c r="G1450" s="91" t="s">
        <v>1514</v>
      </c>
      <c r="H1450" s="104" t="str">
        <f t="shared" si="89"/>
        <v>F8251J20</v>
      </c>
      <c r="I1450" s="104"/>
      <c r="J1450" s="105">
        <v>435.6</v>
      </c>
      <c r="K1450" s="106">
        <f>IF(D1450="CAESARSTONE LTD",VLOOKUP(H1450,'[2]GIA CA'!G:H,2,0),IF(OR(D1450="STONE FACINGS LIMITED",D1450="NORDIA SA",D1450="INVICTUS STONE COUNTERTOPS INC",D1450="QUARTZTOP LLC"),VLOOKUP(H1450,'[2] Giá ngoài Mỹ - SI-GR'!$B$5:$AZ$84,51,0),IF(OR(D1450="HYUNDAI L&amp;C CANADA INC",D1450="Hyundai L&amp; C USA LLC"),VLOOKUP(H1450,'[2]GIA HS'!A:D,4,0),IF(Y1450="Mỹ",VLOOKUP(H1450,'[2]giá mỹ từ 6.8.2025'!B:I,2,0),VLOOKUP(H1450,'[2]giá ngoài mỹ 6.8.2025 (final)'!B:BP,51,0)))))</f>
        <v>74</v>
      </c>
      <c r="L1450" s="106">
        <v>77.7</v>
      </c>
      <c r="M1450" s="106">
        <f t="shared" si="88"/>
        <v>3.7000000000000028</v>
      </c>
      <c r="N1450" s="106">
        <v>77.7</v>
      </c>
      <c r="O1450" s="107">
        <v>33846.400000000001</v>
      </c>
      <c r="P1450" s="107">
        <v>25870</v>
      </c>
      <c r="Q1450" s="107">
        <v>875606368</v>
      </c>
      <c r="R1450" s="102" t="s">
        <v>30</v>
      </c>
      <c r="S1450" s="108"/>
      <c r="T1450" s="109"/>
      <c r="U1450" s="109"/>
      <c r="V1450" s="102"/>
      <c r="W1450" s="109"/>
      <c r="X1450" s="109"/>
      <c r="Y1450" s="110" t="s">
        <v>132</v>
      </c>
    </row>
    <row r="1451" spans="1:25" s="111" customFormat="1" x14ac:dyDescent="0.2">
      <c r="A1451" s="101">
        <v>46255</v>
      </c>
      <c r="B1451" s="91" t="s">
        <v>1706</v>
      </c>
      <c r="C1451" s="102" t="s">
        <v>1707</v>
      </c>
      <c r="D1451" s="103" t="s">
        <v>26</v>
      </c>
      <c r="E1451" s="91" t="s">
        <v>1708</v>
      </c>
      <c r="F1451" s="91" t="s">
        <v>1471</v>
      </c>
      <c r="G1451" s="91" t="s">
        <v>1472</v>
      </c>
      <c r="H1451" s="104" t="str">
        <f t="shared" si="89"/>
        <v>F5112J20</v>
      </c>
      <c r="I1451" s="104"/>
      <c r="J1451" s="105">
        <v>1.47</v>
      </c>
      <c r="K1451" s="106">
        <f>IF(D1451="CAESARSTONE LTD",VLOOKUP(H1451,'[2]GIA CA'!G:H,2,0),IF(OR(D1451="STONE FACINGS LIMITED",D1451="NORDIA SA",D1451="INVICTUS STONE COUNTERTOPS INC",D1451="QUARTZTOP LLC"),VLOOKUP(H1451,'[2] Giá ngoài Mỹ - SI-GR'!$B$5:$AZ$84,51,0),IF(OR(D1451="HYUNDAI L&amp;C CANADA INC",D1451="Hyundai L&amp; C USA LLC"),VLOOKUP(H1451,'[2]GIA HS'!A:D,4,0),IF(Y1451="Mỹ",VLOOKUP(H1451,'[2]giá mỹ từ 6.8.2025'!B:I,2,0),VLOOKUP(H1451,'[2]giá ngoài mỹ 6.8.2025 (final)'!B:BP,51,0)))))</f>
        <v>60</v>
      </c>
      <c r="L1451" s="106">
        <v>121.43</v>
      </c>
      <c r="M1451" s="106">
        <f t="shared" si="88"/>
        <v>61.430000000000007</v>
      </c>
      <c r="N1451" s="106">
        <v>121.43</v>
      </c>
      <c r="O1451" s="107">
        <v>178.5</v>
      </c>
      <c r="P1451" s="107">
        <v>25870</v>
      </c>
      <c r="Q1451" s="107">
        <v>4617795</v>
      </c>
      <c r="R1451" s="102"/>
      <c r="S1451" s="108"/>
      <c r="T1451" s="109" t="s">
        <v>30</v>
      </c>
      <c r="U1451" s="109"/>
      <c r="V1451" s="102"/>
      <c r="W1451" s="109"/>
      <c r="X1451" s="109"/>
      <c r="Y1451" s="110" t="s">
        <v>290</v>
      </c>
    </row>
    <row r="1452" spans="1:25" s="111" customFormat="1" x14ac:dyDescent="0.2">
      <c r="A1452" s="101">
        <v>46255</v>
      </c>
      <c r="B1452" s="91" t="s">
        <v>1706</v>
      </c>
      <c r="C1452" s="102" t="s">
        <v>1707</v>
      </c>
      <c r="D1452" s="103" t="s">
        <v>26</v>
      </c>
      <c r="E1452" s="91" t="s">
        <v>1708</v>
      </c>
      <c r="F1452" s="91" t="s">
        <v>562</v>
      </c>
      <c r="G1452" s="91" t="s">
        <v>563</v>
      </c>
      <c r="H1452" s="104" t="str">
        <f t="shared" si="89"/>
        <v>F5441J20</v>
      </c>
      <c r="I1452" s="104"/>
      <c r="J1452" s="105">
        <v>130.68</v>
      </c>
      <c r="K1452" s="106">
        <f>IF(D1452="CAESARSTONE LTD",VLOOKUP(H1452,'[2]GIA CA'!G:H,2,0),IF(OR(D1452="STONE FACINGS LIMITED",D1452="NORDIA SA",D1452="INVICTUS STONE COUNTERTOPS INC",D1452="QUARTZTOP LLC"),VLOOKUP(H1452,'[2] Giá ngoài Mỹ - SI-GR'!$B$5:$AZ$84,51,0),IF(OR(D1452="HYUNDAI L&amp;C CANADA INC",D1452="Hyundai L&amp; C USA LLC"),VLOOKUP(H1452,'[2]GIA HS'!A:D,4,0),IF(Y1452="Mỹ",VLOOKUP(H1452,'[2]giá mỹ từ 6.8.2025'!B:I,2,0),VLOOKUP(H1452,'[2]giá ngoài mỹ 6.8.2025 (final)'!B:BP,51,0)))))</f>
        <v>74</v>
      </c>
      <c r="L1452" s="106">
        <v>75.760000000000005</v>
      </c>
      <c r="M1452" s="106">
        <f t="shared" si="88"/>
        <v>1.7600000000000051</v>
      </c>
      <c r="N1452" s="106">
        <v>75.760000000000005</v>
      </c>
      <c r="O1452" s="107">
        <v>9900.6</v>
      </c>
      <c r="P1452" s="107">
        <v>25870</v>
      </c>
      <c r="Q1452" s="107">
        <v>256128522</v>
      </c>
      <c r="R1452" s="102" t="s">
        <v>30</v>
      </c>
      <c r="S1452" s="108"/>
      <c r="T1452" s="109"/>
      <c r="U1452" s="109"/>
      <c r="V1452" s="102"/>
      <c r="W1452" s="109"/>
      <c r="X1452" s="109"/>
      <c r="Y1452" s="110" t="s">
        <v>290</v>
      </c>
    </row>
    <row r="1453" spans="1:25" s="111" customFormat="1" x14ac:dyDescent="0.2">
      <c r="A1453" s="101">
        <v>46255</v>
      </c>
      <c r="B1453" s="91" t="s">
        <v>1706</v>
      </c>
      <c r="C1453" s="102" t="s">
        <v>1707</v>
      </c>
      <c r="D1453" s="103" t="s">
        <v>26</v>
      </c>
      <c r="E1453" s="91" t="s">
        <v>1708</v>
      </c>
      <c r="F1453" s="91" t="s">
        <v>771</v>
      </c>
      <c r="G1453" s="91" t="s">
        <v>563</v>
      </c>
      <c r="H1453" s="104" t="str">
        <f t="shared" si="89"/>
        <v>F5441J20</v>
      </c>
      <c r="I1453" s="104"/>
      <c r="J1453" s="105">
        <v>196.02</v>
      </c>
      <c r="K1453" s="106">
        <f>IF(D1453="CAESARSTONE LTD",VLOOKUP(H1453,'[2]GIA CA'!G:H,2,0),IF(OR(D1453="STONE FACINGS LIMITED",D1453="NORDIA SA",D1453="INVICTUS STONE COUNTERTOPS INC",D1453="QUARTZTOP LLC"),VLOOKUP(H1453,'[2] Giá ngoài Mỹ - SI-GR'!$B$5:$AZ$84,51,0),IF(OR(D1453="HYUNDAI L&amp;C CANADA INC",D1453="Hyundai L&amp; C USA LLC"),VLOOKUP(H1453,'[2]GIA HS'!A:D,4,0),IF(Y1453="Mỹ",VLOOKUP(H1453,'[2]giá mỹ từ 6.8.2025'!B:I,2,0),VLOOKUP(H1453,'[2]giá ngoài mỹ 6.8.2025 (final)'!B:BP,51,0)))))</f>
        <v>74</v>
      </c>
      <c r="L1453" s="106">
        <v>75.760000000000005</v>
      </c>
      <c r="M1453" s="106">
        <f t="shared" si="88"/>
        <v>1.7600000000000051</v>
      </c>
      <c r="N1453" s="106">
        <v>75.760000000000005</v>
      </c>
      <c r="O1453" s="107">
        <v>14850.91</v>
      </c>
      <c r="P1453" s="107">
        <v>25870</v>
      </c>
      <c r="Q1453" s="107">
        <v>384193042</v>
      </c>
      <c r="R1453" s="102" t="s">
        <v>30</v>
      </c>
      <c r="S1453" s="108"/>
      <c r="T1453" s="109"/>
      <c r="U1453" s="109"/>
      <c r="V1453" s="102"/>
      <c r="W1453" s="109"/>
      <c r="X1453" s="109"/>
      <c r="Y1453" s="110" t="s">
        <v>290</v>
      </c>
    </row>
    <row r="1454" spans="1:25" s="111" customFormat="1" x14ac:dyDescent="0.2">
      <c r="A1454" s="101">
        <v>46255</v>
      </c>
      <c r="B1454" s="91" t="s">
        <v>1706</v>
      </c>
      <c r="C1454" s="102" t="s">
        <v>1707</v>
      </c>
      <c r="D1454" s="103" t="s">
        <v>26</v>
      </c>
      <c r="E1454" s="91" t="s">
        <v>1708</v>
      </c>
      <c r="F1454" s="91" t="s">
        <v>889</v>
      </c>
      <c r="G1454" s="91" t="s">
        <v>563</v>
      </c>
      <c r="H1454" s="104" t="str">
        <f t="shared" si="89"/>
        <v>F5441J20</v>
      </c>
      <c r="I1454" s="104"/>
      <c r="J1454" s="105">
        <v>125.24</v>
      </c>
      <c r="K1454" s="106">
        <f>IF(D1454="CAESARSTONE LTD",VLOOKUP(H1454,'[2]GIA CA'!G:H,2,0),IF(OR(D1454="STONE FACINGS LIMITED",D1454="NORDIA SA",D1454="INVICTUS STONE COUNTERTOPS INC",D1454="QUARTZTOP LLC"),VLOOKUP(H1454,'[2] Giá ngoài Mỹ - SI-GR'!$B$5:$AZ$84,51,0),IF(OR(D1454="HYUNDAI L&amp;C CANADA INC",D1454="Hyundai L&amp; C USA LLC"),VLOOKUP(H1454,'[2]GIA HS'!A:D,4,0),IF(Y1454="Mỹ",VLOOKUP(H1454,'[2]giá mỹ từ 6.8.2025'!B:I,2,0),VLOOKUP(H1454,'[2]giá ngoài mỹ 6.8.2025 (final)'!B:BP,51,0)))))</f>
        <v>74</v>
      </c>
      <c r="L1454" s="106">
        <v>75.760000000000005</v>
      </c>
      <c r="M1454" s="106">
        <f t="shared" si="88"/>
        <v>1.7600000000000051</v>
      </c>
      <c r="N1454" s="106">
        <v>75.760000000000005</v>
      </c>
      <c r="O1454" s="107">
        <v>9488.4599999999991</v>
      </c>
      <c r="P1454" s="107">
        <v>25870</v>
      </c>
      <c r="Q1454" s="107">
        <v>245466460</v>
      </c>
      <c r="R1454" s="102" t="s">
        <v>30</v>
      </c>
      <c r="S1454" s="108"/>
      <c r="T1454" s="109"/>
      <c r="U1454" s="109"/>
      <c r="V1454" s="102"/>
      <c r="W1454" s="109"/>
      <c r="X1454" s="109"/>
      <c r="Y1454" s="110" t="s">
        <v>290</v>
      </c>
    </row>
    <row r="1455" spans="1:25" s="111" customFormat="1" x14ac:dyDescent="0.2">
      <c r="A1455" s="101">
        <v>46255</v>
      </c>
      <c r="B1455" s="91" t="s">
        <v>1706</v>
      </c>
      <c r="C1455" s="102" t="s">
        <v>1707</v>
      </c>
      <c r="D1455" s="103" t="s">
        <v>26</v>
      </c>
      <c r="E1455" s="91" t="s">
        <v>1708</v>
      </c>
      <c r="F1455" s="91" t="s">
        <v>564</v>
      </c>
      <c r="G1455" s="91" t="s">
        <v>565</v>
      </c>
      <c r="H1455" s="104" t="str">
        <f t="shared" si="89"/>
        <v>F5441J20</v>
      </c>
      <c r="I1455" s="104"/>
      <c r="J1455" s="105">
        <v>10.89</v>
      </c>
      <c r="K1455" s="106">
        <v>20</v>
      </c>
      <c r="L1455" s="106">
        <v>37</v>
      </c>
      <c r="M1455" s="106">
        <f t="shared" si="88"/>
        <v>17</v>
      </c>
      <c r="N1455" s="106">
        <v>37</v>
      </c>
      <c r="O1455" s="107">
        <v>402.93</v>
      </c>
      <c r="P1455" s="107">
        <v>25870</v>
      </c>
      <c r="Q1455" s="107">
        <v>10423799</v>
      </c>
      <c r="R1455" s="102" t="s">
        <v>30</v>
      </c>
      <c r="S1455" s="108"/>
      <c r="T1455" s="109"/>
      <c r="U1455" s="109"/>
      <c r="V1455" s="102"/>
      <c r="W1455" s="109"/>
      <c r="X1455" s="109"/>
      <c r="Y1455" s="110" t="s">
        <v>290</v>
      </c>
    </row>
    <row r="1456" spans="1:25" s="111" customFormat="1" x14ac:dyDescent="0.2">
      <c r="A1456" s="101">
        <v>46255</v>
      </c>
      <c r="B1456" s="91" t="s">
        <v>1706</v>
      </c>
      <c r="C1456" s="102" t="s">
        <v>1707</v>
      </c>
      <c r="D1456" s="103" t="s">
        <v>26</v>
      </c>
      <c r="E1456" s="91" t="s">
        <v>1708</v>
      </c>
      <c r="F1456" s="91" t="s">
        <v>1709</v>
      </c>
      <c r="G1456" s="91" t="s">
        <v>565</v>
      </c>
      <c r="H1456" s="104" t="str">
        <f t="shared" si="89"/>
        <v>F5441J20</v>
      </c>
      <c r="I1456" s="104"/>
      <c r="J1456" s="105">
        <v>10.89</v>
      </c>
      <c r="K1456" s="106">
        <v>20</v>
      </c>
      <c r="L1456" s="106">
        <v>37</v>
      </c>
      <c r="M1456" s="106">
        <f t="shared" si="88"/>
        <v>17</v>
      </c>
      <c r="N1456" s="106">
        <v>37</v>
      </c>
      <c r="O1456" s="107">
        <v>402.93</v>
      </c>
      <c r="P1456" s="107">
        <v>25870</v>
      </c>
      <c r="Q1456" s="107">
        <v>10423799</v>
      </c>
      <c r="R1456" s="102" t="s">
        <v>30</v>
      </c>
      <c r="S1456" s="108"/>
      <c r="T1456" s="109"/>
      <c r="U1456" s="109"/>
      <c r="V1456" s="102"/>
      <c r="W1456" s="109"/>
      <c r="X1456" s="109"/>
      <c r="Y1456" s="110" t="s">
        <v>290</v>
      </c>
    </row>
    <row r="1457" spans="1:25" s="111" customFormat="1" x14ac:dyDescent="0.2">
      <c r="A1457" s="101">
        <v>46255</v>
      </c>
      <c r="B1457" s="91" t="s">
        <v>1706</v>
      </c>
      <c r="C1457" s="102" t="s">
        <v>1707</v>
      </c>
      <c r="D1457" s="103" t="s">
        <v>26</v>
      </c>
      <c r="E1457" s="91" t="s">
        <v>1708</v>
      </c>
      <c r="F1457" s="91" t="s">
        <v>562</v>
      </c>
      <c r="G1457" s="91" t="s">
        <v>563</v>
      </c>
      <c r="H1457" s="104" t="str">
        <f t="shared" si="89"/>
        <v>F5441J20</v>
      </c>
      <c r="I1457" s="104"/>
      <c r="J1457" s="105">
        <v>5.44</v>
      </c>
      <c r="K1457" s="106">
        <f>IF(D1457="CAESARSTONE LTD",VLOOKUP(H1457,'[2]GIA CA'!G:H,2,0),IF(OR(D1457="STONE FACINGS LIMITED",D1457="NORDIA SA",D1457="INVICTUS STONE COUNTERTOPS INC",D1457="QUARTZTOP LLC"),VLOOKUP(H1457,'[2] Giá ngoài Mỹ - SI-GR'!$B$5:$AZ$84,51,0),IF(OR(D1457="HYUNDAI L&amp;C CANADA INC",D1457="Hyundai L&amp; C USA LLC"),VLOOKUP(H1457,'[2]GIA HS'!A:D,4,0),IF(Y1457="Mỹ",VLOOKUP(H1457,'[2]giá mỹ từ 6.8.2025'!B:I,2,0),VLOOKUP(H1457,'[2]giá ngoài mỹ 6.8.2025 (final)'!B:BP,51,0)))))</f>
        <v>74</v>
      </c>
      <c r="L1457" s="106">
        <v>75.760000000000005</v>
      </c>
      <c r="M1457" s="106">
        <f t="shared" si="88"/>
        <v>1.7600000000000051</v>
      </c>
      <c r="N1457" s="106">
        <v>75.760000000000005</v>
      </c>
      <c r="O1457" s="107">
        <v>412.15</v>
      </c>
      <c r="P1457" s="107">
        <v>25870</v>
      </c>
      <c r="Q1457" s="107">
        <v>10662321</v>
      </c>
      <c r="R1457" s="102" t="s">
        <v>30</v>
      </c>
      <c r="S1457" s="108"/>
      <c r="T1457" s="109"/>
      <c r="U1457" s="109"/>
      <c r="V1457" s="102"/>
      <c r="W1457" s="109"/>
      <c r="X1457" s="109"/>
      <c r="Y1457" s="110" t="s">
        <v>290</v>
      </c>
    </row>
    <row r="1458" spans="1:25" s="111" customFormat="1" x14ac:dyDescent="0.2">
      <c r="A1458" s="101">
        <v>46255</v>
      </c>
      <c r="B1458" s="91" t="s">
        <v>1710</v>
      </c>
      <c r="C1458" s="102" t="s">
        <v>1711</v>
      </c>
      <c r="D1458" s="103" t="s">
        <v>26</v>
      </c>
      <c r="E1458" s="91" t="s">
        <v>1712</v>
      </c>
      <c r="F1458" s="91" t="s">
        <v>465</v>
      </c>
      <c r="G1458" s="91" t="s">
        <v>466</v>
      </c>
      <c r="H1458" s="104" t="str">
        <f t="shared" si="89"/>
        <v>F4011J20</v>
      </c>
      <c r="I1458" s="104"/>
      <c r="J1458" s="105">
        <v>32.67</v>
      </c>
      <c r="K1458" s="106">
        <f>+L1458</f>
        <v>63</v>
      </c>
      <c r="L1458" s="106">
        <v>63</v>
      </c>
      <c r="M1458" s="106">
        <f t="shared" si="88"/>
        <v>0</v>
      </c>
      <c r="N1458" s="106">
        <v>63</v>
      </c>
      <c r="O1458" s="107">
        <v>2058.2399999999998</v>
      </c>
      <c r="P1458" s="107">
        <v>25870</v>
      </c>
      <c r="Q1458" s="107">
        <v>53246669</v>
      </c>
      <c r="R1458" s="102" t="s">
        <v>30</v>
      </c>
      <c r="S1458" s="108"/>
      <c r="T1458" s="109"/>
      <c r="U1458" s="109"/>
      <c r="V1458" s="102"/>
      <c r="W1458" s="109"/>
      <c r="X1458" s="109"/>
      <c r="Y1458" s="110" t="s">
        <v>290</v>
      </c>
    </row>
    <row r="1459" spans="1:25" s="111" customFormat="1" x14ac:dyDescent="0.2">
      <c r="A1459" s="101">
        <v>46255</v>
      </c>
      <c r="B1459" s="91" t="s">
        <v>1710</v>
      </c>
      <c r="C1459" s="102" t="s">
        <v>1711</v>
      </c>
      <c r="D1459" s="103" t="s">
        <v>26</v>
      </c>
      <c r="E1459" s="91" t="s">
        <v>1712</v>
      </c>
      <c r="F1459" s="91" t="s">
        <v>296</v>
      </c>
      <c r="G1459" s="91" t="s">
        <v>297</v>
      </c>
      <c r="H1459" s="104" t="str">
        <f t="shared" si="89"/>
        <v>F5130J20</v>
      </c>
      <c r="I1459" s="104"/>
      <c r="J1459" s="105">
        <v>239.58</v>
      </c>
      <c r="K1459" s="106">
        <f>IF(D1459="CAESARSTONE LTD",VLOOKUP(H1459,'[2]GIA CA'!G:H,2,0),IF(OR(D1459="STONE FACINGS LIMITED",D1459="NORDIA SA",D1459="INVICTUS STONE COUNTERTOPS INC",D1459="QUARTZTOP LLC"),VLOOKUP(H1459,'[2] Giá ngoài Mỹ - SI-GR'!$B$5:$AZ$84,51,0),IF(OR(D1459="HYUNDAI L&amp;C CANADA INC",D1459="Hyundai L&amp; C USA LLC"),VLOOKUP(H1459,'[2]GIA HS'!A:D,4,0),IF(Y1459="Mỹ",VLOOKUP(H1459,'[2]giá mỹ từ 6.8.2025'!B:I,2,0),VLOOKUP(H1459,'[2]giá ngoài mỹ 6.8.2025 (final)'!B:BP,51,0)))))</f>
        <v>62</v>
      </c>
      <c r="L1459" s="106">
        <v>62</v>
      </c>
      <c r="M1459" s="106">
        <f t="shared" si="88"/>
        <v>0</v>
      </c>
      <c r="N1459" s="106">
        <v>62</v>
      </c>
      <c r="O1459" s="107">
        <v>14853.96</v>
      </c>
      <c r="P1459" s="107">
        <v>25870</v>
      </c>
      <c r="Q1459" s="107">
        <v>384271945</v>
      </c>
      <c r="R1459" s="102" t="s">
        <v>30</v>
      </c>
      <c r="S1459" s="108"/>
      <c r="T1459" s="109"/>
      <c r="U1459" s="109"/>
      <c r="V1459" s="102"/>
      <c r="W1459" s="109"/>
      <c r="X1459" s="109"/>
      <c r="Y1459" s="110" t="s">
        <v>290</v>
      </c>
    </row>
    <row r="1460" spans="1:25" s="111" customFormat="1" x14ac:dyDescent="0.2">
      <c r="A1460" s="101">
        <v>46255</v>
      </c>
      <c r="B1460" s="91" t="s">
        <v>1710</v>
      </c>
      <c r="C1460" s="102" t="s">
        <v>1711</v>
      </c>
      <c r="D1460" s="103" t="s">
        <v>26</v>
      </c>
      <c r="E1460" s="91" t="s">
        <v>1712</v>
      </c>
      <c r="F1460" s="91" t="s">
        <v>291</v>
      </c>
      <c r="G1460" s="91" t="s">
        <v>292</v>
      </c>
      <c r="H1460" s="104" t="str">
        <f t="shared" si="89"/>
        <v>F5133J20</v>
      </c>
      <c r="I1460" s="104"/>
      <c r="J1460" s="105">
        <v>32.67</v>
      </c>
      <c r="K1460" s="106">
        <f>IF(D1460="CAESARSTONE LTD",VLOOKUP(H1460,'[2]GIA CA'!G:H,2,0),IF(OR(D1460="STONE FACINGS LIMITED",D1460="NORDIA SA",D1460="INVICTUS STONE COUNTERTOPS INC",D1460="QUARTZTOP LLC"),VLOOKUP(H1460,'[2] Giá ngoài Mỹ - SI-GR'!$B$5:$AZ$84,51,0),IF(OR(D1460="HYUNDAI L&amp;C CANADA INC",D1460="Hyundai L&amp; C USA LLC"),VLOOKUP(H1460,'[2]GIA HS'!A:D,4,0),IF(Y1460="Mỹ",VLOOKUP(H1460,'[2]giá mỹ từ 6.8.2025'!B:I,2,0),VLOOKUP(H1460,'[2]giá ngoài mỹ 6.8.2025 (final)'!B:BP,51,0)))))</f>
        <v>62</v>
      </c>
      <c r="L1460" s="106">
        <v>62</v>
      </c>
      <c r="M1460" s="106">
        <f t="shared" si="88"/>
        <v>0</v>
      </c>
      <c r="N1460" s="106">
        <v>62</v>
      </c>
      <c r="O1460" s="107">
        <v>2025.54</v>
      </c>
      <c r="P1460" s="107">
        <v>25870</v>
      </c>
      <c r="Q1460" s="107">
        <v>52400720</v>
      </c>
      <c r="R1460" s="102" t="s">
        <v>30</v>
      </c>
      <c r="S1460" s="108"/>
      <c r="T1460" s="109"/>
      <c r="U1460" s="109"/>
      <c r="V1460" s="102"/>
      <c r="W1460" s="109"/>
      <c r="X1460" s="109"/>
      <c r="Y1460" s="110" t="s">
        <v>290</v>
      </c>
    </row>
    <row r="1461" spans="1:25" s="111" customFormat="1" x14ac:dyDescent="0.2">
      <c r="A1461" s="101">
        <v>46255</v>
      </c>
      <c r="B1461" s="91" t="s">
        <v>1710</v>
      </c>
      <c r="C1461" s="102" t="s">
        <v>1711</v>
      </c>
      <c r="D1461" s="103" t="s">
        <v>26</v>
      </c>
      <c r="E1461" s="91" t="s">
        <v>1712</v>
      </c>
      <c r="F1461" s="91" t="s">
        <v>771</v>
      </c>
      <c r="G1461" s="91" t="s">
        <v>563</v>
      </c>
      <c r="H1461" s="104" t="str">
        <f t="shared" si="89"/>
        <v>F5441J20</v>
      </c>
      <c r="I1461" s="104"/>
      <c r="J1461" s="105">
        <v>32.67</v>
      </c>
      <c r="K1461" s="106">
        <f>IF(D1461="CAESARSTONE LTD",VLOOKUP(H1461,'[2]GIA CA'!G:H,2,0),IF(OR(D1461="STONE FACINGS LIMITED",D1461="NORDIA SA",D1461="INVICTUS STONE COUNTERTOPS INC",D1461="QUARTZTOP LLC"),VLOOKUP(H1461,'[2] Giá ngoài Mỹ - SI-GR'!$B$5:$AZ$84,51,0),IF(OR(D1461="HYUNDAI L&amp;C CANADA INC",D1461="Hyundai L&amp; C USA LLC"),VLOOKUP(H1461,'[2]GIA HS'!A:D,4,0),IF(Y1461="Mỹ",VLOOKUP(H1461,'[2]giá mỹ từ 6.8.2025'!B:I,2,0),VLOOKUP(H1461,'[2]giá ngoài mỹ 6.8.2025 (final)'!B:BP,51,0)))))</f>
        <v>74</v>
      </c>
      <c r="L1461" s="106">
        <v>79.47</v>
      </c>
      <c r="M1461" s="106">
        <f t="shared" si="88"/>
        <v>5.4699999999999989</v>
      </c>
      <c r="N1461" s="106">
        <v>79.47</v>
      </c>
      <c r="O1461" s="107">
        <v>2596.35</v>
      </c>
      <c r="P1461" s="107">
        <v>25870</v>
      </c>
      <c r="Q1461" s="107">
        <v>67167575</v>
      </c>
      <c r="R1461" s="102" t="s">
        <v>30</v>
      </c>
      <c r="S1461" s="108"/>
      <c r="T1461" s="109"/>
      <c r="U1461" s="109"/>
      <c r="V1461" s="102"/>
      <c r="W1461" s="109"/>
      <c r="X1461" s="109"/>
      <c r="Y1461" s="110" t="s">
        <v>290</v>
      </c>
    </row>
    <row r="1462" spans="1:25" s="111" customFormat="1" x14ac:dyDescent="0.2">
      <c r="A1462" s="101">
        <v>46255</v>
      </c>
      <c r="B1462" s="91" t="s">
        <v>1710</v>
      </c>
      <c r="C1462" s="102" t="s">
        <v>1711</v>
      </c>
      <c r="D1462" s="103" t="s">
        <v>26</v>
      </c>
      <c r="E1462" s="91" t="s">
        <v>1712</v>
      </c>
      <c r="F1462" s="91" t="s">
        <v>458</v>
      </c>
      <c r="G1462" s="91" t="s">
        <v>459</v>
      </c>
      <c r="H1462" s="104" t="str">
        <f t="shared" si="89"/>
        <v>F6131J20</v>
      </c>
      <c r="I1462" s="104"/>
      <c r="J1462" s="105">
        <v>130.68</v>
      </c>
      <c r="K1462" s="106">
        <f>IF(D1462="CAESARSTONE LTD",VLOOKUP(H1462,'[2]GIA CA'!G:H,2,0),IF(OR(D1462="STONE FACINGS LIMITED",D1462="NORDIA SA",D1462="INVICTUS STONE COUNTERTOPS INC",D1462="QUARTZTOP LLC"),VLOOKUP(H1462,'[2] Giá ngoài Mỹ - SI-GR'!$B$5:$AZ$84,51,0),IF(OR(D1462="HYUNDAI L&amp;C CANADA INC",D1462="Hyundai L&amp; C USA LLC"),VLOOKUP(H1462,'[2]GIA HS'!A:D,4,0),IF(Y1462="Mỹ",VLOOKUP(H1462,'[2]giá mỹ từ 6.8.2025'!B:I,2,0),VLOOKUP(H1462,'[2]giá ngoài mỹ 6.8.2025 (final)'!B:BP,51,0)))))</f>
        <v>62</v>
      </c>
      <c r="L1462" s="106">
        <v>64.66</v>
      </c>
      <c r="M1462" s="106">
        <f t="shared" si="88"/>
        <v>2.6599999999999966</v>
      </c>
      <c r="N1462" s="106">
        <v>64.66</v>
      </c>
      <c r="O1462" s="107">
        <v>8449.41</v>
      </c>
      <c r="P1462" s="107">
        <v>25870</v>
      </c>
      <c r="Q1462" s="107">
        <v>218586237</v>
      </c>
      <c r="R1462" s="102" t="s">
        <v>30</v>
      </c>
      <c r="S1462" s="108"/>
      <c r="T1462" s="109"/>
      <c r="U1462" s="109"/>
      <c r="V1462" s="102"/>
      <c r="W1462" s="109"/>
      <c r="X1462" s="109"/>
      <c r="Y1462" s="110" t="s">
        <v>290</v>
      </c>
    </row>
    <row r="1463" spans="1:25" s="111" customFormat="1" x14ac:dyDescent="0.2">
      <c r="A1463" s="101">
        <v>46255</v>
      </c>
      <c r="B1463" s="91" t="s">
        <v>1713</v>
      </c>
      <c r="C1463" s="102" t="s">
        <v>1714</v>
      </c>
      <c r="D1463" s="103" t="s">
        <v>26</v>
      </c>
      <c r="E1463" s="91" t="s">
        <v>1715</v>
      </c>
      <c r="F1463" s="91" t="s">
        <v>296</v>
      </c>
      <c r="G1463" s="91" t="s">
        <v>297</v>
      </c>
      <c r="H1463" s="104" t="str">
        <f t="shared" si="89"/>
        <v>F5130J20</v>
      </c>
      <c r="I1463" s="104"/>
      <c r="J1463" s="105">
        <v>479.16</v>
      </c>
      <c r="K1463" s="106">
        <f>IF(D1463="CAESARSTONE LTD",VLOOKUP(H1463,'[2]GIA CA'!G:H,2,0),IF(OR(D1463="STONE FACINGS LIMITED",D1463="NORDIA SA",D1463="INVICTUS STONE COUNTERTOPS INC",D1463="QUARTZTOP LLC"),VLOOKUP(H1463,'[2] Giá ngoài Mỹ - SI-GR'!$B$5:$AZ$84,51,0),IF(OR(D1463="HYUNDAI L&amp;C CANADA INC",D1463="Hyundai L&amp; C USA LLC"),VLOOKUP(H1463,'[2]GIA HS'!A:D,4,0),IF(Y1463="Mỹ",VLOOKUP(H1463,'[2]giá mỹ từ 6.8.2025'!B:I,2,0),VLOOKUP(H1463,'[2]giá ngoài mỹ 6.8.2025 (final)'!B:BP,51,0)))))</f>
        <v>62</v>
      </c>
      <c r="L1463" s="106">
        <v>65.099999999999994</v>
      </c>
      <c r="M1463" s="106">
        <f t="shared" si="88"/>
        <v>3.0999999999999943</v>
      </c>
      <c r="N1463" s="106">
        <v>65.099999999999994</v>
      </c>
      <c r="O1463" s="107">
        <v>31193.360000000001</v>
      </c>
      <c r="P1463" s="107">
        <v>25870</v>
      </c>
      <c r="Q1463" s="107">
        <v>806972223</v>
      </c>
      <c r="R1463" s="102" t="s">
        <v>30</v>
      </c>
      <c r="S1463" s="108"/>
      <c r="T1463" s="109"/>
      <c r="U1463" s="109"/>
      <c r="V1463" s="102"/>
      <c r="W1463" s="109"/>
      <c r="X1463" s="109"/>
      <c r="Y1463" s="110" t="s">
        <v>290</v>
      </c>
    </row>
    <row r="1464" spans="1:25" s="111" customFormat="1" x14ac:dyDescent="0.2">
      <c r="A1464" s="101">
        <v>46255</v>
      </c>
      <c r="B1464" s="91" t="s">
        <v>1716</v>
      </c>
      <c r="C1464" s="102" t="s">
        <v>1717</v>
      </c>
      <c r="D1464" s="103" t="s">
        <v>26</v>
      </c>
      <c r="E1464" s="91" t="s">
        <v>1718</v>
      </c>
      <c r="F1464" s="91" t="s">
        <v>296</v>
      </c>
      <c r="G1464" s="91" t="s">
        <v>297</v>
      </c>
      <c r="H1464" s="104" t="str">
        <f t="shared" si="89"/>
        <v>F5130J20</v>
      </c>
      <c r="I1464" s="104"/>
      <c r="J1464" s="105">
        <v>479.16</v>
      </c>
      <c r="K1464" s="106">
        <f>IF(D1464="CAESARSTONE LTD",VLOOKUP(H1464,'[2]GIA CA'!G:H,2,0),IF(OR(D1464="STONE FACINGS LIMITED",D1464="NORDIA SA",D1464="INVICTUS STONE COUNTERTOPS INC",D1464="QUARTZTOP LLC"),VLOOKUP(H1464,'[2] Giá ngoài Mỹ - SI-GR'!$B$5:$AZ$84,51,0),IF(OR(D1464="HYUNDAI L&amp;C CANADA INC",D1464="Hyundai L&amp; C USA LLC"),VLOOKUP(H1464,'[2]GIA HS'!A:D,4,0),IF(Y1464="Mỹ",VLOOKUP(H1464,'[2]giá mỹ từ 6.8.2025'!B:I,2,0),VLOOKUP(H1464,'[2]giá ngoài mỹ 6.8.2025 (final)'!B:BP,51,0)))))</f>
        <v>62</v>
      </c>
      <c r="L1464" s="106">
        <v>62</v>
      </c>
      <c r="M1464" s="106">
        <f t="shared" si="88"/>
        <v>0</v>
      </c>
      <c r="N1464" s="106">
        <v>62</v>
      </c>
      <c r="O1464" s="107">
        <v>29707.919999999998</v>
      </c>
      <c r="P1464" s="107">
        <v>25870</v>
      </c>
      <c r="Q1464" s="107">
        <v>768543890</v>
      </c>
      <c r="R1464" s="102" t="s">
        <v>30</v>
      </c>
      <c r="S1464" s="108"/>
      <c r="T1464" s="109"/>
      <c r="U1464" s="109"/>
      <c r="V1464" s="102"/>
      <c r="W1464" s="109"/>
      <c r="X1464" s="109"/>
      <c r="Y1464" s="110" t="s">
        <v>290</v>
      </c>
    </row>
    <row r="1465" spans="1:25" s="111" customFormat="1" x14ac:dyDescent="0.2">
      <c r="A1465" s="101">
        <v>46255</v>
      </c>
      <c r="B1465" s="91" t="s">
        <v>1719</v>
      </c>
      <c r="C1465" s="102" t="s">
        <v>1720</v>
      </c>
      <c r="D1465" s="103" t="s">
        <v>26</v>
      </c>
      <c r="E1465" s="91" t="s">
        <v>1721</v>
      </c>
      <c r="F1465" s="91" t="s">
        <v>895</v>
      </c>
      <c r="G1465" s="91" t="s">
        <v>896</v>
      </c>
      <c r="H1465" s="104" t="str">
        <f t="shared" si="89"/>
        <v>C4143J30</v>
      </c>
      <c r="I1465" s="104"/>
      <c r="J1465" s="105">
        <v>114.35</v>
      </c>
      <c r="K1465" s="106">
        <f>IF(D1465="CAESARSTONE LTD",VLOOKUP(H1465,'[2]GIA CA'!G:H,2,0),IF(OR(D1465="STONE FACINGS LIMITED",D1465="NORDIA SA",D1465="INVICTUS STONE COUNTERTOPS INC",D1465="QUARTZTOP LLC"),VLOOKUP(H1465,'[2] Giá ngoài Mỹ - SI-GR'!$B$5:$AZ$84,51,0),IF(OR(D1465="HYUNDAI L&amp;C CANADA INC",D1465="Hyundai L&amp; C USA LLC"),VLOOKUP(H1465,'[2]GIA HS'!A:D,4,0),IF(Y1465="Mỹ",VLOOKUP(H1465,'[2]giá mỹ từ 6.8.2025'!B:I,2,0),VLOOKUP(H1465,'[2]giá ngoài mỹ 6.8.2025 (final)'!B:BP,51,0)))))</f>
        <v>71.3</v>
      </c>
      <c r="L1465" s="106">
        <v>74.8</v>
      </c>
      <c r="M1465" s="106">
        <f t="shared" si="88"/>
        <v>3.5</v>
      </c>
      <c r="N1465" s="106">
        <v>74.8</v>
      </c>
      <c r="O1465" s="107">
        <v>8553.09</v>
      </c>
      <c r="P1465" s="107">
        <v>25870</v>
      </c>
      <c r="Q1465" s="107">
        <v>221268438</v>
      </c>
      <c r="R1465" s="102" t="s">
        <v>30</v>
      </c>
      <c r="S1465" s="108"/>
      <c r="T1465" s="109"/>
      <c r="U1465" s="109"/>
      <c r="V1465" s="102"/>
      <c r="W1465" s="109"/>
      <c r="X1465" s="109"/>
      <c r="Y1465" s="110" t="s">
        <v>31</v>
      </c>
    </row>
    <row r="1466" spans="1:25" s="111" customFormat="1" x14ac:dyDescent="0.2">
      <c r="A1466" s="101">
        <v>46255</v>
      </c>
      <c r="B1466" s="91" t="s">
        <v>1719</v>
      </c>
      <c r="C1466" s="102" t="s">
        <v>1720</v>
      </c>
      <c r="D1466" s="103" t="s">
        <v>26</v>
      </c>
      <c r="E1466" s="91" t="s">
        <v>1721</v>
      </c>
      <c r="F1466" s="91" t="s">
        <v>72</v>
      </c>
      <c r="G1466" s="91" t="s">
        <v>73</v>
      </c>
      <c r="H1466" s="104" t="str">
        <f t="shared" si="89"/>
        <v>C5143J30</v>
      </c>
      <c r="I1466" s="104"/>
      <c r="J1466" s="105">
        <v>38.119999999999997</v>
      </c>
      <c r="K1466" s="106">
        <f>IF(D1466="CAESARSTONE LTD",VLOOKUP(H1466,'[2]GIA CA'!G:H,2,0),IF(OR(D1466="STONE FACINGS LIMITED",D1466="NORDIA SA",D1466="INVICTUS STONE COUNTERTOPS INC",D1466="QUARTZTOP LLC"),VLOOKUP(H1466,'[2] Giá ngoài Mỹ - SI-GR'!$B$5:$AZ$84,51,0),IF(OR(D1466="HYUNDAI L&amp;C CANADA INC",D1466="Hyundai L&amp; C USA LLC"),VLOOKUP(H1466,'[2]GIA HS'!A:D,4,0),IF(Y1466="Mỹ",VLOOKUP(H1466,'[2]giá mỹ từ 6.8.2025'!B:I,2,0),VLOOKUP(H1466,'[2]giá ngoài mỹ 6.8.2025 (final)'!B:BP,51,0)))))</f>
        <v>73.75</v>
      </c>
      <c r="L1466" s="106">
        <v>73.739999999999995</v>
      </c>
      <c r="M1466" s="106">
        <f t="shared" si="88"/>
        <v>-1.0000000000005116E-2</v>
      </c>
      <c r="N1466" s="106">
        <v>73.739999999999995</v>
      </c>
      <c r="O1466" s="107">
        <v>2810.99</v>
      </c>
      <c r="P1466" s="107">
        <v>25870</v>
      </c>
      <c r="Q1466" s="107">
        <v>72720311</v>
      </c>
      <c r="R1466" s="102" t="s">
        <v>30</v>
      </c>
      <c r="S1466" s="108"/>
      <c r="T1466" s="109"/>
      <c r="U1466" s="109"/>
      <c r="V1466" s="102"/>
      <c r="W1466" s="109"/>
      <c r="X1466" s="109"/>
      <c r="Y1466" s="110" t="s">
        <v>31</v>
      </c>
    </row>
    <row r="1467" spans="1:25" s="111" customFormat="1" x14ac:dyDescent="0.2">
      <c r="A1467" s="101">
        <v>46255</v>
      </c>
      <c r="B1467" s="91" t="s">
        <v>1719</v>
      </c>
      <c r="C1467" s="102" t="s">
        <v>1720</v>
      </c>
      <c r="D1467" s="103" t="s">
        <v>26</v>
      </c>
      <c r="E1467" s="91" t="s">
        <v>1721</v>
      </c>
      <c r="F1467" s="91" t="s">
        <v>77</v>
      </c>
      <c r="G1467" s="91" t="s">
        <v>78</v>
      </c>
      <c r="H1467" s="104" t="str">
        <f t="shared" si="89"/>
        <v>C5212J30</v>
      </c>
      <c r="I1467" s="104"/>
      <c r="J1467" s="105">
        <v>38.119999999999997</v>
      </c>
      <c r="K1467" s="106">
        <f>IF(D1467="CAESARSTONE LTD",VLOOKUP(H1467,'[2]GIA CA'!G:H,2,0),IF(OR(D1467="STONE FACINGS LIMITED",D1467="NORDIA SA",D1467="INVICTUS STONE COUNTERTOPS INC",D1467="QUARTZTOP LLC"),VLOOKUP(H1467,'[2] Giá ngoài Mỹ - SI-GR'!$B$5:$AZ$84,51,0),IF(OR(D1467="HYUNDAI L&amp;C CANADA INC",D1467="Hyundai L&amp; C USA LLC"),VLOOKUP(H1467,'[2]GIA HS'!A:D,4,0),IF(Y1467="Mỹ",VLOOKUP(H1467,'[2]giá mỹ từ 6.8.2025'!B:I,2,0),VLOOKUP(H1467,'[2]giá ngoài mỹ 6.8.2025 (final)'!B:BP,51,0)))))</f>
        <v>73.75</v>
      </c>
      <c r="L1467" s="106">
        <v>77.39</v>
      </c>
      <c r="M1467" s="106">
        <f t="shared" si="88"/>
        <v>3.6400000000000006</v>
      </c>
      <c r="N1467" s="106">
        <v>77.39</v>
      </c>
      <c r="O1467" s="107">
        <v>2950.08</v>
      </c>
      <c r="P1467" s="107">
        <v>25870</v>
      </c>
      <c r="Q1467" s="107">
        <v>76318570</v>
      </c>
      <c r="R1467" s="102" t="s">
        <v>30</v>
      </c>
      <c r="S1467" s="108"/>
      <c r="T1467" s="109"/>
      <c r="U1467" s="109"/>
      <c r="V1467" s="102"/>
      <c r="W1467" s="109"/>
      <c r="X1467" s="109"/>
      <c r="Y1467" s="110" t="s">
        <v>31</v>
      </c>
    </row>
    <row r="1468" spans="1:25" s="111" customFormat="1" x14ac:dyDescent="0.2">
      <c r="A1468" s="101">
        <v>46255</v>
      </c>
      <c r="B1468" s="91" t="s">
        <v>1719</v>
      </c>
      <c r="C1468" s="102" t="s">
        <v>1720</v>
      </c>
      <c r="D1468" s="103" t="s">
        <v>26</v>
      </c>
      <c r="E1468" s="91" t="s">
        <v>1721</v>
      </c>
      <c r="F1468" s="91" t="s">
        <v>1722</v>
      </c>
      <c r="G1468" s="91" t="s">
        <v>33</v>
      </c>
      <c r="H1468" s="104" t="str">
        <f t="shared" si="89"/>
        <v>F4001J30</v>
      </c>
      <c r="I1468" s="104"/>
      <c r="J1468" s="105">
        <v>38.119999999999997</v>
      </c>
      <c r="K1468" s="106">
        <f>IF(D1468="CAESARSTONE LTD",VLOOKUP(H1468,'[2]GIA CA'!G:H,2,0),IF(OR(D1468="STONE FACINGS LIMITED",D1468="NORDIA SA",D1468="INVICTUS STONE COUNTERTOPS INC",D1468="QUARTZTOP LLC"),VLOOKUP(H1468,'[2] Giá ngoài Mỹ - SI-GR'!$B$5:$AZ$84,51,0),IF(OR(D1468="HYUNDAI L&amp;C CANADA INC",D1468="Hyundai L&amp; C USA LLC"),VLOOKUP(H1468,'[2]GIA HS'!A:D,4,0),IF(Y1468="Mỹ",VLOOKUP(H1468,'[2]giá mỹ từ 6.8.2025'!B:I,2,0),VLOOKUP(H1468,'[2]giá ngoài mỹ 6.8.2025 (final)'!B:BP,51,0)))))</f>
        <v>72.5</v>
      </c>
      <c r="L1468" s="106">
        <v>76.09</v>
      </c>
      <c r="M1468" s="106">
        <f t="shared" si="88"/>
        <v>3.5900000000000034</v>
      </c>
      <c r="N1468" s="106">
        <v>76.09</v>
      </c>
      <c r="O1468" s="107">
        <v>2900.52</v>
      </c>
      <c r="P1468" s="107">
        <v>25870</v>
      </c>
      <c r="Q1468" s="107">
        <v>75036452</v>
      </c>
      <c r="R1468" s="102" t="s">
        <v>30</v>
      </c>
      <c r="S1468" s="108"/>
      <c r="T1468" s="109"/>
      <c r="U1468" s="109"/>
      <c r="V1468" s="102"/>
      <c r="W1468" s="109"/>
      <c r="X1468" s="109"/>
      <c r="Y1468" s="110" t="s">
        <v>31</v>
      </c>
    </row>
    <row r="1469" spans="1:25" s="111" customFormat="1" x14ac:dyDescent="0.2">
      <c r="A1469" s="101">
        <v>46255</v>
      </c>
      <c r="B1469" s="91" t="s">
        <v>1719</v>
      </c>
      <c r="C1469" s="102" t="s">
        <v>1720</v>
      </c>
      <c r="D1469" s="103" t="s">
        <v>26</v>
      </c>
      <c r="E1469" s="91" t="s">
        <v>1721</v>
      </c>
      <c r="F1469" s="91" t="s">
        <v>38</v>
      </c>
      <c r="G1469" s="91" t="s">
        <v>39</v>
      </c>
      <c r="H1469" s="104" t="str">
        <f t="shared" si="89"/>
        <v>F5143J30</v>
      </c>
      <c r="I1469" s="104"/>
      <c r="J1469" s="105">
        <v>38.119999999999997</v>
      </c>
      <c r="K1469" s="106">
        <f>IF(D1469="CAESARSTONE LTD",VLOOKUP(H1469,'[2]GIA CA'!G:H,2,0),IF(OR(D1469="STONE FACINGS LIMITED",D1469="NORDIA SA",D1469="INVICTUS STONE COUNTERTOPS INC",D1469="QUARTZTOP LLC"),VLOOKUP(H1469,'[2] Giá ngoài Mỹ - SI-GR'!$B$5:$AZ$84,51,0),IF(OR(D1469="HYUNDAI L&amp;C CANADA INC",D1469="Hyundai L&amp; C USA LLC"),VLOOKUP(H1469,'[2]GIA HS'!A:D,4,0),IF(Y1469="Mỹ",VLOOKUP(H1469,'[2]giá mỹ từ 6.8.2025'!B:I,2,0),VLOOKUP(H1469,'[2]giá ngoài mỹ 6.8.2025 (final)'!B:BP,51,0)))))</f>
        <v>77.5</v>
      </c>
      <c r="L1469" s="106">
        <v>81.39</v>
      </c>
      <c r="M1469" s="106">
        <f t="shared" si="88"/>
        <v>3.8900000000000006</v>
      </c>
      <c r="N1469" s="106">
        <v>81.39</v>
      </c>
      <c r="O1469" s="107">
        <v>3102.54</v>
      </c>
      <c r="P1469" s="107">
        <v>25870</v>
      </c>
      <c r="Q1469" s="107">
        <v>80262710</v>
      </c>
      <c r="R1469" s="102" t="s">
        <v>30</v>
      </c>
      <c r="S1469" s="108"/>
      <c r="T1469" s="109"/>
      <c r="U1469" s="109"/>
      <c r="V1469" s="102"/>
      <c r="W1469" s="109"/>
      <c r="X1469" s="109"/>
      <c r="Y1469" s="110" t="s">
        <v>31</v>
      </c>
    </row>
    <row r="1470" spans="1:25" s="111" customFormat="1" x14ac:dyDescent="0.2">
      <c r="A1470" s="101">
        <v>46255</v>
      </c>
      <c r="B1470" s="91" t="s">
        <v>1719</v>
      </c>
      <c r="C1470" s="102" t="s">
        <v>1720</v>
      </c>
      <c r="D1470" s="103" t="s">
        <v>26</v>
      </c>
      <c r="E1470" s="91" t="s">
        <v>1721</v>
      </c>
      <c r="F1470" s="91" t="s">
        <v>239</v>
      </c>
      <c r="G1470" s="91" t="s">
        <v>240</v>
      </c>
      <c r="H1470" s="104" t="str">
        <f t="shared" si="89"/>
        <v>F5144J30</v>
      </c>
      <c r="I1470" s="104"/>
      <c r="J1470" s="105">
        <v>38.119999999999997</v>
      </c>
      <c r="K1470" s="106">
        <f>IF(D1470="CAESARSTONE LTD",VLOOKUP(H1470,'[2]GIA CA'!G:H,2,0),IF(OR(D1470="STONE FACINGS LIMITED",D1470="NORDIA SA",D1470="INVICTUS STONE COUNTERTOPS INC",D1470="QUARTZTOP LLC"),VLOOKUP(H1470,'[2] Giá ngoài Mỹ - SI-GR'!$B$5:$AZ$84,51,0),IF(OR(D1470="HYUNDAI L&amp;C CANADA INC",D1470="Hyundai L&amp; C USA LLC"),VLOOKUP(H1470,'[2]GIA HS'!A:D,4,0),IF(Y1470="Mỹ",VLOOKUP(H1470,'[2]giá mỹ từ 6.8.2025'!B:I,2,0),VLOOKUP(H1470,'[2]giá ngoài mỹ 6.8.2025 (final)'!B:BP,51,0)))))</f>
        <v>77.5</v>
      </c>
      <c r="L1470" s="106">
        <v>81.39</v>
      </c>
      <c r="M1470" s="106">
        <f t="shared" si="88"/>
        <v>3.8900000000000006</v>
      </c>
      <c r="N1470" s="106">
        <v>81.39</v>
      </c>
      <c r="O1470" s="107">
        <v>3102.54</v>
      </c>
      <c r="P1470" s="107">
        <v>25870</v>
      </c>
      <c r="Q1470" s="107">
        <v>80262710</v>
      </c>
      <c r="R1470" s="102" t="s">
        <v>30</v>
      </c>
      <c r="S1470" s="108"/>
      <c r="T1470" s="109"/>
      <c r="U1470" s="109"/>
      <c r="V1470" s="102"/>
      <c r="W1470" s="109"/>
      <c r="X1470" s="109"/>
      <c r="Y1470" s="110" t="s">
        <v>31</v>
      </c>
    </row>
    <row r="1471" spans="1:25" s="111" customFormat="1" x14ac:dyDescent="0.2">
      <c r="A1471" s="101">
        <v>46255</v>
      </c>
      <c r="B1471" s="91" t="s">
        <v>1723</v>
      </c>
      <c r="C1471" s="102" t="s">
        <v>1724</v>
      </c>
      <c r="D1471" s="103" t="s">
        <v>26</v>
      </c>
      <c r="E1471" s="91" t="s">
        <v>1725</v>
      </c>
      <c r="F1471" s="91" t="s">
        <v>1343</v>
      </c>
      <c r="G1471" s="91" t="s">
        <v>1344</v>
      </c>
      <c r="H1471" s="104" t="str">
        <f t="shared" si="89"/>
        <v>F6134J20</v>
      </c>
      <c r="I1471" s="104"/>
      <c r="J1471" s="105">
        <v>479.16</v>
      </c>
      <c r="K1471" s="106">
        <f>IF(D1471="CAESARSTONE LTD",VLOOKUP(H1471,'[2]GIA CA'!G:H,2,0),IF(OR(D1471="STONE FACINGS LIMITED",D1471="NORDIA SA",D1471="INVICTUS STONE COUNTERTOPS INC",D1471="QUARTZTOP LLC"),VLOOKUP(H1471,'[2] Giá ngoài Mỹ - SI-GR'!$B$5:$AZ$84,51,0),IF(OR(D1471="HYUNDAI L&amp;C CANADA INC",D1471="Hyundai L&amp; C USA LLC"),VLOOKUP(H1471,'[2]GIA HS'!A:D,4,0),IF(Y1471="Mỹ",VLOOKUP(H1471,'[2]giá mỹ từ 6.8.2025'!B:I,2,0),VLOOKUP(H1471,'[2]giá ngoài mỹ 6.8.2025 (final)'!B:BP,51,0)))))</f>
        <v>62</v>
      </c>
      <c r="L1471" s="106">
        <v>65.099999999999994</v>
      </c>
      <c r="M1471" s="106">
        <f t="shared" si="88"/>
        <v>3.0999999999999943</v>
      </c>
      <c r="N1471" s="106">
        <v>65.099999999999994</v>
      </c>
      <c r="O1471" s="107">
        <v>31193.360000000001</v>
      </c>
      <c r="P1471" s="107">
        <v>25870</v>
      </c>
      <c r="Q1471" s="107">
        <v>806972223</v>
      </c>
      <c r="R1471" s="102" t="s">
        <v>30</v>
      </c>
      <c r="S1471" s="108"/>
      <c r="T1471" s="109"/>
      <c r="U1471" s="109"/>
      <c r="V1471" s="102"/>
      <c r="W1471" s="109"/>
      <c r="X1471" s="109"/>
      <c r="Y1471" s="110" t="s">
        <v>290</v>
      </c>
    </row>
    <row r="1472" spans="1:25" s="111" customFormat="1" x14ac:dyDescent="0.2">
      <c r="A1472" s="101">
        <v>46255</v>
      </c>
      <c r="B1472" s="91" t="s">
        <v>1723</v>
      </c>
      <c r="C1472" s="102" t="s">
        <v>1724</v>
      </c>
      <c r="D1472" s="103" t="s">
        <v>26</v>
      </c>
      <c r="E1472" s="91" t="s">
        <v>1725</v>
      </c>
      <c r="F1472" s="91" t="s">
        <v>887</v>
      </c>
      <c r="G1472" s="91" t="s">
        <v>888</v>
      </c>
      <c r="H1472" s="104" t="str">
        <f t="shared" si="89"/>
        <v>F5444J20</v>
      </c>
      <c r="I1472" s="104"/>
      <c r="J1472" s="105">
        <v>392.04</v>
      </c>
      <c r="K1472" s="106">
        <f>IF(D1472="CAESARSTONE LTD",VLOOKUP(H1472,'[2]GIA CA'!G:H,2,0),IF(OR(D1472="STONE FACINGS LIMITED",D1472="NORDIA SA",D1472="INVICTUS STONE COUNTERTOPS INC",D1472="QUARTZTOP LLC"),VLOOKUP(H1472,'[2] Giá ngoài Mỹ - SI-GR'!$B$5:$AZ$84,51,0),IF(OR(D1472="HYUNDAI L&amp;C CANADA INC",D1472="Hyundai L&amp; C USA LLC"),VLOOKUP(H1472,'[2]GIA HS'!A:D,4,0),IF(Y1472="Mỹ",VLOOKUP(H1472,'[2]giá mỹ từ 6.8.2025'!B:I,2,0),VLOOKUP(H1472,'[2]giá ngoài mỹ 6.8.2025 (final)'!B:BP,51,0)))))</f>
        <v>74</v>
      </c>
      <c r="L1472" s="106">
        <v>77.7</v>
      </c>
      <c r="M1472" s="106">
        <f t="shared" si="88"/>
        <v>3.7000000000000028</v>
      </c>
      <c r="N1472" s="106">
        <v>77.7</v>
      </c>
      <c r="O1472" s="107">
        <v>30461.759999999998</v>
      </c>
      <c r="P1472" s="107">
        <v>25870</v>
      </c>
      <c r="Q1472" s="107">
        <v>788045731</v>
      </c>
      <c r="R1472" s="102" t="s">
        <v>30</v>
      </c>
      <c r="S1472" s="108"/>
      <c r="T1472" s="109"/>
      <c r="U1472" s="109"/>
      <c r="V1472" s="102"/>
      <c r="W1472" s="109"/>
      <c r="X1472" s="109"/>
      <c r="Y1472" s="110" t="s">
        <v>290</v>
      </c>
    </row>
    <row r="1473" spans="1:25" s="111" customFormat="1" x14ac:dyDescent="0.2">
      <c r="A1473" s="101">
        <v>46255</v>
      </c>
      <c r="B1473" s="91" t="s">
        <v>1723</v>
      </c>
      <c r="C1473" s="102" t="s">
        <v>1724</v>
      </c>
      <c r="D1473" s="103" t="s">
        <v>26</v>
      </c>
      <c r="E1473" s="91" t="s">
        <v>1725</v>
      </c>
      <c r="F1473" s="91" t="s">
        <v>1726</v>
      </c>
      <c r="G1473" s="91" t="s">
        <v>888</v>
      </c>
      <c r="H1473" s="104" t="str">
        <f t="shared" si="89"/>
        <v>F5444J20</v>
      </c>
      <c r="I1473" s="104"/>
      <c r="J1473" s="105">
        <v>87.12</v>
      </c>
      <c r="K1473" s="106">
        <f>IF(D1473="CAESARSTONE LTD",VLOOKUP(H1473,'[2]GIA CA'!G:H,2,0),IF(OR(D1473="STONE FACINGS LIMITED",D1473="NORDIA SA",D1473="INVICTUS STONE COUNTERTOPS INC",D1473="QUARTZTOP LLC"),VLOOKUP(H1473,'[2] Giá ngoài Mỹ - SI-GR'!$B$5:$AZ$84,51,0),IF(OR(D1473="HYUNDAI L&amp;C CANADA INC",D1473="Hyundai L&amp; C USA LLC"),VLOOKUP(H1473,'[2]GIA HS'!A:D,4,0),IF(Y1473="Mỹ",VLOOKUP(H1473,'[2]giá mỹ từ 6.8.2025'!B:I,2,0),VLOOKUP(H1473,'[2]giá ngoài mỹ 6.8.2025 (final)'!B:BP,51,0)))))</f>
        <v>74</v>
      </c>
      <c r="L1473" s="106">
        <v>77.7</v>
      </c>
      <c r="M1473" s="106">
        <f t="shared" si="88"/>
        <v>3.7000000000000028</v>
      </c>
      <c r="N1473" s="106">
        <v>77.7</v>
      </c>
      <c r="O1473" s="107">
        <v>6769.28</v>
      </c>
      <c r="P1473" s="107">
        <v>25870</v>
      </c>
      <c r="Q1473" s="107">
        <v>175121274</v>
      </c>
      <c r="R1473" s="102" t="s">
        <v>30</v>
      </c>
      <c r="S1473" s="108"/>
      <c r="T1473" s="109"/>
      <c r="U1473" s="109"/>
      <c r="V1473" s="102"/>
      <c r="W1473" s="109"/>
      <c r="X1473" s="109"/>
      <c r="Y1473" s="110" t="s">
        <v>290</v>
      </c>
    </row>
    <row r="1474" spans="1:25" s="111" customFormat="1" x14ac:dyDescent="0.2">
      <c r="A1474" s="101">
        <v>46255</v>
      </c>
      <c r="B1474" s="91" t="s">
        <v>1723</v>
      </c>
      <c r="C1474" s="102" t="s">
        <v>1724</v>
      </c>
      <c r="D1474" s="103" t="s">
        <v>26</v>
      </c>
      <c r="E1474" s="91" t="s">
        <v>1725</v>
      </c>
      <c r="F1474" s="91" t="s">
        <v>203</v>
      </c>
      <c r="G1474" s="91" t="s">
        <v>204</v>
      </c>
      <c r="H1474" s="104" t="str">
        <f t="shared" si="89"/>
        <v>F5132J20</v>
      </c>
      <c r="I1474" s="104"/>
      <c r="J1474" s="105">
        <v>239.58</v>
      </c>
      <c r="K1474" s="106">
        <f>IF(D1474="CAESARSTONE LTD",VLOOKUP(H1474,'[2]GIA CA'!G:H,2,0),IF(OR(D1474="STONE FACINGS LIMITED",D1474="NORDIA SA",D1474="INVICTUS STONE COUNTERTOPS INC",D1474="QUARTZTOP LLC"),VLOOKUP(H1474,'[2] Giá ngoài Mỹ - SI-GR'!$B$5:$AZ$84,51,0),IF(OR(D1474="HYUNDAI L&amp;C CANADA INC",D1474="Hyundai L&amp; C USA LLC"),VLOOKUP(H1474,'[2]GIA HS'!A:D,4,0),IF(Y1474="Mỹ",VLOOKUP(H1474,'[2]giá mỹ từ 6.8.2025'!B:I,2,0),VLOOKUP(H1474,'[2]giá ngoài mỹ 6.8.2025 (final)'!B:BP,51,0)))))</f>
        <v>62</v>
      </c>
      <c r="L1474" s="106">
        <v>65.099999999999994</v>
      </c>
      <c r="M1474" s="106">
        <f t="shared" si="88"/>
        <v>3.0999999999999943</v>
      </c>
      <c r="N1474" s="106">
        <v>65.099999999999994</v>
      </c>
      <c r="O1474" s="107">
        <v>15596.68</v>
      </c>
      <c r="P1474" s="107">
        <v>25870</v>
      </c>
      <c r="Q1474" s="107">
        <v>403486112</v>
      </c>
      <c r="R1474" s="102" t="s">
        <v>30</v>
      </c>
      <c r="S1474" s="108"/>
      <c r="T1474" s="109"/>
      <c r="U1474" s="109"/>
      <c r="V1474" s="102"/>
      <c r="W1474" s="109"/>
      <c r="X1474" s="109"/>
      <c r="Y1474" s="110" t="s">
        <v>290</v>
      </c>
    </row>
    <row r="1475" spans="1:25" s="111" customFormat="1" x14ac:dyDescent="0.2">
      <c r="A1475" s="101">
        <v>46255</v>
      </c>
      <c r="B1475" s="91" t="s">
        <v>1723</v>
      </c>
      <c r="C1475" s="102" t="s">
        <v>1724</v>
      </c>
      <c r="D1475" s="103" t="s">
        <v>26</v>
      </c>
      <c r="E1475" s="91" t="s">
        <v>1725</v>
      </c>
      <c r="F1475" s="91" t="s">
        <v>562</v>
      </c>
      <c r="G1475" s="91" t="s">
        <v>563</v>
      </c>
      <c r="H1475" s="104" t="str">
        <f t="shared" si="89"/>
        <v>F5441J20</v>
      </c>
      <c r="I1475" s="104"/>
      <c r="J1475" s="105">
        <v>43.56</v>
      </c>
      <c r="K1475" s="106">
        <f>IF(D1475="CAESARSTONE LTD",VLOOKUP(H1475,'[2]GIA CA'!G:H,2,0),IF(OR(D1475="STONE FACINGS LIMITED",D1475="NORDIA SA",D1475="INVICTUS STONE COUNTERTOPS INC",D1475="QUARTZTOP LLC"),VLOOKUP(H1475,'[2] Giá ngoài Mỹ - SI-GR'!$B$5:$AZ$84,51,0),IF(OR(D1475="HYUNDAI L&amp;C CANADA INC",D1475="Hyundai L&amp; C USA LLC"),VLOOKUP(H1475,'[2]GIA HS'!A:D,4,0),IF(Y1475="Mỹ",VLOOKUP(H1475,'[2]giá mỹ từ 6.8.2025'!B:I,2,0),VLOOKUP(H1475,'[2]giá ngoài mỹ 6.8.2025 (final)'!B:BP,51,0)))))</f>
        <v>74</v>
      </c>
      <c r="L1475" s="106">
        <v>77.7</v>
      </c>
      <c r="M1475" s="106">
        <f t="shared" si="88"/>
        <v>3.7000000000000028</v>
      </c>
      <c r="N1475" s="106">
        <v>77.7</v>
      </c>
      <c r="O1475" s="107">
        <v>3384.64</v>
      </c>
      <c r="P1475" s="107">
        <v>25870</v>
      </c>
      <c r="Q1475" s="107">
        <v>87560637</v>
      </c>
      <c r="R1475" s="102" t="s">
        <v>30</v>
      </c>
      <c r="S1475" s="108"/>
      <c r="T1475" s="109"/>
      <c r="U1475" s="109"/>
      <c r="V1475" s="102"/>
      <c r="W1475" s="109"/>
      <c r="X1475" s="109"/>
      <c r="Y1475" s="110" t="s">
        <v>290</v>
      </c>
    </row>
    <row r="1476" spans="1:25" s="111" customFormat="1" x14ac:dyDescent="0.2">
      <c r="A1476" s="101">
        <v>46255</v>
      </c>
      <c r="B1476" s="91" t="s">
        <v>1723</v>
      </c>
      <c r="C1476" s="102" t="s">
        <v>1724</v>
      </c>
      <c r="D1476" s="103" t="s">
        <v>26</v>
      </c>
      <c r="E1476" s="91" t="s">
        <v>1725</v>
      </c>
      <c r="F1476" s="91" t="s">
        <v>771</v>
      </c>
      <c r="G1476" s="91" t="s">
        <v>563</v>
      </c>
      <c r="H1476" s="104" t="str">
        <f t="shared" si="89"/>
        <v>F5441J20</v>
      </c>
      <c r="I1476" s="104"/>
      <c r="J1476" s="105">
        <v>21.78</v>
      </c>
      <c r="K1476" s="106">
        <f>IF(D1476="CAESARSTONE LTD",VLOOKUP(H1476,'[2]GIA CA'!G:H,2,0),IF(OR(D1476="STONE FACINGS LIMITED",D1476="NORDIA SA",D1476="INVICTUS STONE COUNTERTOPS INC",D1476="QUARTZTOP LLC"),VLOOKUP(H1476,'[2] Giá ngoài Mỹ - SI-GR'!$B$5:$AZ$84,51,0),IF(OR(D1476="HYUNDAI L&amp;C CANADA INC",D1476="Hyundai L&amp; C USA LLC"),VLOOKUP(H1476,'[2]GIA HS'!A:D,4,0),IF(Y1476="Mỹ",VLOOKUP(H1476,'[2]giá mỹ từ 6.8.2025'!B:I,2,0),VLOOKUP(H1476,'[2]giá ngoài mỹ 6.8.2025 (final)'!B:BP,51,0)))))</f>
        <v>74</v>
      </c>
      <c r="L1476" s="106">
        <v>77.7</v>
      </c>
      <c r="M1476" s="106">
        <f t="shared" si="88"/>
        <v>3.7000000000000028</v>
      </c>
      <c r="N1476" s="106">
        <v>77.7</v>
      </c>
      <c r="O1476" s="107">
        <v>1692.32</v>
      </c>
      <c r="P1476" s="107">
        <v>25870</v>
      </c>
      <c r="Q1476" s="107">
        <v>43780318</v>
      </c>
      <c r="R1476" s="102" t="s">
        <v>30</v>
      </c>
      <c r="S1476" s="108"/>
      <c r="T1476" s="109"/>
      <c r="U1476" s="109"/>
      <c r="V1476" s="102"/>
      <c r="W1476" s="109"/>
      <c r="X1476" s="109"/>
      <c r="Y1476" s="110" t="s">
        <v>290</v>
      </c>
    </row>
    <row r="1477" spans="1:25" s="111" customFormat="1" x14ac:dyDescent="0.2">
      <c r="A1477" s="101">
        <v>46255</v>
      </c>
      <c r="B1477" s="91" t="s">
        <v>1723</v>
      </c>
      <c r="C1477" s="102" t="s">
        <v>1724</v>
      </c>
      <c r="D1477" s="103" t="s">
        <v>26</v>
      </c>
      <c r="E1477" s="91" t="s">
        <v>1725</v>
      </c>
      <c r="F1477" s="91" t="s">
        <v>889</v>
      </c>
      <c r="G1477" s="91" t="s">
        <v>563</v>
      </c>
      <c r="H1477" s="104" t="str">
        <f t="shared" si="89"/>
        <v>F5441J20</v>
      </c>
      <c r="I1477" s="104"/>
      <c r="J1477" s="105">
        <v>174.24</v>
      </c>
      <c r="K1477" s="106">
        <f>IF(D1477="CAESARSTONE LTD",VLOOKUP(H1477,'[2]GIA CA'!G:H,2,0),IF(OR(D1477="STONE FACINGS LIMITED",D1477="NORDIA SA",D1477="INVICTUS STONE COUNTERTOPS INC",D1477="QUARTZTOP LLC"),VLOOKUP(H1477,'[2] Giá ngoài Mỹ - SI-GR'!$B$5:$AZ$84,51,0),IF(OR(D1477="HYUNDAI L&amp;C CANADA INC",D1477="Hyundai L&amp; C USA LLC"),VLOOKUP(H1477,'[2]GIA HS'!A:D,4,0),IF(Y1477="Mỹ",VLOOKUP(H1477,'[2]giá mỹ từ 6.8.2025'!B:I,2,0),VLOOKUP(H1477,'[2]giá ngoài mỹ 6.8.2025 (final)'!B:BP,51,0)))))</f>
        <v>74</v>
      </c>
      <c r="L1477" s="106">
        <v>77.7</v>
      </c>
      <c r="M1477" s="106">
        <f t="shared" si="88"/>
        <v>3.7000000000000028</v>
      </c>
      <c r="N1477" s="106">
        <v>77.7</v>
      </c>
      <c r="O1477" s="107">
        <v>13538.56</v>
      </c>
      <c r="P1477" s="107">
        <v>25870</v>
      </c>
      <c r="Q1477" s="107">
        <v>350242547</v>
      </c>
      <c r="R1477" s="102" t="s">
        <v>30</v>
      </c>
      <c r="S1477" s="108"/>
      <c r="T1477" s="109"/>
      <c r="U1477" s="109"/>
      <c r="V1477" s="102"/>
      <c r="W1477" s="109"/>
      <c r="X1477" s="109"/>
      <c r="Y1477" s="110" t="s">
        <v>290</v>
      </c>
    </row>
    <row r="1478" spans="1:25" s="111" customFormat="1" x14ac:dyDescent="0.2">
      <c r="A1478" s="101">
        <v>46256</v>
      </c>
      <c r="B1478" s="91" t="s">
        <v>1727</v>
      </c>
      <c r="C1478" s="102" t="s">
        <v>1728</v>
      </c>
      <c r="D1478" s="103" t="s">
        <v>26</v>
      </c>
      <c r="E1478" s="91" t="s">
        <v>1729</v>
      </c>
      <c r="F1478" s="91" t="s">
        <v>1063</v>
      </c>
      <c r="G1478" s="91" t="s">
        <v>1064</v>
      </c>
      <c r="H1478" s="104" t="str">
        <f t="shared" si="89"/>
        <v>C4023J13</v>
      </c>
      <c r="I1478" s="104"/>
      <c r="J1478" s="105">
        <v>59.9</v>
      </c>
      <c r="K1478" s="106"/>
      <c r="L1478" s="106">
        <v>0</v>
      </c>
      <c r="M1478" s="106">
        <f t="shared" si="88"/>
        <v>0</v>
      </c>
      <c r="N1478" s="106">
        <v>50.9</v>
      </c>
      <c r="O1478" s="107">
        <v>3048.65</v>
      </c>
      <c r="P1478" s="107">
        <v>25870</v>
      </c>
      <c r="Q1478" s="107">
        <v>78868576</v>
      </c>
      <c r="R1478" s="102" t="s">
        <v>30</v>
      </c>
      <c r="S1478" s="108"/>
      <c r="T1478" s="109"/>
      <c r="U1478" s="109"/>
      <c r="V1478" s="102"/>
      <c r="W1478" s="109"/>
      <c r="X1478" s="109"/>
      <c r="Y1478" s="110" t="s">
        <v>1730</v>
      </c>
    </row>
    <row r="1479" spans="1:25" s="111" customFormat="1" x14ac:dyDescent="0.2">
      <c r="A1479" s="101">
        <v>46256</v>
      </c>
      <c r="B1479" s="91" t="s">
        <v>1727</v>
      </c>
      <c r="C1479" s="102" t="s">
        <v>1728</v>
      </c>
      <c r="D1479" s="103" t="s">
        <v>26</v>
      </c>
      <c r="E1479" s="91" t="s">
        <v>1729</v>
      </c>
      <c r="F1479" s="91" t="s">
        <v>1731</v>
      </c>
      <c r="G1479" s="91" t="s">
        <v>1732</v>
      </c>
      <c r="H1479" s="104" t="str">
        <f t="shared" si="89"/>
        <v>F5003J13</v>
      </c>
      <c r="I1479" s="104"/>
      <c r="J1479" s="105">
        <v>310.37</v>
      </c>
      <c r="K1479" s="106"/>
      <c r="L1479" s="106">
        <v>0</v>
      </c>
      <c r="M1479" s="106">
        <f t="shared" si="88"/>
        <v>0</v>
      </c>
      <c r="N1479" s="106">
        <v>53.6</v>
      </c>
      <c r="O1479" s="107">
        <v>16635.45</v>
      </c>
      <c r="P1479" s="107">
        <v>25870</v>
      </c>
      <c r="Q1479" s="107">
        <v>430359092</v>
      </c>
      <c r="R1479" s="102" t="s">
        <v>30</v>
      </c>
      <c r="S1479" s="108"/>
      <c r="T1479" s="109"/>
      <c r="U1479" s="109"/>
      <c r="V1479" s="102"/>
      <c r="W1479" s="109"/>
      <c r="X1479" s="109"/>
      <c r="Y1479" s="110" t="s">
        <v>1730</v>
      </c>
    </row>
    <row r="1480" spans="1:25" s="111" customFormat="1" x14ac:dyDescent="0.2">
      <c r="A1480" s="101">
        <v>46256</v>
      </c>
      <c r="B1480" s="91" t="s">
        <v>1727</v>
      </c>
      <c r="C1480" s="102" t="s">
        <v>1728</v>
      </c>
      <c r="D1480" s="103" t="s">
        <v>26</v>
      </c>
      <c r="E1480" s="91" t="s">
        <v>1729</v>
      </c>
      <c r="F1480" s="91" t="s">
        <v>34</v>
      </c>
      <c r="G1480" s="91" t="s">
        <v>35</v>
      </c>
      <c r="H1480" s="104" t="str">
        <f t="shared" si="89"/>
        <v>F5003J20</v>
      </c>
      <c r="I1480" s="104"/>
      <c r="J1480" s="105">
        <v>125.24</v>
      </c>
      <c r="K1480" s="106"/>
      <c r="L1480" s="106">
        <v>0</v>
      </c>
      <c r="M1480" s="106">
        <f t="shared" si="88"/>
        <v>0</v>
      </c>
      <c r="N1480" s="106">
        <v>63</v>
      </c>
      <c r="O1480" s="107">
        <v>7890.23</v>
      </c>
      <c r="P1480" s="107">
        <v>25870</v>
      </c>
      <c r="Q1480" s="107">
        <v>204120250</v>
      </c>
      <c r="R1480" s="102" t="s">
        <v>30</v>
      </c>
      <c r="S1480" s="108"/>
      <c r="T1480" s="109"/>
      <c r="U1480" s="109"/>
      <c r="V1480" s="102"/>
      <c r="W1480" s="109"/>
      <c r="X1480" s="109"/>
      <c r="Y1480" s="110" t="s">
        <v>1730</v>
      </c>
    </row>
    <row r="1481" spans="1:25" s="111" customFormat="1" x14ac:dyDescent="0.2">
      <c r="A1481" s="101">
        <v>46256</v>
      </c>
      <c r="B1481" s="91" t="s">
        <v>1727</v>
      </c>
      <c r="C1481" s="102" t="s">
        <v>1728</v>
      </c>
      <c r="D1481" s="103" t="s">
        <v>26</v>
      </c>
      <c r="E1481" s="91" t="s">
        <v>1729</v>
      </c>
      <c r="F1481" s="91" t="s">
        <v>1733</v>
      </c>
      <c r="G1481" s="91" t="s">
        <v>35</v>
      </c>
      <c r="H1481" s="104" t="str">
        <f t="shared" si="89"/>
        <v>F5003J20</v>
      </c>
      <c r="I1481" s="104"/>
      <c r="J1481" s="105">
        <v>38.11</v>
      </c>
      <c r="K1481" s="106"/>
      <c r="L1481" s="106">
        <v>0</v>
      </c>
      <c r="M1481" s="106">
        <f t="shared" si="88"/>
        <v>0</v>
      </c>
      <c r="N1481" s="106">
        <v>63</v>
      </c>
      <c r="O1481" s="107">
        <v>2400.9699999999998</v>
      </c>
      <c r="P1481" s="107">
        <v>25870</v>
      </c>
      <c r="Q1481" s="107">
        <v>62113094</v>
      </c>
      <c r="R1481" s="102" t="s">
        <v>30</v>
      </c>
      <c r="S1481" s="108"/>
      <c r="T1481" s="109"/>
      <c r="U1481" s="109"/>
      <c r="V1481" s="102"/>
      <c r="W1481" s="109"/>
      <c r="X1481" s="109"/>
      <c r="Y1481" s="110" t="s">
        <v>1730</v>
      </c>
    </row>
    <row r="1482" spans="1:25" s="111" customFormat="1" x14ac:dyDescent="0.2">
      <c r="A1482" s="101">
        <v>46256</v>
      </c>
      <c r="B1482" s="91" t="s">
        <v>1734</v>
      </c>
      <c r="C1482" s="102" t="s">
        <v>1735</v>
      </c>
      <c r="D1482" s="103" t="s">
        <v>26</v>
      </c>
      <c r="E1482" s="91" t="s">
        <v>1736</v>
      </c>
      <c r="F1482" s="91" t="s">
        <v>1259</v>
      </c>
      <c r="G1482" s="91" t="s">
        <v>1260</v>
      </c>
      <c r="H1482" s="104" t="str">
        <f t="shared" si="89"/>
        <v>C4143J20</v>
      </c>
      <c r="I1482" s="104"/>
      <c r="J1482" s="105">
        <v>435.6</v>
      </c>
      <c r="K1482" s="106">
        <f>IF(D1482="CAESARSTONE LTD",VLOOKUP(H1482,'[2]GIA CA'!G:H,2,0),IF(OR(D1482="STONE FACINGS LIMITED",D1482="NORDIA SA",D1482="INVICTUS STONE COUNTERTOPS INC",D1482="QUARTZTOP LLC"),VLOOKUP(H1482,'[2] Giá ngoài Mỹ - SI-GR'!$B$5:$AZ$84,51,0),IF(OR(D1482="HYUNDAI L&amp;C CANADA INC",D1482="Hyundai L&amp; C USA LLC"),VLOOKUP(H1482,'[2]GIA HS'!A:D,4,0),IF(Y1482="Mỹ",VLOOKUP(H1482,'[2]giá mỹ từ 6.8.2025'!B:I,2,0),VLOOKUP(H1482,'[2]giá ngoài mỹ 6.8.2025 (final)'!B:BP,51,0)))))</f>
        <v>57</v>
      </c>
      <c r="L1482" s="106">
        <v>59.9</v>
      </c>
      <c r="M1482" s="106">
        <f t="shared" si="88"/>
        <v>2.8999999999999986</v>
      </c>
      <c r="N1482" s="106">
        <v>59.9</v>
      </c>
      <c r="O1482" s="107">
        <v>26092.799999999999</v>
      </c>
      <c r="P1482" s="107">
        <v>25870</v>
      </c>
      <c r="Q1482" s="107">
        <v>675020736</v>
      </c>
      <c r="R1482" s="102" t="s">
        <v>30</v>
      </c>
      <c r="S1482" s="108"/>
      <c r="T1482" s="109"/>
      <c r="U1482" s="109"/>
      <c r="V1482" s="102"/>
      <c r="W1482" s="109"/>
      <c r="X1482" s="109"/>
      <c r="Y1482" s="110" t="s">
        <v>803</v>
      </c>
    </row>
    <row r="1483" spans="1:25" s="111" customFormat="1" x14ac:dyDescent="0.2">
      <c r="A1483" s="101">
        <v>46256</v>
      </c>
      <c r="B1483" s="91" t="s">
        <v>1734</v>
      </c>
      <c r="C1483" s="102" t="s">
        <v>1735</v>
      </c>
      <c r="D1483" s="103" t="s">
        <v>26</v>
      </c>
      <c r="E1483" s="91" t="s">
        <v>1736</v>
      </c>
      <c r="F1483" s="91" t="s">
        <v>1259</v>
      </c>
      <c r="G1483" s="91" t="s">
        <v>1260</v>
      </c>
      <c r="H1483" s="104" t="str">
        <f t="shared" si="89"/>
        <v>C4143J20</v>
      </c>
      <c r="I1483" s="104"/>
      <c r="J1483" s="105">
        <v>435.6</v>
      </c>
      <c r="K1483" s="106">
        <f>IF(D1483="CAESARSTONE LTD",VLOOKUP(H1483,'[2]GIA CA'!G:H,2,0),IF(OR(D1483="STONE FACINGS LIMITED",D1483="NORDIA SA",D1483="INVICTUS STONE COUNTERTOPS INC",D1483="QUARTZTOP LLC"),VLOOKUP(H1483,'[2] Giá ngoài Mỹ - SI-GR'!$B$5:$AZ$84,51,0),IF(OR(D1483="HYUNDAI L&amp;C CANADA INC",D1483="Hyundai L&amp; C USA LLC"),VLOOKUP(H1483,'[2]GIA HS'!A:D,4,0),IF(Y1483="Mỹ",VLOOKUP(H1483,'[2]giá mỹ từ 6.8.2025'!B:I,2,0),VLOOKUP(H1483,'[2]giá ngoài mỹ 6.8.2025 (final)'!B:BP,51,0)))))</f>
        <v>57</v>
      </c>
      <c r="L1483" s="106">
        <v>59.9</v>
      </c>
      <c r="M1483" s="106">
        <f t="shared" si="88"/>
        <v>2.8999999999999986</v>
      </c>
      <c r="N1483" s="106">
        <v>59.9</v>
      </c>
      <c r="O1483" s="107">
        <v>26092.799999999999</v>
      </c>
      <c r="P1483" s="107">
        <v>25870</v>
      </c>
      <c r="Q1483" s="107">
        <v>675020736</v>
      </c>
      <c r="R1483" s="102" t="s">
        <v>30</v>
      </c>
      <c r="S1483" s="108"/>
      <c r="T1483" s="109"/>
      <c r="U1483" s="109"/>
      <c r="V1483" s="102"/>
      <c r="W1483" s="109"/>
      <c r="X1483" s="109"/>
      <c r="Y1483" s="110" t="s">
        <v>803</v>
      </c>
    </row>
    <row r="1484" spans="1:25" s="111" customFormat="1" x14ac:dyDescent="0.2">
      <c r="A1484" s="101">
        <v>46256</v>
      </c>
      <c r="B1484" s="91" t="s">
        <v>1737</v>
      </c>
      <c r="C1484" s="102" t="s">
        <v>1738</v>
      </c>
      <c r="D1484" s="103" t="s">
        <v>26</v>
      </c>
      <c r="E1484" s="91" t="s">
        <v>1739</v>
      </c>
      <c r="F1484" s="91" t="s">
        <v>1259</v>
      </c>
      <c r="G1484" s="91" t="s">
        <v>1260</v>
      </c>
      <c r="H1484" s="104" t="str">
        <f t="shared" si="89"/>
        <v>C4143J20</v>
      </c>
      <c r="I1484" s="104"/>
      <c r="J1484" s="105">
        <v>435.6</v>
      </c>
      <c r="K1484" s="106">
        <f>IF(D1484="CAESARSTONE LTD",VLOOKUP(H1484,'[2]GIA CA'!G:H,2,0),IF(OR(D1484="STONE FACINGS LIMITED",D1484="NORDIA SA",D1484="INVICTUS STONE COUNTERTOPS INC",D1484="QUARTZTOP LLC"),VLOOKUP(H1484,'[2] Giá ngoài Mỹ - SI-GR'!$B$5:$AZ$84,51,0),IF(OR(D1484="HYUNDAI L&amp;C CANADA INC",D1484="Hyundai L&amp; C USA LLC"),VLOOKUP(H1484,'[2]GIA HS'!A:D,4,0),IF(Y1484="Mỹ",VLOOKUP(H1484,'[2]giá mỹ từ 6.8.2025'!B:I,2,0),VLOOKUP(H1484,'[2]giá ngoài mỹ 6.8.2025 (final)'!B:BP,51,0)))))</f>
        <v>57</v>
      </c>
      <c r="L1484" s="106">
        <v>59.9</v>
      </c>
      <c r="M1484" s="106">
        <f t="shared" si="88"/>
        <v>2.8999999999999986</v>
      </c>
      <c r="N1484" s="106">
        <v>59.9</v>
      </c>
      <c r="O1484" s="107">
        <v>26092.799999999999</v>
      </c>
      <c r="P1484" s="107">
        <v>25870</v>
      </c>
      <c r="Q1484" s="107">
        <v>675020736</v>
      </c>
      <c r="R1484" s="102" t="s">
        <v>30</v>
      </c>
      <c r="S1484" s="108"/>
      <c r="T1484" s="109"/>
      <c r="U1484" s="109"/>
      <c r="V1484" s="102"/>
      <c r="W1484" s="109"/>
      <c r="X1484" s="109"/>
      <c r="Y1484" s="110" t="s">
        <v>803</v>
      </c>
    </row>
    <row r="1485" spans="1:25" s="111" customFormat="1" x14ac:dyDescent="0.2">
      <c r="A1485" s="101">
        <v>46256</v>
      </c>
      <c r="B1485" s="91" t="s">
        <v>1740</v>
      </c>
      <c r="C1485" s="102" t="s">
        <v>1741</v>
      </c>
      <c r="D1485" s="103" t="s">
        <v>26</v>
      </c>
      <c r="E1485" s="91" t="s">
        <v>1742</v>
      </c>
      <c r="F1485" s="91" t="s">
        <v>1743</v>
      </c>
      <c r="G1485" s="91" t="s">
        <v>1678</v>
      </c>
      <c r="H1485" s="104" t="str">
        <f t="shared" si="89"/>
        <v>C0406J30</v>
      </c>
      <c r="I1485" s="104"/>
      <c r="J1485" s="105">
        <v>5.45</v>
      </c>
      <c r="K1485" s="106">
        <v>18.37</v>
      </c>
      <c r="L1485" s="106">
        <f t="shared" ref="L1485:L1486" si="90">+N1485</f>
        <v>18.37</v>
      </c>
      <c r="M1485" s="106">
        <f t="shared" ref="M1485:M1548" si="91">L1485-K1485</f>
        <v>0</v>
      </c>
      <c r="N1485" s="106">
        <v>18.37</v>
      </c>
      <c r="O1485" s="107">
        <v>100.09</v>
      </c>
      <c r="P1485" s="107">
        <v>25870</v>
      </c>
      <c r="Q1485" s="107">
        <v>2589328</v>
      </c>
      <c r="R1485" s="102" t="s">
        <v>30</v>
      </c>
      <c r="S1485" s="108"/>
      <c r="T1485" s="109"/>
      <c r="U1485" s="109"/>
      <c r="V1485" s="102"/>
      <c r="W1485" s="109"/>
      <c r="X1485" s="109"/>
      <c r="Y1485" s="110" t="s">
        <v>303</v>
      </c>
    </row>
    <row r="1486" spans="1:25" s="111" customFormat="1" x14ac:dyDescent="0.2">
      <c r="A1486" s="101">
        <v>46256</v>
      </c>
      <c r="B1486" s="91" t="s">
        <v>1740</v>
      </c>
      <c r="C1486" s="102" t="s">
        <v>1741</v>
      </c>
      <c r="D1486" s="103" t="s">
        <v>26</v>
      </c>
      <c r="E1486" s="91" t="s">
        <v>1742</v>
      </c>
      <c r="F1486" s="91" t="s">
        <v>1677</v>
      </c>
      <c r="G1486" s="91" t="s">
        <v>1678</v>
      </c>
      <c r="H1486" s="104" t="str">
        <f t="shared" ref="H1486:H1549" si="92">IF(LEN(G1486)=13,LEFT(G1486,5)&amp;MID(G1486,SEARCH("-J",G1486)+1,3),LEFT(G1486,5)&amp;"J20")</f>
        <v>C0406J30</v>
      </c>
      <c r="I1486" s="104"/>
      <c r="J1486" s="105">
        <v>5.44</v>
      </c>
      <c r="K1486" s="106">
        <v>18.37</v>
      </c>
      <c r="L1486" s="106">
        <f t="shared" si="90"/>
        <v>18.37</v>
      </c>
      <c r="M1486" s="106">
        <f t="shared" si="91"/>
        <v>0</v>
      </c>
      <c r="N1486" s="106">
        <v>18.37</v>
      </c>
      <c r="O1486" s="107">
        <v>99.91</v>
      </c>
      <c r="P1486" s="107">
        <v>25870</v>
      </c>
      <c r="Q1486" s="107">
        <v>2584672</v>
      </c>
      <c r="R1486" s="102" t="s">
        <v>30</v>
      </c>
      <c r="S1486" s="108"/>
      <c r="T1486" s="109"/>
      <c r="U1486" s="109"/>
      <c r="V1486" s="102"/>
      <c r="W1486" s="109"/>
      <c r="X1486" s="109"/>
      <c r="Y1486" s="110" t="s">
        <v>303</v>
      </c>
    </row>
    <row r="1487" spans="1:25" s="111" customFormat="1" x14ac:dyDescent="0.2">
      <c r="A1487" s="101">
        <v>46256</v>
      </c>
      <c r="B1487" s="91" t="s">
        <v>1740</v>
      </c>
      <c r="C1487" s="102" t="s">
        <v>1741</v>
      </c>
      <c r="D1487" s="103" t="s">
        <v>26</v>
      </c>
      <c r="E1487" s="91" t="s">
        <v>1742</v>
      </c>
      <c r="F1487" s="91" t="s">
        <v>1063</v>
      </c>
      <c r="G1487" s="91" t="s">
        <v>1064</v>
      </c>
      <c r="H1487" s="104" t="str">
        <f t="shared" si="92"/>
        <v>C4023J13</v>
      </c>
      <c r="I1487" s="104"/>
      <c r="J1487" s="105">
        <v>500.94</v>
      </c>
      <c r="K1487" s="106">
        <f t="shared" ref="K1487:K1488" si="93">+L1487</f>
        <v>50.9</v>
      </c>
      <c r="L1487" s="106">
        <v>50.9</v>
      </c>
      <c r="M1487" s="106">
        <f t="shared" si="91"/>
        <v>0</v>
      </c>
      <c r="N1487" s="106">
        <v>50.9</v>
      </c>
      <c r="O1487" s="107">
        <v>25497.8</v>
      </c>
      <c r="P1487" s="107">
        <v>25870</v>
      </c>
      <c r="Q1487" s="107">
        <v>659628086</v>
      </c>
      <c r="R1487" s="102" t="s">
        <v>30</v>
      </c>
      <c r="S1487" s="108"/>
      <c r="T1487" s="109"/>
      <c r="U1487" s="109"/>
      <c r="V1487" s="102"/>
      <c r="W1487" s="109"/>
      <c r="X1487" s="109"/>
      <c r="Y1487" s="110" t="s">
        <v>303</v>
      </c>
    </row>
    <row r="1488" spans="1:25" s="111" customFormat="1" x14ac:dyDescent="0.2">
      <c r="A1488" s="101">
        <v>46256</v>
      </c>
      <c r="B1488" s="91" t="s">
        <v>1740</v>
      </c>
      <c r="C1488" s="102" t="s">
        <v>1741</v>
      </c>
      <c r="D1488" s="103" t="s">
        <v>26</v>
      </c>
      <c r="E1488" s="91" t="s">
        <v>1742</v>
      </c>
      <c r="F1488" s="91" t="s">
        <v>1731</v>
      </c>
      <c r="G1488" s="91" t="s">
        <v>1732</v>
      </c>
      <c r="H1488" s="104" t="str">
        <f t="shared" si="92"/>
        <v>F5003J13</v>
      </c>
      <c r="I1488" s="104"/>
      <c r="J1488" s="105">
        <v>108.9</v>
      </c>
      <c r="K1488" s="106">
        <f t="shared" si="93"/>
        <v>53.6</v>
      </c>
      <c r="L1488" s="106">
        <v>53.6</v>
      </c>
      <c r="M1488" s="106">
        <f t="shared" si="91"/>
        <v>0</v>
      </c>
      <c r="N1488" s="106">
        <v>53.6</v>
      </c>
      <c r="O1488" s="107">
        <v>5837</v>
      </c>
      <c r="P1488" s="107">
        <v>25870</v>
      </c>
      <c r="Q1488" s="107">
        <v>151003190</v>
      </c>
      <c r="R1488" s="102" t="s">
        <v>30</v>
      </c>
      <c r="S1488" s="108"/>
      <c r="T1488" s="109"/>
      <c r="U1488" s="109"/>
      <c r="V1488" s="102"/>
      <c r="W1488" s="109"/>
      <c r="X1488" s="109"/>
      <c r="Y1488" s="110" t="s">
        <v>303</v>
      </c>
    </row>
    <row r="1489" spans="1:25" s="111" customFormat="1" x14ac:dyDescent="0.2">
      <c r="A1489" s="101">
        <v>46256</v>
      </c>
      <c r="B1489" s="91" t="s">
        <v>1744</v>
      </c>
      <c r="C1489" s="102" t="s">
        <v>1745</v>
      </c>
      <c r="D1489" s="103" t="s">
        <v>26</v>
      </c>
      <c r="E1489" s="91" t="s">
        <v>1746</v>
      </c>
      <c r="F1489" s="91" t="s">
        <v>1082</v>
      </c>
      <c r="G1489" s="91" t="s">
        <v>1083</v>
      </c>
      <c r="H1489" s="104" t="str">
        <f t="shared" si="92"/>
        <v>F4001J20</v>
      </c>
      <c r="I1489" s="104"/>
      <c r="J1489" s="105">
        <v>0.74</v>
      </c>
      <c r="K1489" s="106">
        <f>IF(D1489="CAESARSTONE LTD",VLOOKUP(H1489,'[2]GIA CA'!G:H,2,0),IF(OR(D1489="STONE FACINGS LIMITED",D1489="NORDIA SA",D1489="INVICTUS STONE COUNTERTOPS INC",D1489="QUARTZTOP LLC"),VLOOKUP(H1489,'[2] Giá ngoài Mỹ - SI-GR'!$B$5:$AZ$84,51,0),IF(OR(D1489="HYUNDAI L&amp;C CANADA INC",D1489="Hyundai L&amp; C USA LLC"),VLOOKUP(H1489,'[2]GIA HS'!A:D,4,0),IF(Y1489="Mỹ",VLOOKUP(H1489,'[2]giá mỹ từ 6.8.2025'!B:I,2,0),VLOOKUP(H1489,'[2]giá ngoài mỹ 6.8.2025 (final)'!B:BP,51,0)))))</f>
        <v>58</v>
      </c>
      <c r="L1489" s="106">
        <v>94.59</v>
      </c>
      <c r="M1489" s="106">
        <f t="shared" si="91"/>
        <v>36.590000000000003</v>
      </c>
      <c r="N1489" s="106">
        <v>94.59</v>
      </c>
      <c r="O1489" s="107">
        <v>70</v>
      </c>
      <c r="P1489" s="107">
        <v>25870</v>
      </c>
      <c r="Q1489" s="107">
        <v>1810900</v>
      </c>
      <c r="R1489" s="102"/>
      <c r="S1489" s="108"/>
      <c r="T1489" s="109" t="s">
        <v>30</v>
      </c>
      <c r="U1489" s="109"/>
      <c r="V1489" s="102"/>
      <c r="W1489" s="109"/>
      <c r="X1489" s="109"/>
      <c r="Y1489" s="110" t="s">
        <v>290</v>
      </c>
    </row>
    <row r="1490" spans="1:25" s="111" customFormat="1" x14ac:dyDescent="0.2">
      <c r="A1490" s="101">
        <v>46256</v>
      </c>
      <c r="B1490" s="91" t="s">
        <v>1744</v>
      </c>
      <c r="C1490" s="102" t="s">
        <v>1745</v>
      </c>
      <c r="D1490" s="103" t="s">
        <v>26</v>
      </c>
      <c r="E1490" s="91" t="s">
        <v>1746</v>
      </c>
      <c r="F1490" s="91" t="s">
        <v>1471</v>
      </c>
      <c r="G1490" s="91" t="s">
        <v>1472</v>
      </c>
      <c r="H1490" s="104" t="str">
        <f t="shared" si="92"/>
        <v>F5112J20</v>
      </c>
      <c r="I1490" s="104"/>
      <c r="J1490" s="105">
        <v>0.74</v>
      </c>
      <c r="K1490" s="106">
        <f>IF(D1490="CAESARSTONE LTD",VLOOKUP(H1490,'[2]GIA CA'!G:H,2,0),IF(OR(D1490="STONE FACINGS LIMITED",D1490="NORDIA SA",D1490="INVICTUS STONE COUNTERTOPS INC",D1490="QUARTZTOP LLC"),VLOOKUP(H1490,'[2] Giá ngoài Mỹ - SI-GR'!$B$5:$AZ$84,51,0),IF(OR(D1490="HYUNDAI L&amp;C CANADA INC",D1490="Hyundai L&amp; C USA LLC"),VLOOKUP(H1490,'[2]GIA HS'!A:D,4,0),IF(Y1490="Mỹ",VLOOKUP(H1490,'[2]giá mỹ từ 6.8.2025'!B:I,2,0),VLOOKUP(H1490,'[2]giá ngoài mỹ 6.8.2025 (final)'!B:BP,51,0)))))</f>
        <v>60</v>
      </c>
      <c r="L1490" s="106">
        <v>132.43</v>
      </c>
      <c r="M1490" s="106">
        <f t="shared" si="91"/>
        <v>72.430000000000007</v>
      </c>
      <c r="N1490" s="106">
        <v>132.43</v>
      </c>
      <c r="O1490" s="107">
        <v>98</v>
      </c>
      <c r="P1490" s="107">
        <v>25870</v>
      </c>
      <c r="Q1490" s="107">
        <v>2535260</v>
      </c>
      <c r="R1490" s="102"/>
      <c r="S1490" s="108"/>
      <c r="T1490" s="109" t="s">
        <v>30</v>
      </c>
      <c r="U1490" s="109"/>
      <c r="V1490" s="102"/>
      <c r="W1490" s="109"/>
      <c r="X1490" s="109"/>
      <c r="Y1490" s="110" t="s">
        <v>290</v>
      </c>
    </row>
    <row r="1491" spans="1:25" s="111" customFormat="1" x14ac:dyDescent="0.2">
      <c r="A1491" s="101">
        <v>46256</v>
      </c>
      <c r="B1491" s="91" t="s">
        <v>1744</v>
      </c>
      <c r="C1491" s="102" t="s">
        <v>1745</v>
      </c>
      <c r="D1491" s="103" t="s">
        <v>26</v>
      </c>
      <c r="E1491" s="91" t="s">
        <v>1746</v>
      </c>
      <c r="F1491" s="91" t="s">
        <v>1607</v>
      </c>
      <c r="G1491" s="91" t="s">
        <v>1608</v>
      </c>
      <c r="H1491" s="104" t="str">
        <f t="shared" si="92"/>
        <v>F5444J20</v>
      </c>
      <c r="I1491" s="104"/>
      <c r="J1491" s="105">
        <v>0.74</v>
      </c>
      <c r="K1491" s="106">
        <f>IF(D1491="CAESARSTONE LTD",VLOOKUP(H1491,'[2]GIA CA'!G:H,2,0),IF(OR(D1491="STONE FACINGS LIMITED",D1491="NORDIA SA",D1491="INVICTUS STONE COUNTERTOPS INC",D1491="QUARTZTOP LLC"),VLOOKUP(H1491,'[2] Giá ngoài Mỹ - SI-GR'!$B$5:$AZ$84,51,0),IF(OR(D1491="HYUNDAI L&amp;C CANADA INC",D1491="Hyundai L&amp; C USA LLC"),VLOOKUP(H1491,'[2]GIA HS'!A:D,4,0),IF(Y1491="Mỹ",VLOOKUP(H1491,'[2]giá mỹ từ 6.8.2025'!B:I,2,0),VLOOKUP(H1491,'[2]giá ngoài mỹ 6.8.2025 (final)'!B:BP,51,0)))))</f>
        <v>74</v>
      </c>
      <c r="L1491" s="106">
        <v>153.72</v>
      </c>
      <c r="M1491" s="106">
        <f t="shared" si="91"/>
        <v>79.72</v>
      </c>
      <c r="N1491" s="106">
        <v>153.72</v>
      </c>
      <c r="O1491" s="107">
        <v>113.75</v>
      </c>
      <c r="P1491" s="107">
        <v>25870</v>
      </c>
      <c r="Q1491" s="107">
        <v>2942713</v>
      </c>
      <c r="R1491" s="102"/>
      <c r="S1491" s="108"/>
      <c r="T1491" s="109" t="s">
        <v>30</v>
      </c>
      <c r="U1491" s="109"/>
      <c r="V1491" s="102"/>
      <c r="W1491" s="109"/>
      <c r="X1491" s="109"/>
      <c r="Y1491" s="110" t="s">
        <v>290</v>
      </c>
    </row>
    <row r="1492" spans="1:25" s="111" customFormat="1" x14ac:dyDescent="0.2">
      <c r="A1492" s="101">
        <v>46256</v>
      </c>
      <c r="B1492" s="91" t="s">
        <v>1744</v>
      </c>
      <c r="C1492" s="102" t="s">
        <v>1745</v>
      </c>
      <c r="D1492" s="103" t="s">
        <v>26</v>
      </c>
      <c r="E1492" s="91" t="s">
        <v>1746</v>
      </c>
      <c r="F1492" s="91" t="s">
        <v>465</v>
      </c>
      <c r="G1492" s="91" t="s">
        <v>466</v>
      </c>
      <c r="H1492" s="104" t="str">
        <f t="shared" si="92"/>
        <v>F4011J20</v>
      </c>
      <c r="I1492" s="104"/>
      <c r="J1492" s="105">
        <v>43.56</v>
      </c>
      <c r="K1492" s="106">
        <f t="shared" ref="K1492:K1493" si="94">+L1492</f>
        <v>63</v>
      </c>
      <c r="L1492" s="106">
        <v>63</v>
      </c>
      <c r="M1492" s="106">
        <f t="shared" si="91"/>
        <v>0</v>
      </c>
      <c r="N1492" s="106">
        <v>63</v>
      </c>
      <c r="O1492" s="107">
        <v>2744.32</v>
      </c>
      <c r="P1492" s="107">
        <v>25870</v>
      </c>
      <c r="Q1492" s="107">
        <v>70995558</v>
      </c>
      <c r="R1492" s="102" t="s">
        <v>30</v>
      </c>
      <c r="S1492" s="108"/>
      <c r="T1492" s="109"/>
      <c r="U1492" s="109"/>
      <c r="V1492" s="102"/>
      <c r="W1492" s="109"/>
      <c r="X1492" s="109"/>
      <c r="Y1492" s="110" t="s">
        <v>290</v>
      </c>
    </row>
    <row r="1493" spans="1:25" s="111" customFormat="1" x14ac:dyDescent="0.2">
      <c r="A1493" s="101">
        <v>46256</v>
      </c>
      <c r="B1493" s="91" t="s">
        <v>1744</v>
      </c>
      <c r="C1493" s="102" t="s">
        <v>1745</v>
      </c>
      <c r="D1493" s="103" t="s">
        <v>26</v>
      </c>
      <c r="E1493" s="91" t="s">
        <v>1746</v>
      </c>
      <c r="F1493" s="91" t="s">
        <v>270</v>
      </c>
      <c r="G1493" s="91" t="s">
        <v>271</v>
      </c>
      <c r="H1493" s="104" t="str">
        <f t="shared" si="92"/>
        <v>F4044J20</v>
      </c>
      <c r="I1493" s="104"/>
      <c r="J1493" s="105">
        <v>32.67</v>
      </c>
      <c r="K1493" s="106">
        <f t="shared" si="94"/>
        <v>63</v>
      </c>
      <c r="L1493" s="106">
        <v>63</v>
      </c>
      <c r="M1493" s="106">
        <f t="shared" si="91"/>
        <v>0</v>
      </c>
      <c r="N1493" s="106">
        <v>63</v>
      </c>
      <c r="O1493" s="107">
        <v>2058.2399999999998</v>
      </c>
      <c r="P1493" s="107">
        <v>25870</v>
      </c>
      <c r="Q1493" s="107">
        <v>53246669</v>
      </c>
      <c r="R1493" s="102" t="s">
        <v>30</v>
      </c>
      <c r="S1493" s="108"/>
      <c r="T1493" s="109"/>
      <c r="U1493" s="109"/>
      <c r="V1493" s="102"/>
      <c r="W1493" s="109"/>
      <c r="X1493" s="109"/>
      <c r="Y1493" s="110" t="s">
        <v>290</v>
      </c>
    </row>
    <row r="1494" spans="1:25" s="111" customFormat="1" x14ac:dyDescent="0.2">
      <c r="A1494" s="101">
        <v>46256</v>
      </c>
      <c r="B1494" s="91" t="s">
        <v>1744</v>
      </c>
      <c r="C1494" s="102" t="s">
        <v>1745</v>
      </c>
      <c r="D1494" s="103" t="s">
        <v>26</v>
      </c>
      <c r="E1494" s="91" t="s">
        <v>1746</v>
      </c>
      <c r="F1494" s="91" t="s">
        <v>453</v>
      </c>
      <c r="G1494" s="91" t="s">
        <v>454</v>
      </c>
      <c r="H1494" s="104" t="str">
        <f t="shared" si="92"/>
        <v>F5151J20</v>
      </c>
      <c r="I1494" s="104"/>
      <c r="J1494" s="105">
        <v>32.67</v>
      </c>
      <c r="K1494" s="106">
        <f>IF(D1494="CAESARSTONE LTD",VLOOKUP(H1494,'[2]GIA CA'!G:H,2,0),IF(OR(D1494="STONE FACINGS LIMITED",D1494="NORDIA SA",D1494="INVICTUS STONE COUNTERTOPS INC",D1494="QUARTZTOP LLC"),VLOOKUP(H1494,'[2] Giá ngoài Mỹ - SI-GR'!$B$5:$AZ$84,51,0),IF(OR(D1494="HYUNDAI L&amp;C CANADA INC",D1494="Hyundai L&amp; C USA LLC"),VLOOKUP(H1494,'[2]GIA HS'!A:D,4,0),IF(Y1494="Mỹ",VLOOKUP(H1494,'[2]giá mỹ từ 6.8.2025'!B:I,2,0),VLOOKUP(H1494,'[2]giá ngoài mỹ 6.8.2025 (final)'!B:BP,51,0)))))</f>
        <v>68</v>
      </c>
      <c r="L1494" s="106">
        <v>77.7</v>
      </c>
      <c r="M1494" s="106">
        <f t="shared" si="91"/>
        <v>9.7000000000000028</v>
      </c>
      <c r="N1494" s="106">
        <v>77.7</v>
      </c>
      <c r="O1494" s="107">
        <v>2538.48</v>
      </c>
      <c r="P1494" s="107">
        <v>25870</v>
      </c>
      <c r="Q1494" s="107">
        <v>65670478</v>
      </c>
      <c r="R1494" s="102" t="s">
        <v>30</v>
      </c>
      <c r="S1494" s="108"/>
      <c r="T1494" s="109"/>
      <c r="U1494" s="109"/>
      <c r="V1494" s="102"/>
      <c r="W1494" s="109"/>
      <c r="X1494" s="109"/>
      <c r="Y1494" s="110" t="s">
        <v>290</v>
      </c>
    </row>
    <row r="1495" spans="1:25" s="111" customFormat="1" x14ac:dyDescent="0.2">
      <c r="A1495" s="101">
        <v>46256</v>
      </c>
      <c r="B1495" s="91" t="s">
        <v>1744</v>
      </c>
      <c r="C1495" s="102" t="s">
        <v>1745</v>
      </c>
      <c r="D1495" s="103" t="s">
        <v>26</v>
      </c>
      <c r="E1495" s="91" t="s">
        <v>1746</v>
      </c>
      <c r="F1495" s="91" t="s">
        <v>771</v>
      </c>
      <c r="G1495" s="91" t="s">
        <v>563</v>
      </c>
      <c r="H1495" s="104" t="str">
        <f t="shared" si="92"/>
        <v>F5441J20</v>
      </c>
      <c r="I1495" s="104"/>
      <c r="J1495" s="105">
        <v>16.329999999999998</v>
      </c>
      <c r="K1495" s="106">
        <f>IF(D1495="CAESARSTONE LTD",VLOOKUP(H1495,'[2]GIA CA'!G:H,2,0),IF(OR(D1495="STONE FACINGS LIMITED",D1495="NORDIA SA",D1495="INVICTUS STONE COUNTERTOPS INC",D1495="QUARTZTOP LLC"),VLOOKUP(H1495,'[2] Giá ngoài Mỹ - SI-GR'!$B$5:$AZ$84,51,0),IF(OR(D1495="HYUNDAI L&amp;C CANADA INC",D1495="Hyundai L&amp; C USA LLC"),VLOOKUP(H1495,'[2]GIA HS'!A:D,4,0),IF(Y1495="Mỹ",VLOOKUP(H1495,'[2]giá mỹ từ 6.8.2025'!B:I,2,0),VLOOKUP(H1495,'[2]giá ngoài mỹ 6.8.2025 (final)'!B:BP,51,0)))))</f>
        <v>74</v>
      </c>
      <c r="L1495" s="106">
        <v>77.7</v>
      </c>
      <c r="M1495" s="106">
        <f t="shared" si="91"/>
        <v>3.7000000000000028</v>
      </c>
      <c r="N1495" s="106">
        <v>77.7</v>
      </c>
      <c r="O1495" s="107">
        <v>1268.8499999999999</v>
      </c>
      <c r="P1495" s="107">
        <v>25870</v>
      </c>
      <c r="Q1495" s="107">
        <v>32825150</v>
      </c>
      <c r="R1495" s="102" t="s">
        <v>30</v>
      </c>
      <c r="S1495" s="108"/>
      <c r="T1495" s="109"/>
      <c r="U1495" s="109"/>
      <c r="V1495" s="102"/>
      <c r="W1495" s="109"/>
      <c r="X1495" s="109"/>
      <c r="Y1495" s="110" t="s">
        <v>290</v>
      </c>
    </row>
    <row r="1496" spans="1:25" s="111" customFormat="1" x14ac:dyDescent="0.2">
      <c r="A1496" s="101">
        <v>46256</v>
      </c>
      <c r="B1496" s="91" t="s">
        <v>1744</v>
      </c>
      <c r="C1496" s="102" t="s">
        <v>1745</v>
      </c>
      <c r="D1496" s="103" t="s">
        <v>26</v>
      </c>
      <c r="E1496" s="91" t="s">
        <v>1746</v>
      </c>
      <c r="F1496" s="91" t="s">
        <v>889</v>
      </c>
      <c r="G1496" s="91" t="s">
        <v>563</v>
      </c>
      <c r="H1496" s="104" t="str">
        <f t="shared" si="92"/>
        <v>F5441J20</v>
      </c>
      <c r="I1496" s="104"/>
      <c r="J1496" s="105">
        <v>27.23</v>
      </c>
      <c r="K1496" s="106">
        <f>IF(D1496="CAESARSTONE LTD",VLOOKUP(H1496,'[2]GIA CA'!G:H,2,0),IF(OR(D1496="STONE FACINGS LIMITED",D1496="NORDIA SA",D1496="INVICTUS STONE COUNTERTOPS INC",D1496="QUARTZTOP LLC"),VLOOKUP(H1496,'[2] Giá ngoài Mỹ - SI-GR'!$B$5:$AZ$84,51,0),IF(OR(D1496="HYUNDAI L&amp;C CANADA INC",D1496="Hyundai L&amp; C USA LLC"),VLOOKUP(H1496,'[2]GIA HS'!A:D,4,0),IF(Y1496="Mỹ",VLOOKUP(H1496,'[2]giá mỹ từ 6.8.2025'!B:I,2,0),VLOOKUP(H1496,'[2]giá ngoài mỹ 6.8.2025 (final)'!B:BP,51,0)))))</f>
        <v>74</v>
      </c>
      <c r="L1496" s="106">
        <v>77.7</v>
      </c>
      <c r="M1496" s="106">
        <f t="shared" si="91"/>
        <v>3.7000000000000028</v>
      </c>
      <c r="N1496" s="106">
        <v>77.7</v>
      </c>
      <c r="O1496" s="107">
        <v>2115.79</v>
      </c>
      <c r="P1496" s="107">
        <v>25870</v>
      </c>
      <c r="Q1496" s="107">
        <v>54735487</v>
      </c>
      <c r="R1496" s="102" t="s">
        <v>30</v>
      </c>
      <c r="S1496" s="108"/>
      <c r="T1496" s="109"/>
      <c r="U1496" s="109"/>
      <c r="V1496" s="102"/>
      <c r="W1496" s="109"/>
      <c r="X1496" s="109"/>
      <c r="Y1496" s="110" t="s">
        <v>290</v>
      </c>
    </row>
    <row r="1497" spans="1:25" s="111" customFormat="1" x14ac:dyDescent="0.2">
      <c r="A1497" s="101">
        <v>46256</v>
      </c>
      <c r="B1497" s="91" t="s">
        <v>1744</v>
      </c>
      <c r="C1497" s="102" t="s">
        <v>1745</v>
      </c>
      <c r="D1497" s="103" t="s">
        <v>26</v>
      </c>
      <c r="E1497" s="91" t="s">
        <v>1746</v>
      </c>
      <c r="F1497" s="91" t="s">
        <v>887</v>
      </c>
      <c r="G1497" s="91" t="s">
        <v>888</v>
      </c>
      <c r="H1497" s="104" t="str">
        <f t="shared" si="92"/>
        <v>F5444J20</v>
      </c>
      <c r="I1497" s="104"/>
      <c r="J1497" s="105">
        <v>21.78</v>
      </c>
      <c r="K1497" s="106">
        <f>IF(D1497="CAESARSTONE LTD",VLOOKUP(H1497,'[2]GIA CA'!G:H,2,0),IF(OR(D1497="STONE FACINGS LIMITED",D1497="NORDIA SA",D1497="INVICTUS STONE COUNTERTOPS INC",D1497="QUARTZTOP LLC"),VLOOKUP(H1497,'[2] Giá ngoài Mỹ - SI-GR'!$B$5:$AZ$84,51,0),IF(OR(D1497="HYUNDAI L&amp;C CANADA INC",D1497="Hyundai L&amp; C USA LLC"),VLOOKUP(H1497,'[2]GIA HS'!A:D,4,0),IF(Y1497="Mỹ",VLOOKUP(H1497,'[2]giá mỹ từ 6.8.2025'!B:I,2,0),VLOOKUP(H1497,'[2]giá ngoài mỹ 6.8.2025 (final)'!B:BP,51,0)))))</f>
        <v>74</v>
      </c>
      <c r="L1497" s="106">
        <v>77.7</v>
      </c>
      <c r="M1497" s="106">
        <f t="shared" si="91"/>
        <v>3.7000000000000028</v>
      </c>
      <c r="N1497" s="106">
        <v>77.7</v>
      </c>
      <c r="O1497" s="107">
        <v>1692.32</v>
      </c>
      <c r="P1497" s="107">
        <v>25870</v>
      </c>
      <c r="Q1497" s="107">
        <v>43780318</v>
      </c>
      <c r="R1497" s="102" t="s">
        <v>30</v>
      </c>
      <c r="S1497" s="108"/>
      <c r="T1497" s="109"/>
      <c r="U1497" s="109"/>
      <c r="V1497" s="102"/>
      <c r="W1497" s="109"/>
      <c r="X1497" s="109"/>
      <c r="Y1497" s="110" t="s">
        <v>290</v>
      </c>
    </row>
    <row r="1498" spans="1:25" s="111" customFormat="1" x14ac:dyDescent="0.2">
      <c r="A1498" s="101">
        <v>46256</v>
      </c>
      <c r="B1498" s="91" t="s">
        <v>1744</v>
      </c>
      <c r="C1498" s="102" t="s">
        <v>1745</v>
      </c>
      <c r="D1498" s="103" t="s">
        <v>26</v>
      </c>
      <c r="E1498" s="91" t="s">
        <v>1746</v>
      </c>
      <c r="F1498" s="91" t="s">
        <v>1747</v>
      </c>
      <c r="G1498" s="91" t="s">
        <v>1748</v>
      </c>
      <c r="H1498" s="104" t="str">
        <f t="shared" si="92"/>
        <v>F5444J20</v>
      </c>
      <c r="I1498" s="104"/>
      <c r="J1498" s="105">
        <v>21.78</v>
      </c>
      <c r="K1498" s="106">
        <v>20</v>
      </c>
      <c r="L1498" s="106">
        <v>38.85</v>
      </c>
      <c r="M1498" s="106">
        <f t="shared" si="91"/>
        <v>18.850000000000001</v>
      </c>
      <c r="N1498" s="106">
        <v>38.85</v>
      </c>
      <c r="O1498" s="107">
        <v>846.16</v>
      </c>
      <c r="P1498" s="107">
        <v>25870</v>
      </c>
      <c r="Q1498" s="107">
        <v>21890159</v>
      </c>
      <c r="R1498" s="102" t="s">
        <v>30</v>
      </c>
      <c r="S1498" s="108"/>
      <c r="T1498" s="109"/>
      <c r="U1498" s="109"/>
      <c r="V1498" s="102"/>
      <c r="W1498" s="109"/>
      <c r="X1498" s="109"/>
      <c r="Y1498" s="110" t="s">
        <v>290</v>
      </c>
    </row>
    <row r="1499" spans="1:25" s="111" customFormat="1" x14ac:dyDescent="0.2">
      <c r="A1499" s="101">
        <v>46256</v>
      </c>
      <c r="B1499" s="91" t="s">
        <v>1744</v>
      </c>
      <c r="C1499" s="102" t="s">
        <v>1745</v>
      </c>
      <c r="D1499" s="103" t="s">
        <v>26</v>
      </c>
      <c r="E1499" s="91" t="s">
        <v>1746</v>
      </c>
      <c r="F1499" s="91" t="s">
        <v>458</v>
      </c>
      <c r="G1499" s="91" t="s">
        <v>459</v>
      </c>
      <c r="H1499" s="104" t="str">
        <f t="shared" si="92"/>
        <v>F6131J20</v>
      </c>
      <c r="I1499" s="104"/>
      <c r="J1499" s="105">
        <v>43.56</v>
      </c>
      <c r="K1499" s="106">
        <f>IF(D1499="CAESARSTONE LTD",VLOOKUP(H1499,'[2]GIA CA'!G:H,2,0),IF(OR(D1499="STONE FACINGS LIMITED",D1499="NORDIA SA",D1499="INVICTUS STONE COUNTERTOPS INC",D1499="QUARTZTOP LLC"),VLOOKUP(H1499,'[2] Giá ngoài Mỹ - SI-GR'!$B$5:$AZ$84,51,0),IF(OR(D1499="HYUNDAI L&amp;C CANADA INC",D1499="Hyundai L&amp; C USA LLC"),VLOOKUP(H1499,'[2]GIA HS'!A:D,4,0),IF(Y1499="Mỹ",VLOOKUP(H1499,'[2]giá mỹ từ 6.8.2025'!B:I,2,0),VLOOKUP(H1499,'[2]giá ngoài mỹ 6.8.2025 (final)'!B:BP,51,0)))))</f>
        <v>62</v>
      </c>
      <c r="L1499" s="106">
        <v>65.099999999999994</v>
      </c>
      <c r="M1499" s="106">
        <f t="shared" si="91"/>
        <v>3.0999999999999943</v>
      </c>
      <c r="N1499" s="106">
        <v>65.099999999999994</v>
      </c>
      <c r="O1499" s="107">
        <v>2835.76</v>
      </c>
      <c r="P1499" s="107">
        <v>25870</v>
      </c>
      <c r="Q1499" s="107">
        <v>73361111</v>
      </c>
      <c r="R1499" s="102" t="s">
        <v>30</v>
      </c>
      <c r="S1499" s="108"/>
      <c r="T1499" s="109"/>
      <c r="U1499" s="109"/>
      <c r="V1499" s="102"/>
      <c r="W1499" s="109"/>
      <c r="X1499" s="109"/>
      <c r="Y1499" s="110" t="s">
        <v>290</v>
      </c>
    </row>
    <row r="1500" spans="1:25" s="111" customFormat="1" x14ac:dyDescent="0.2">
      <c r="A1500" s="101">
        <v>46256</v>
      </c>
      <c r="B1500" s="91" t="s">
        <v>1744</v>
      </c>
      <c r="C1500" s="102" t="s">
        <v>1745</v>
      </c>
      <c r="D1500" s="103" t="s">
        <v>26</v>
      </c>
      <c r="E1500" s="91" t="s">
        <v>1746</v>
      </c>
      <c r="F1500" s="91" t="s">
        <v>1343</v>
      </c>
      <c r="G1500" s="91" t="s">
        <v>1344</v>
      </c>
      <c r="H1500" s="104" t="str">
        <f t="shared" si="92"/>
        <v>F6134J20</v>
      </c>
      <c r="I1500" s="104"/>
      <c r="J1500" s="105">
        <v>239.58</v>
      </c>
      <c r="K1500" s="106">
        <f>IF(D1500="CAESARSTONE LTD",VLOOKUP(H1500,'[2]GIA CA'!G:H,2,0),IF(OR(D1500="STONE FACINGS LIMITED",D1500="NORDIA SA",D1500="INVICTUS STONE COUNTERTOPS INC",D1500="QUARTZTOP LLC"),VLOOKUP(H1500,'[2] Giá ngoài Mỹ - SI-GR'!$B$5:$AZ$84,51,0),IF(OR(D1500="HYUNDAI L&amp;C CANADA INC",D1500="Hyundai L&amp; C USA LLC"),VLOOKUP(H1500,'[2]GIA HS'!A:D,4,0),IF(Y1500="Mỹ",VLOOKUP(H1500,'[2]giá mỹ từ 6.8.2025'!B:I,2,0),VLOOKUP(H1500,'[2]giá ngoài mỹ 6.8.2025 (final)'!B:BP,51,0)))))</f>
        <v>62</v>
      </c>
      <c r="L1500" s="106">
        <v>65.099999999999994</v>
      </c>
      <c r="M1500" s="106">
        <f t="shared" si="91"/>
        <v>3.0999999999999943</v>
      </c>
      <c r="N1500" s="106">
        <v>65.099999999999994</v>
      </c>
      <c r="O1500" s="107">
        <v>15596.68</v>
      </c>
      <c r="P1500" s="107">
        <v>25870</v>
      </c>
      <c r="Q1500" s="107">
        <v>403486112</v>
      </c>
      <c r="R1500" s="102" t="s">
        <v>30</v>
      </c>
      <c r="S1500" s="108"/>
      <c r="T1500" s="109"/>
      <c r="U1500" s="109"/>
      <c r="V1500" s="102"/>
      <c r="W1500" s="109"/>
      <c r="X1500" s="109"/>
      <c r="Y1500" s="110" t="s">
        <v>290</v>
      </c>
    </row>
    <row r="1501" spans="1:25" s="111" customFormat="1" x14ac:dyDescent="0.2">
      <c r="A1501" s="101">
        <v>46256</v>
      </c>
      <c r="B1501" s="91" t="s">
        <v>1749</v>
      </c>
      <c r="C1501" s="102" t="s">
        <v>1750</v>
      </c>
      <c r="D1501" s="103" t="s">
        <v>427</v>
      </c>
      <c r="E1501" s="91" t="s">
        <v>1751</v>
      </c>
      <c r="F1501" s="91" t="s">
        <v>1752</v>
      </c>
      <c r="G1501" s="91" t="s">
        <v>1753</v>
      </c>
      <c r="H1501" s="104" t="str">
        <f t="shared" si="92"/>
        <v>F2262J20</v>
      </c>
      <c r="I1501" s="104"/>
      <c r="J1501" s="105">
        <v>2.9</v>
      </c>
      <c r="K1501" s="106"/>
      <c r="L1501" s="106">
        <v>0</v>
      </c>
      <c r="M1501" s="106">
        <f t="shared" si="91"/>
        <v>0</v>
      </c>
      <c r="N1501" s="106">
        <v>70</v>
      </c>
      <c r="O1501" s="107">
        <v>203</v>
      </c>
      <c r="P1501" s="107">
        <v>25870</v>
      </c>
      <c r="Q1501" s="107">
        <v>5251610</v>
      </c>
      <c r="R1501" s="102"/>
      <c r="S1501" s="108"/>
      <c r="T1501" s="109"/>
      <c r="U1501" s="109" t="s">
        <v>30</v>
      </c>
      <c r="V1501" s="102"/>
      <c r="W1501" s="109"/>
      <c r="X1501" s="109"/>
      <c r="Y1501" s="110" t="s">
        <v>31</v>
      </c>
    </row>
    <row r="1502" spans="1:25" s="111" customFormat="1" x14ac:dyDescent="0.2">
      <c r="A1502" s="101">
        <v>46256</v>
      </c>
      <c r="B1502" s="91" t="s">
        <v>1749</v>
      </c>
      <c r="C1502" s="102" t="s">
        <v>1750</v>
      </c>
      <c r="D1502" s="103" t="s">
        <v>427</v>
      </c>
      <c r="E1502" s="91" t="s">
        <v>1751</v>
      </c>
      <c r="F1502" s="91" t="s">
        <v>1754</v>
      </c>
      <c r="G1502" s="91" t="s">
        <v>1295</v>
      </c>
      <c r="H1502" s="104" t="str">
        <f t="shared" si="92"/>
        <v>C5225J30</v>
      </c>
      <c r="I1502" s="104"/>
      <c r="J1502" s="105">
        <v>54.45</v>
      </c>
      <c r="K1502" s="106"/>
      <c r="L1502" s="106">
        <v>0</v>
      </c>
      <c r="M1502" s="106">
        <f t="shared" si="91"/>
        <v>0</v>
      </c>
      <c r="N1502" s="106">
        <v>87.09</v>
      </c>
      <c r="O1502" s="107">
        <v>4742.03</v>
      </c>
      <c r="P1502" s="107">
        <v>25870</v>
      </c>
      <c r="Q1502" s="107">
        <v>122676316</v>
      </c>
      <c r="R1502" s="102" t="s">
        <v>30</v>
      </c>
      <c r="S1502" s="108"/>
      <c r="T1502" s="109"/>
      <c r="U1502" s="109"/>
      <c r="V1502" s="102"/>
      <c r="W1502" s="109"/>
      <c r="X1502" s="109"/>
      <c r="Y1502" s="110" t="s">
        <v>31</v>
      </c>
    </row>
    <row r="1503" spans="1:25" s="111" customFormat="1" x14ac:dyDescent="0.2">
      <c r="A1503" s="101">
        <v>46256</v>
      </c>
      <c r="B1503" s="91" t="s">
        <v>1749</v>
      </c>
      <c r="C1503" s="102" t="s">
        <v>1750</v>
      </c>
      <c r="D1503" s="103" t="s">
        <v>427</v>
      </c>
      <c r="E1503" s="91" t="s">
        <v>1751</v>
      </c>
      <c r="F1503" s="91" t="s">
        <v>1294</v>
      </c>
      <c r="G1503" s="91" t="s">
        <v>1295</v>
      </c>
      <c r="H1503" s="104" t="str">
        <f t="shared" si="92"/>
        <v>C5225J30</v>
      </c>
      <c r="I1503" s="104"/>
      <c r="J1503" s="105">
        <v>228.69</v>
      </c>
      <c r="K1503" s="106"/>
      <c r="L1503" s="106">
        <v>0</v>
      </c>
      <c r="M1503" s="106">
        <f t="shared" si="91"/>
        <v>0</v>
      </c>
      <c r="N1503" s="106">
        <v>87.09</v>
      </c>
      <c r="O1503" s="107">
        <v>19916.52</v>
      </c>
      <c r="P1503" s="107">
        <v>25870</v>
      </c>
      <c r="Q1503" s="107">
        <v>515240372</v>
      </c>
      <c r="R1503" s="102" t="s">
        <v>30</v>
      </c>
      <c r="S1503" s="108"/>
      <c r="T1503" s="109"/>
      <c r="U1503" s="109"/>
      <c r="V1503" s="102"/>
      <c r="W1503" s="109"/>
      <c r="X1503" s="109"/>
      <c r="Y1503" s="110" t="s">
        <v>31</v>
      </c>
    </row>
    <row r="1504" spans="1:25" s="111" customFormat="1" x14ac:dyDescent="0.2">
      <c r="A1504" s="101">
        <v>46256</v>
      </c>
      <c r="B1504" s="91" t="s">
        <v>1749</v>
      </c>
      <c r="C1504" s="102" t="s">
        <v>1750</v>
      </c>
      <c r="D1504" s="103" t="s">
        <v>427</v>
      </c>
      <c r="E1504" s="91" t="s">
        <v>1751</v>
      </c>
      <c r="F1504" s="91" t="s">
        <v>1296</v>
      </c>
      <c r="G1504" s="91" t="s">
        <v>1295</v>
      </c>
      <c r="H1504" s="104" t="str">
        <f t="shared" si="92"/>
        <v>C5225J30</v>
      </c>
      <c r="I1504" s="104"/>
      <c r="J1504" s="105">
        <v>10.89</v>
      </c>
      <c r="K1504" s="106"/>
      <c r="L1504" s="106">
        <v>0</v>
      </c>
      <c r="M1504" s="106">
        <f t="shared" si="91"/>
        <v>0</v>
      </c>
      <c r="N1504" s="106">
        <v>87.09</v>
      </c>
      <c r="O1504" s="107">
        <v>948.4</v>
      </c>
      <c r="P1504" s="107">
        <v>25870</v>
      </c>
      <c r="Q1504" s="107">
        <v>24535108</v>
      </c>
      <c r="R1504" s="102" t="s">
        <v>30</v>
      </c>
      <c r="S1504" s="108"/>
      <c r="T1504" s="109"/>
      <c r="U1504" s="109"/>
      <c r="V1504" s="102"/>
      <c r="W1504" s="109"/>
      <c r="X1504" s="109"/>
      <c r="Y1504" s="110" t="s">
        <v>31</v>
      </c>
    </row>
    <row r="1505" spans="1:25" s="111" customFormat="1" x14ac:dyDescent="0.2">
      <c r="A1505" s="101">
        <v>46256</v>
      </c>
      <c r="B1505" s="91" t="s">
        <v>1755</v>
      </c>
      <c r="C1505" s="102" t="s">
        <v>1756</v>
      </c>
      <c r="D1505" s="103" t="s">
        <v>427</v>
      </c>
      <c r="E1505" s="91" t="s">
        <v>1757</v>
      </c>
      <c r="F1505" s="91" t="s">
        <v>1758</v>
      </c>
      <c r="G1505" s="91" t="s">
        <v>1759</v>
      </c>
      <c r="H1505" s="104" t="str">
        <f t="shared" si="92"/>
        <v>C5366J20</v>
      </c>
      <c r="I1505" s="104"/>
      <c r="J1505" s="105">
        <v>2.9</v>
      </c>
      <c r="K1505" s="106"/>
      <c r="L1505" s="106">
        <v>0</v>
      </c>
      <c r="M1505" s="106">
        <f t="shared" si="91"/>
        <v>0</v>
      </c>
      <c r="N1505" s="106">
        <v>66</v>
      </c>
      <c r="O1505" s="107">
        <v>191.4</v>
      </c>
      <c r="P1505" s="107">
        <v>25870</v>
      </c>
      <c r="Q1505" s="107">
        <v>4951518</v>
      </c>
      <c r="R1505" s="102"/>
      <c r="S1505" s="108"/>
      <c r="T1505" s="109"/>
      <c r="U1505" s="109" t="s">
        <v>30</v>
      </c>
      <c r="V1505" s="102"/>
      <c r="W1505" s="109"/>
      <c r="X1505" s="109"/>
      <c r="Y1505" s="110" t="s">
        <v>31</v>
      </c>
    </row>
    <row r="1506" spans="1:25" s="111" customFormat="1" x14ac:dyDescent="0.2">
      <c r="A1506" s="101">
        <v>46256</v>
      </c>
      <c r="B1506" s="91" t="s">
        <v>1755</v>
      </c>
      <c r="C1506" s="102" t="s">
        <v>1756</v>
      </c>
      <c r="D1506" s="103" t="s">
        <v>427</v>
      </c>
      <c r="E1506" s="91" t="s">
        <v>1757</v>
      </c>
      <c r="F1506" s="91" t="s">
        <v>1294</v>
      </c>
      <c r="G1506" s="91" t="s">
        <v>1295</v>
      </c>
      <c r="H1506" s="104" t="str">
        <f t="shared" si="92"/>
        <v>C5225J30</v>
      </c>
      <c r="I1506" s="104"/>
      <c r="J1506" s="105">
        <v>21.78</v>
      </c>
      <c r="K1506" s="106"/>
      <c r="L1506" s="106">
        <v>0</v>
      </c>
      <c r="M1506" s="106">
        <f t="shared" si="91"/>
        <v>0</v>
      </c>
      <c r="N1506" s="106">
        <v>87.13</v>
      </c>
      <c r="O1506" s="107">
        <v>1897.67</v>
      </c>
      <c r="P1506" s="107">
        <v>25870</v>
      </c>
      <c r="Q1506" s="107">
        <v>49092723</v>
      </c>
      <c r="R1506" s="102" t="s">
        <v>30</v>
      </c>
      <c r="S1506" s="108"/>
      <c r="T1506" s="109"/>
      <c r="U1506" s="109"/>
      <c r="V1506" s="102"/>
      <c r="W1506" s="109"/>
      <c r="X1506" s="109"/>
      <c r="Y1506" s="110" t="s">
        <v>31</v>
      </c>
    </row>
    <row r="1507" spans="1:25" s="111" customFormat="1" x14ac:dyDescent="0.2">
      <c r="A1507" s="101">
        <v>46256</v>
      </c>
      <c r="B1507" s="91" t="s">
        <v>1755</v>
      </c>
      <c r="C1507" s="102" t="s">
        <v>1756</v>
      </c>
      <c r="D1507" s="103" t="s">
        <v>427</v>
      </c>
      <c r="E1507" s="91" t="s">
        <v>1757</v>
      </c>
      <c r="F1507" s="91" t="s">
        <v>1294</v>
      </c>
      <c r="G1507" s="91" t="s">
        <v>1295</v>
      </c>
      <c r="H1507" s="104" t="str">
        <f t="shared" si="92"/>
        <v>C5225J30</v>
      </c>
      <c r="I1507" s="104"/>
      <c r="J1507" s="105">
        <v>272.25</v>
      </c>
      <c r="K1507" s="106"/>
      <c r="L1507" s="106">
        <v>0</v>
      </c>
      <c r="M1507" s="106">
        <f t="shared" si="91"/>
        <v>0</v>
      </c>
      <c r="N1507" s="106">
        <v>87.13</v>
      </c>
      <c r="O1507" s="107">
        <v>23720.880000000001</v>
      </c>
      <c r="P1507" s="107">
        <v>25870</v>
      </c>
      <c r="Q1507" s="107">
        <v>613659166</v>
      </c>
      <c r="R1507" s="102" t="s">
        <v>30</v>
      </c>
      <c r="S1507" s="108"/>
      <c r="T1507" s="109"/>
      <c r="U1507" s="109"/>
      <c r="V1507" s="102"/>
      <c r="W1507" s="109"/>
      <c r="X1507" s="109"/>
      <c r="Y1507" s="110" t="s">
        <v>31</v>
      </c>
    </row>
    <row r="1508" spans="1:25" s="111" customFormat="1" x14ac:dyDescent="0.2">
      <c r="A1508" s="101">
        <v>46256</v>
      </c>
      <c r="B1508" s="91" t="s">
        <v>1760</v>
      </c>
      <c r="C1508" s="102" t="s">
        <v>1761</v>
      </c>
      <c r="D1508" s="103" t="s">
        <v>427</v>
      </c>
      <c r="E1508" s="91" t="s">
        <v>1762</v>
      </c>
      <c r="F1508" s="91" t="s">
        <v>443</v>
      </c>
      <c r="G1508" s="91" t="s">
        <v>444</v>
      </c>
      <c r="H1508" s="104" t="str">
        <f t="shared" si="92"/>
        <v>F5233J20</v>
      </c>
      <c r="I1508" s="104"/>
      <c r="J1508" s="105">
        <v>2.58</v>
      </c>
      <c r="K1508" s="106"/>
      <c r="L1508" s="106">
        <v>0</v>
      </c>
      <c r="M1508" s="106">
        <f t="shared" si="91"/>
        <v>0</v>
      </c>
      <c r="N1508" s="106">
        <v>86</v>
      </c>
      <c r="O1508" s="107">
        <v>221.88</v>
      </c>
      <c r="P1508" s="107">
        <v>25870</v>
      </c>
      <c r="Q1508" s="107">
        <v>5740036</v>
      </c>
      <c r="R1508" s="102"/>
      <c r="S1508" s="108"/>
      <c r="T1508" s="109"/>
      <c r="U1508" s="109" t="s">
        <v>30</v>
      </c>
      <c r="V1508" s="102"/>
      <c r="W1508" s="109"/>
      <c r="X1508" s="109"/>
      <c r="Y1508" s="110" t="s">
        <v>31</v>
      </c>
    </row>
    <row r="1509" spans="1:25" s="111" customFormat="1" x14ac:dyDescent="0.2">
      <c r="A1509" s="101">
        <v>46256</v>
      </c>
      <c r="B1509" s="91" t="s">
        <v>1760</v>
      </c>
      <c r="C1509" s="102" t="s">
        <v>1761</v>
      </c>
      <c r="D1509" s="103" t="s">
        <v>427</v>
      </c>
      <c r="E1509" s="91" t="s">
        <v>1762</v>
      </c>
      <c r="F1509" s="91" t="s">
        <v>445</v>
      </c>
      <c r="G1509" s="91" t="s">
        <v>437</v>
      </c>
      <c r="H1509" s="104" t="str">
        <f t="shared" si="92"/>
        <v>F5233J30</v>
      </c>
      <c r="I1509" s="104"/>
      <c r="J1509" s="105">
        <v>272.25</v>
      </c>
      <c r="K1509" s="106"/>
      <c r="L1509" s="106">
        <v>0</v>
      </c>
      <c r="M1509" s="106">
        <f t="shared" si="91"/>
        <v>0</v>
      </c>
      <c r="N1509" s="106">
        <v>97.7</v>
      </c>
      <c r="O1509" s="107">
        <v>26597.56</v>
      </c>
      <c r="P1509" s="107">
        <v>25870</v>
      </c>
      <c r="Q1509" s="107">
        <v>688078877</v>
      </c>
      <c r="R1509" s="102" t="s">
        <v>30</v>
      </c>
      <c r="S1509" s="108"/>
      <c r="T1509" s="109"/>
      <c r="U1509" s="109"/>
      <c r="V1509" s="102"/>
      <c r="W1509" s="109"/>
      <c r="X1509" s="109"/>
      <c r="Y1509" s="110" t="s">
        <v>31</v>
      </c>
    </row>
    <row r="1510" spans="1:25" s="111" customFormat="1" x14ac:dyDescent="0.2">
      <c r="A1510" s="101">
        <v>46256</v>
      </c>
      <c r="B1510" s="91" t="s">
        <v>1760</v>
      </c>
      <c r="C1510" s="102" t="s">
        <v>1761</v>
      </c>
      <c r="D1510" s="103" t="s">
        <v>427</v>
      </c>
      <c r="E1510" s="91" t="s">
        <v>1762</v>
      </c>
      <c r="F1510" s="91" t="s">
        <v>438</v>
      </c>
      <c r="G1510" s="91" t="s">
        <v>437</v>
      </c>
      <c r="H1510" s="104" t="str">
        <f t="shared" si="92"/>
        <v>F5233J30</v>
      </c>
      <c r="I1510" s="104"/>
      <c r="J1510" s="105">
        <v>21.78</v>
      </c>
      <c r="K1510" s="106"/>
      <c r="L1510" s="106">
        <v>0</v>
      </c>
      <c r="M1510" s="106">
        <f t="shared" si="91"/>
        <v>0</v>
      </c>
      <c r="N1510" s="106">
        <v>97.7</v>
      </c>
      <c r="O1510" s="107">
        <v>2127.81</v>
      </c>
      <c r="P1510" s="107">
        <v>25870</v>
      </c>
      <c r="Q1510" s="107">
        <v>55046445</v>
      </c>
      <c r="R1510" s="102" t="s">
        <v>30</v>
      </c>
      <c r="S1510" s="108"/>
      <c r="T1510" s="109"/>
      <c r="U1510" s="109"/>
      <c r="V1510" s="102"/>
      <c r="W1510" s="109"/>
      <c r="X1510" s="109"/>
      <c r="Y1510" s="110" t="s">
        <v>31</v>
      </c>
    </row>
    <row r="1511" spans="1:25" s="111" customFormat="1" x14ac:dyDescent="0.2">
      <c r="A1511" s="101">
        <v>46256</v>
      </c>
      <c r="B1511" s="91" t="s">
        <v>1763</v>
      </c>
      <c r="C1511" s="102" t="s">
        <v>1764</v>
      </c>
      <c r="D1511" s="103" t="s">
        <v>26</v>
      </c>
      <c r="E1511" s="91" t="s">
        <v>1765</v>
      </c>
      <c r="F1511" s="91" t="s">
        <v>279</v>
      </c>
      <c r="G1511" s="91" t="s">
        <v>280</v>
      </c>
      <c r="H1511" s="104" t="str">
        <f t="shared" si="92"/>
        <v>F4011J30</v>
      </c>
      <c r="I1511" s="104"/>
      <c r="J1511" s="105">
        <v>38.119999999999997</v>
      </c>
      <c r="K1511" s="106">
        <f>+L1511</f>
        <v>74.991</v>
      </c>
      <c r="L1511" s="106">
        <v>74.991</v>
      </c>
      <c r="M1511" s="106">
        <f t="shared" si="91"/>
        <v>0</v>
      </c>
      <c r="N1511" s="106">
        <v>74.989999999999995</v>
      </c>
      <c r="O1511" s="107">
        <v>2858.66</v>
      </c>
      <c r="P1511" s="107">
        <v>25870</v>
      </c>
      <c r="Q1511" s="107">
        <v>73953534</v>
      </c>
      <c r="R1511" s="102" t="s">
        <v>30</v>
      </c>
      <c r="S1511" s="108"/>
      <c r="T1511" s="109"/>
      <c r="U1511" s="109"/>
      <c r="V1511" s="102"/>
      <c r="W1511" s="109"/>
      <c r="X1511" s="109"/>
      <c r="Y1511" s="110" t="s">
        <v>31</v>
      </c>
    </row>
    <row r="1512" spans="1:25" s="111" customFormat="1" x14ac:dyDescent="0.2">
      <c r="A1512" s="101">
        <v>46256</v>
      </c>
      <c r="B1512" s="91" t="s">
        <v>1763</v>
      </c>
      <c r="C1512" s="102" t="s">
        <v>1764</v>
      </c>
      <c r="D1512" s="103" t="s">
        <v>26</v>
      </c>
      <c r="E1512" s="91" t="s">
        <v>1765</v>
      </c>
      <c r="F1512" s="91" t="s">
        <v>1766</v>
      </c>
      <c r="G1512" s="91" t="s">
        <v>1767</v>
      </c>
      <c r="H1512" s="104" t="str">
        <f t="shared" si="92"/>
        <v>F5112J30</v>
      </c>
      <c r="I1512" s="104"/>
      <c r="J1512" s="105">
        <v>304.92</v>
      </c>
      <c r="K1512" s="106">
        <f>IF(D1512="CAESARSTONE LTD",VLOOKUP(H1512,'[2]GIA CA'!G:H,2,0),IF(OR(D1512="STONE FACINGS LIMITED",D1512="NORDIA SA",D1512="INVICTUS STONE COUNTERTOPS INC",D1512="QUARTZTOP LLC"),VLOOKUP(H1512,'[2] Giá ngoài Mỹ - SI-GR'!$B$5:$AZ$84,51,0),IF(OR(D1512="HYUNDAI L&amp;C CANADA INC",D1512="Hyundai L&amp; C USA LLC"),VLOOKUP(H1512,'[2]GIA HS'!A:D,4,0),IF(Y1512="Mỹ",VLOOKUP(H1512,'[2]giá mỹ từ 6.8.2025'!B:I,2,0),VLOOKUP(H1512,'[2]giá ngoài mỹ 6.8.2025 (final)'!B:BP,51,0)))))</f>
        <v>75</v>
      </c>
      <c r="L1512" s="106">
        <v>75</v>
      </c>
      <c r="M1512" s="106">
        <f t="shared" si="91"/>
        <v>0</v>
      </c>
      <c r="N1512" s="106">
        <v>75</v>
      </c>
      <c r="O1512" s="107">
        <v>22869.279999999999</v>
      </c>
      <c r="P1512" s="107">
        <v>25870</v>
      </c>
      <c r="Q1512" s="107">
        <v>591628274</v>
      </c>
      <c r="R1512" s="102" t="s">
        <v>30</v>
      </c>
      <c r="S1512" s="108"/>
      <c r="T1512" s="109"/>
      <c r="U1512" s="109"/>
      <c r="V1512" s="102"/>
      <c r="W1512" s="109"/>
      <c r="X1512" s="109"/>
      <c r="Y1512" s="110" t="s">
        <v>31</v>
      </c>
    </row>
    <row r="1513" spans="1:25" s="111" customFormat="1" x14ac:dyDescent="0.2">
      <c r="A1513" s="101">
        <v>46256</v>
      </c>
      <c r="B1513" s="91" t="s">
        <v>1768</v>
      </c>
      <c r="C1513" s="102" t="s">
        <v>1769</v>
      </c>
      <c r="D1513" s="103" t="s">
        <v>411</v>
      </c>
      <c r="E1513" s="91" t="s">
        <v>1770</v>
      </c>
      <c r="F1513" s="91" t="s">
        <v>895</v>
      </c>
      <c r="G1513" s="91" t="s">
        <v>896</v>
      </c>
      <c r="H1513" s="104" t="str">
        <f t="shared" si="92"/>
        <v>C4143J30</v>
      </c>
      <c r="I1513" s="104"/>
      <c r="J1513" s="105">
        <v>283.14</v>
      </c>
      <c r="K1513" s="106"/>
      <c r="L1513" s="106">
        <v>0</v>
      </c>
      <c r="M1513" s="106">
        <f t="shared" si="91"/>
        <v>0</v>
      </c>
      <c r="N1513" s="106">
        <v>75.599999999999994</v>
      </c>
      <c r="O1513" s="107">
        <v>21405.279999999999</v>
      </c>
      <c r="P1513" s="107">
        <v>25870</v>
      </c>
      <c r="Q1513" s="107">
        <v>553754594</v>
      </c>
      <c r="R1513" s="102" t="s">
        <v>30</v>
      </c>
      <c r="S1513" s="108"/>
      <c r="T1513" s="109"/>
      <c r="U1513" s="109"/>
      <c r="V1513" s="102"/>
      <c r="W1513" s="109"/>
      <c r="X1513" s="109"/>
      <c r="Y1513" s="110" t="s">
        <v>31</v>
      </c>
    </row>
    <row r="1514" spans="1:25" s="111" customFormat="1" x14ac:dyDescent="0.2">
      <c r="A1514" s="101">
        <v>46258</v>
      </c>
      <c r="B1514" s="91" t="s">
        <v>1771</v>
      </c>
      <c r="C1514" s="102" t="s">
        <v>1772</v>
      </c>
      <c r="D1514" s="103" t="s">
        <v>26</v>
      </c>
      <c r="E1514" s="91" t="s">
        <v>1773</v>
      </c>
      <c r="F1514" s="91" t="s">
        <v>1259</v>
      </c>
      <c r="G1514" s="91" t="s">
        <v>1260</v>
      </c>
      <c r="H1514" s="104" t="str">
        <f t="shared" si="92"/>
        <v>C4143J20</v>
      </c>
      <c r="I1514" s="104"/>
      <c r="J1514" s="105">
        <v>435.6</v>
      </c>
      <c r="K1514" s="106"/>
      <c r="L1514" s="106">
        <v>0</v>
      </c>
      <c r="M1514" s="106">
        <f t="shared" si="91"/>
        <v>0</v>
      </c>
      <c r="N1514" s="106">
        <v>59.9</v>
      </c>
      <c r="O1514" s="107">
        <v>26092.799999999999</v>
      </c>
      <c r="P1514" s="107">
        <v>25930</v>
      </c>
      <c r="Q1514" s="107">
        <v>676586304</v>
      </c>
      <c r="R1514" s="102" t="s">
        <v>30</v>
      </c>
      <c r="S1514" s="108"/>
      <c r="T1514" s="109"/>
      <c r="U1514" s="109"/>
      <c r="V1514" s="102"/>
      <c r="W1514" s="109"/>
      <c r="X1514" s="109"/>
      <c r="Y1514" s="110" t="s">
        <v>803</v>
      </c>
    </row>
    <row r="1515" spans="1:25" s="111" customFormat="1" x14ac:dyDescent="0.2">
      <c r="A1515" s="101">
        <v>46258</v>
      </c>
      <c r="B1515" s="91" t="s">
        <v>1774</v>
      </c>
      <c r="C1515" s="102" t="s">
        <v>1775</v>
      </c>
      <c r="D1515" s="103" t="s">
        <v>26</v>
      </c>
      <c r="E1515" s="91" t="s">
        <v>1776</v>
      </c>
      <c r="F1515" s="91" t="s">
        <v>124</v>
      </c>
      <c r="G1515" s="91" t="s">
        <v>113</v>
      </c>
      <c r="H1515" s="104" t="str">
        <f t="shared" si="92"/>
        <v>C5212J20</v>
      </c>
      <c r="I1515" s="104"/>
      <c r="J1515" s="105">
        <v>490.05</v>
      </c>
      <c r="K1515" s="106"/>
      <c r="L1515" s="106">
        <v>0</v>
      </c>
      <c r="M1515" s="106">
        <f t="shared" si="91"/>
        <v>0</v>
      </c>
      <c r="N1515" s="106">
        <v>62</v>
      </c>
      <c r="O1515" s="107">
        <v>30383.1</v>
      </c>
      <c r="P1515" s="107">
        <v>25930</v>
      </c>
      <c r="Q1515" s="107">
        <v>787833783</v>
      </c>
      <c r="R1515" s="102" t="s">
        <v>30</v>
      </c>
      <c r="S1515" s="108"/>
      <c r="T1515" s="109"/>
      <c r="U1515" s="109"/>
      <c r="V1515" s="102"/>
      <c r="W1515" s="109"/>
      <c r="X1515" s="109"/>
      <c r="Y1515" s="110" t="s">
        <v>358</v>
      </c>
    </row>
    <row r="1516" spans="1:25" s="111" customFormat="1" x14ac:dyDescent="0.2">
      <c r="A1516" s="101">
        <v>46258</v>
      </c>
      <c r="B1516" s="91" t="s">
        <v>1777</v>
      </c>
      <c r="C1516" s="102" t="s">
        <v>1778</v>
      </c>
      <c r="D1516" s="103" t="s">
        <v>26</v>
      </c>
      <c r="E1516" s="91" t="s">
        <v>1779</v>
      </c>
      <c r="F1516" s="91" t="s">
        <v>110</v>
      </c>
      <c r="G1516" s="91" t="s">
        <v>111</v>
      </c>
      <c r="H1516" s="104" t="str">
        <f t="shared" si="92"/>
        <v>C4023J20</v>
      </c>
      <c r="I1516" s="104"/>
      <c r="J1516" s="105">
        <v>272.25</v>
      </c>
      <c r="K1516" s="106">
        <f>+L1516</f>
        <v>59.9</v>
      </c>
      <c r="L1516" s="106">
        <v>59.9</v>
      </c>
      <c r="M1516" s="106">
        <f t="shared" si="91"/>
        <v>0</v>
      </c>
      <c r="N1516" s="106">
        <v>59.9</v>
      </c>
      <c r="O1516" s="107">
        <v>16308</v>
      </c>
      <c r="P1516" s="107">
        <v>25930</v>
      </c>
      <c r="Q1516" s="107">
        <v>422866440</v>
      </c>
      <c r="R1516" s="102" t="s">
        <v>30</v>
      </c>
      <c r="S1516" s="108"/>
      <c r="T1516" s="109"/>
      <c r="U1516" s="109"/>
      <c r="V1516" s="102"/>
      <c r="W1516" s="109"/>
      <c r="X1516" s="109"/>
      <c r="Y1516" s="110" t="s">
        <v>1780</v>
      </c>
    </row>
    <row r="1517" spans="1:25" s="111" customFormat="1" x14ac:dyDescent="0.2">
      <c r="A1517" s="101">
        <v>46258</v>
      </c>
      <c r="B1517" s="91" t="s">
        <v>1777</v>
      </c>
      <c r="C1517" s="102" t="s">
        <v>1778</v>
      </c>
      <c r="D1517" s="103" t="s">
        <v>26</v>
      </c>
      <c r="E1517" s="91" t="s">
        <v>1779</v>
      </c>
      <c r="F1517" s="91" t="s">
        <v>1781</v>
      </c>
      <c r="G1517" s="91" t="s">
        <v>1782</v>
      </c>
      <c r="H1517" s="104" t="str">
        <f t="shared" si="92"/>
        <v>C5133J20</v>
      </c>
      <c r="I1517" s="104"/>
      <c r="J1517" s="105">
        <v>5.45</v>
      </c>
      <c r="K1517" s="106">
        <f>IF(D1517="CAESARSTONE LTD",VLOOKUP(H1517,'[2]GIA CA'!G:H,2,0),IF(OR(D1517="STONE FACINGS LIMITED",D1517="NORDIA SA",D1517="INVICTUS STONE COUNTERTOPS INC",D1517="QUARTZTOP LLC"),VLOOKUP(H1517,'[2] Giá ngoài Mỹ - SI-GR'!$B$5:$AZ$84,51,0),IF(OR(D1517="HYUNDAI L&amp;C CANADA INC",D1517="Hyundai L&amp; C USA LLC"),VLOOKUP(H1517,'[2]GIA HS'!A:D,4,0),IF(Y1517="Mỹ",VLOOKUP(H1517,'[2]giá mỹ từ 6.8.2025'!B:I,2,0),VLOOKUP(H1517,'[2]giá ngoài mỹ 6.8.2025 (final)'!B:BP,51,0)))))</f>
        <v>59</v>
      </c>
      <c r="L1517" s="106">
        <v>62</v>
      </c>
      <c r="M1517" s="106">
        <f t="shared" si="91"/>
        <v>3</v>
      </c>
      <c r="N1517" s="106">
        <v>62</v>
      </c>
      <c r="O1517" s="107">
        <v>337.9</v>
      </c>
      <c r="P1517" s="107">
        <v>25930</v>
      </c>
      <c r="Q1517" s="107">
        <v>8761747</v>
      </c>
      <c r="R1517" s="102" t="s">
        <v>30</v>
      </c>
      <c r="S1517" s="108"/>
      <c r="T1517" s="109"/>
      <c r="U1517" s="109"/>
      <c r="V1517" s="102"/>
      <c r="W1517" s="109"/>
      <c r="X1517" s="109"/>
      <c r="Y1517" s="110" t="s">
        <v>1780</v>
      </c>
    </row>
    <row r="1518" spans="1:25" s="111" customFormat="1" x14ac:dyDescent="0.2">
      <c r="A1518" s="101">
        <v>46258</v>
      </c>
      <c r="B1518" s="91" t="s">
        <v>1777</v>
      </c>
      <c r="C1518" s="102" t="s">
        <v>1778</v>
      </c>
      <c r="D1518" s="103" t="s">
        <v>26</v>
      </c>
      <c r="E1518" s="91" t="s">
        <v>1779</v>
      </c>
      <c r="F1518" s="91" t="s">
        <v>1783</v>
      </c>
      <c r="G1518" s="91" t="s">
        <v>1782</v>
      </c>
      <c r="H1518" s="104" t="str">
        <f t="shared" si="92"/>
        <v>C5133J20</v>
      </c>
      <c r="I1518" s="104"/>
      <c r="J1518" s="105">
        <v>5.44</v>
      </c>
      <c r="K1518" s="106">
        <f>IF(D1518="CAESARSTONE LTD",VLOOKUP(H1518,'[2]GIA CA'!G:H,2,0),IF(OR(D1518="STONE FACINGS LIMITED",D1518="NORDIA SA",D1518="INVICTUS STONE COUNTERTOPS INC",D1518="QUARTZTOP LLC"),VLOOKUP(H1518,'[2] Giá ngoài Mỹ - SI-GR'!$B$5:$AZ$84,51,0),IF(OR(D1518="HYUNDAI L&amp;C CANADA INC",D1518="Hyundai L&amp; C USA LLC"),VLOOKUP(H1518,'[2]GIA HS'!A:D,4,0),IF(Y1518="Mỹ",VLOOKUP(H1518,'[2]giá mỹ từ 6.8.2025'!B:I,2,0),VLOOKUP(H1518,'[2]giá ngoài mỹ 6.8.2025 (final)'!B:BP,51,0)))))</f>
        <v>59</v>
      </c>
      <c r="L1518" s="106">
        <v>62</v>
      </c>
      <c r="M1518" s="106">
        <f t="shared" si="91"/>
        <v>3</v>
      </c>
      <c r="N1518" s="106">
        <v>62</v>
      </c>
      <c r="O1518" s="107">
        <v>337.28</v>
      </c>
      <c r="P1518" s="107">
        <v>25930</v>
      </c>
      <c r="Q1518" s="107">
        <v>8745670</v>
      </c>
      <c r="R1518" s="102" t="s">
        <v>30</v>
      </c>
      <c r="S1518" s="108"/>
      <c r="T1518" s="109"/>
      <c r="U1518" s="109"/>
      <c r="V1518" s="102"/>
      <c r="W1518" s="109"/>
      <c r="X1518" s="109"/>
      <c r="Y1518" s="110" t="s">
        <v>1780</v>
      </c>
    </row>
    <row r="1519" spans="1:25" s="111" customFormat="1" x14ac:dyDescent="0.2">
      <c r="A1519" s="101">
        <v>46258</v>
      </c>
      <c r="B1519" s="91" t="s">
        <v>1777</v>
      </c>
      <c r="C1519" s="102" t="s">
        <v>1778</v>
      </c>
      <c r="D1519" s="103" t="s">
        <v>26</v>
      </c>
      <c r="E1519" s="91" t="s">
        <v>1779</v>
      </c>
      <c r="F1519" s="91" t="s">
        <v>1784</v>
      </c>
      <c r="G1519" s="91" t="s">
        <v>1782</v>
      </c>
      <c r="H1519" s="104" t="str">
        <f t="shared" si="92"/>
        <v>C5133J20</v>
      </c>
      <c r="I1519" s="104"/>
      <c r="J1519" s="105">
        <v>98.01</v>
      </c>
      <c r="K1519" s="106">
        <f>IF(D1519="CAESARSTONE LTD",VLOOKUP(H1519,'[2]GIA CA'!G:H,2,0),IF(OR(D1519="STONE FACINGS LIMITED",D1519="NORDIA SA",D1519="INVICTUS STONE COUNTERTOPS INC",D1519="QUARTZTOP LLC"),VLOOKUP(H1519,'[2] Giá ngoài Mỹ - SI-GR'!$B$5:$AZ$84,51,0),IF(OR(D1519="HYUNDAI L&amp;C CANADA INC",D1519="Hyundai L&amp; C USA LLC"),VLOOKUP(H1519,'[2]GIA HS'!A:D,4,0),IF(Y1519="Mỹ",VLOOKUP(H1519,'[2]giá mỹ từ 6.8.2025'!B:I,2,0),VLOOKUP(H1519,'[2]giá ngoài mỹ 6.8.2025 (final)'!B:BP,51,0)))))</f>
        <v>59</v>
      </c>
      <c r="L1519" s="106">
        <v>62</v>
      </c>
      <c r="M1519" s="106">
        <f t="shared" si="91"/>
        <v>3</v>
      </c>
      <c r="N1519" s="106">
        <v>62</v>
      </c>
      <c r="O1519" s="107">
        <v>6076.62</v>
      </c>
      <c r="P1519" s="107">
        <v>25930</v>
      </c>
      <c r="Q1519" s="107">
        <v>157566757</v>
      </c>
      <c r="R1519" s="102" t="s">
        <v>30</v>
      </c>
      <c r="S1519" s="108"/>
      <c r="T1519" s="109"/>
      <c r="U1519" s="109"/>
      <c r="V1519" s="102"/>
      <c r="W1519" s="109"/>
      <c r="X1519" s="109"/>
      <c r="Y1519" s="110" t="s">
        <v>1780</v>
      </c>
    </row>
    <row r="1520" spans="1:25" s="111" customFormat="1" x14ac:dyDescent="0.2">
      <c r="A1520" s="101">
        <v>46258</v>
      </c>
      <c r="B1520" s="91" t="s">
        <v>1777</v>
      </c>
      <c r="C1520" s="102" t="s">
        <v>1778</v>
      </c>
      <c r="D1520" s="103" t="s">
        <v>26</v>
      </c>
      <c r="E1520" s="91" t="s">
        <v>1779</v>
      </c>
      <c r="F1520" s="91" t="s">
        <v>259</v>
      </c>
      <c r="G1520" s="91" t="s">
        <v>260</v>
      </c>
      <c r="H1520" s="104" t="str">
        <f t="shared" si="92"/>
        <v>C5151J20</v>
      </c>
      <c r="I1520" s="104"/>
      <c r="J1520" s="105">
        <v>65.34</v>
      </c>
      <c r="K1520" s="106">
        <f>IF(D1520="CAESARSTONE LTD",VLOOKUP(H1520,'[2]GIA CA'!G:H,2,0),IF(OR(D1520="STONE FACINGS LIMITED",D1520="NORDIA SA",D1520="INVICTUS STONE COUNTERTOPS INC",D1520="QUARTZTOP LLC"),VLOOKUP(H1520,'[2] Giá ngoài Mỹ - SI-GR'!$B$5:$AZ$84,51,0),IF(OR(D1520="HYUNDAI L&amp;C CANADA INC",D1520="Hyundai L&amp; C USA LLC"),VLOOKUP(H1520,'[2]GIA HS'!A:D,4,0),IF(Y1520="Mỹ",VLOOKUP(H1520,'[2]giá mỹ từ 6.8.2025'!B:I,2,0),VLOOKUP(H1520,'[2]giá ngoài mỹ 6.8.2025 (final)'!B:BP,51,0)))))</f>
        <v>65</v>
      </c>
      <c r="L1520" s="106">
        <v>68.25</v>
      </c>
      <c r="M1520" s="106">
        <f t="shared" si="91"/>
        <v>3.25</v>
      </c>
      <c r="N1520" s="106">
        <v>68.25</v>
      </c>
      <c r="O1520" s="107">
        <v>4459.4399999999996</v>
      </c>
      <c r="P1520" s="107">
        <v>25930</v>
      </c>
      <c r="Q1520" s="107">
        <v>115633279</v>
      </c>
      <c r="R1520" s="102" t="s">
        <v>30</v>
      </c>
      <c r="S1520" s="108"/>
      <c r="T1520" s="109"/>
      <c r="U1520" s="109"/>
      <c r="V1520" s="102"/>
      <c r="W1520" s="109"/>
      <c r="X1520" s="109"/>
      <c r="Y1520" s="110" t="s">
        <v>1780</v>
      </c>
    </row>
    <row r="1521" spans="1:25" s="111" customFormat="1" x14ac:dyDescent="0.2">
      <c r="A1521" s="101">
        <v>46258</v>
      </c>
      <c r="B1521" s="91" t="s">
        <v>1777</v>
      </c>
      <c r="C1521" s="102" t="s">
        <v>1778</v>
      </c>
      <c r="D1521" s="103" t="s">
        <v>26</v>
      </c>
      <c r="E1521" s="91" t="s">
        <v>1779</v>
      </c>
      <c r="F1521" s="91" t="s">
        <v>1785</v>
      </c>
      <c r="G1521" s="91" t="s">
        <v>260</v>
      </c>
      <c r="H1521" s="104" t="str">
        <f t="shared" si="92"/>
        <v>C5151J20</v>
      </c>
      <c r="I1521" s="104"/>
      <c r="J1521" s="105">
        <v>43.56</v>
      </c>
      <c r="K1521" s="106">
        <f>IF(D1521="CAESARSTONE LTD",VLOOKUP(H1521,'[2]GIA CA'!G:H,2,0),IF(OR(D1521="STONE FACINGS LIMITED",D1521="NORDIA SA",D1521="INVICTUS STONE COUNTERTOPS INC",D1521="QUARTZTOP LLC"),VLOOKUP(H1521,'[2] Giá ngoài Mỹ - SI-GR'!$B$5:$AZ$84,51,0),IF(OR(D1521="HYUNDAI L&amp;C CANADA INC",D1521="Hyundai L&amp; C USA LLC"),VLOOKUP(H1521,'[2]GIA HS'!A:D,4,0),IF(Y1521="Mỹ",VLOOKUP(H1521,'[2]giá mỹ từ 6.8.2025'!B:I,2,0),VLOOKUP(H1521,'[2]giá ngoài mỹ 6.8.2025 (final)'!B:BP,51,0)))))</f>
        <v>65</v>
      </c>
      <c r="L1521" s="106">
        <v>68.25</v>
      </c>
      <c r="M1521" s="106">
        <f t="shared" si="91"/>
        <v>3.25</v>
      </c>
      <c r="N1521" s="106">
        <v>68.25</v>
      </c>
      <c r="O1521" s="107">
        <v>2972.96</v>
      </c>
      <c r="P1521" s="107">
        <v>25930</v>
      </c>
      <c r="Q1521" s="107">
        <v>77088853</v>
      </c>
      <c r="R1521" s="102" t="s">
        <v>30</v>
      </c>
      <c r="S1521" s="108"/>
      <c r="T1521" s="109"/>
      <c r="U1521" s="109"/>
      <c r="V1521" s="102"/>
      <c r="W1521" s="109"/>
      <c r="X1521" s="109"/>
      <c r="Y1521" s="110" t="s">
        <v>1780</v>
      </c>
    </row>
    <row r="1522" spans="1:25" s="111" customFormat="1" x14ac:dyDescent="0.2">
      <c r="A1522" s="101">
        <v>46258</v>
      </c>
      <c r="B1522" s="91" t="s">
        <v>1786</v>
      </c>
      <c r="C1522" s="102" t="s">
        <v>1787</v>
      </c>
      <c r="D1522" s="103" t="s">
        <v>490</v>
      </c>
      <c r="E1522" s="91" t="s">
        <v>1788</v>
      </c>
      <c r="F1522" s="91" t="s">
        <v>1789</v>
      </c>
      <c r="G1522" s="91" t="s">
        <v>1790</v>
      </c>
      <c r="H1522" s="104" t="str">
        <f t="shared" si="92"/>
        <v>C1205J30</v>
      </c>
      <c r="I1522" s="104"/>
      <c r="J1522" s="105">
        <v>5.45</v>
      </c>
      <c r="K1522" s="106">
        <v>20</v>
      </c>
      <c r="L1522" s="106">
        <v>19.690000000000001</v>
      </c>
      <c r="M1522" s="106">
        <f t="shared" si="91"/>
        <v>-0.30999999999999872</v>
      </c>
      <c r="N1522" s="106">
        <v>19.690000000000001</v>
      </c>
      <c r="O1522" s="107">
        <v>107.29</v>
      </c>
      <c r="P1522" s="107">
        <v>25930</v>
      </c>
      <c r="Q1522" s="107">
        <v>2782030</v>
      </c>
      <c r="R1522" s="102" t="s">
        <v>30</v>
      </c>
      <c r="S1522" s="108"/>
      <c r="T1522" s="109"/>
      <c r="U1522" s="109"/>
      <c r="V1522" s="102"/>
      <c r="W1522" s="109"/>
      <c r="X1522" s="109"/>
      <c r="Y1522" s="110" t="s">
        <v>494</v>
      </c>
    </row>
    <row r="1523" spans="1:25" s="111" customFormat="1" x14ac:dyDescent="0.2">
      <c r="A1523" s="101">
        <v>46258</v>
      </c>
      <c r="B1523" s="91" t="s">
        <v>1786</v>
      </c>
      <c r="C1523" s="102" t="s">
        <v>1787</v>
      </c>
      <c r="D1523" s="103" t="s">
        <v>490</v>
      </c>
      <c r="E1523" s="91" t="s">
        <v>1788</v>
      </c>
      <c r="F1523" s="91" t="s">
        <v>1791</v>
      </c>
      <c r="G1523" s="91" t="s">
        <v>1790</v>
      </c>
      <c r="H1523" s="104" t="str">
        <f t="shared" si="92"/>
        <v>C1205J30</v>
      </c>
      <c r="I1523" s="104"/>
      <c r="J1523" s="105">
        <v>32.67</v>
      </c>
      <c r="K1523" s="106">
        <v>20</v>
      </c>
      <c r="L1523" s="106">
        <v>19.690000000000001</v>
      </c>
      <c r="M1523" s="106">
        <f t="shared" si="91"/>
        <v>-0.30999999999999872</v>
      </c>
      <c r="N1523" s="106">
        <v>19.690000000000001</v>
      </c>
      <c r="O1523" s="107">
        <v>643.13</v>
      </c>
      <c r="P1523" s="107">
        <v>25930</v>
      </c>
      <c r="Q1523" s="107">
        <v>16676361</v>
      </c>
      <c r="R1523" s="102" t="s">
        <v>30</v>
      </c>
      <c r="S1523" s="108"/>
      <c r="T1523" s="109"/>
      <c r="U1523" s="109"/>
      <c r="V1523" s="102"/>
      <c r="W1523" s="109"/>
      <c r="X1523" s="109"/>
      <c r="Y1523" s="110" t="s">
        <v>494</v>
      </c>
    </row>
    <row r="1524" spans="1:25" s="111" customFormat="1" x14ac:dyDescent="0.2">
      <c r="A1524" s="101">
        <v>46258</v>
      </c>
      <c r="B1524" s="91" t="s">
        <v>1786</v>
      </c>
      <c r="C1524" s="102" t="s">
        <v>1787</v>
      </c>
      <c r="D1524" s="103" t="s">
        <v>490</v>
      </c>
      <c r="E1524" s="91" t="s">
        <v>1788</v>
      </c>
      <c r="F1524" s="91" t="s">
        <v>1792</v>
      </c>
      <c r="G1524" s="91" t="s">
        <v>1793</v>
      </c>
      <c r="H1524" s="104" t="str">
        <f t="shared" si="92"/>
        <v>C2104J30</v>
      </c>
      <c r="I1524" s="104"/>
      <c r="J1524" s="105">
        <v>10.89</v>
      </c>
      <c r="K1524" s="106">
        <v>20</v>
      </c>
      <c r="L1524" s="106">
        <v>19.690000000000001</v>
      </c>
      <c r="M1524" s="106">
        <f t="shared" si="91"/>
        <v>-0.30999999999999872</v>
      </c>
      <c r="N1524" s="106">
        <v>19.690000000000001</v>
      </c>
      <c r="O1524" s="107">
        <v>214.38</v>
      </c>
      <c r="P1524" s="107">
        <v>25930</v>
      </c>
      <c r="Q1524" s="107">
        <v>5558873</v>
      </c>
      <c r="R1524" s="102" t="s">
        <v>30</v>
      </c>
      <c r="S1524" s="108"/>
      <c r="T1524" s="109"/>
      <c r="U1524" s="109"/>
      <c r="V1524" s="102"/>
      <c r="W1524" s="109"/>
      <c r="X1524" s="109"/>
      <c r="Y1524" s="110" t="s">
        <v>494</v>
      </c>
    </row>
    <row r="1525" spans="1:25" s="111" customFormat="1" x14ac:dyDescent="0.2">
      <c r="A1525" s="101">
        <v>46258</v>
      </c>
      <c r="B1525" s="91" t="s">
        <v>1786</v>
      </c>
      <c r="C1525" s="102" t="s">
        <v>1787</v>
      </c>
      <c r="D1525" s="103" t="s">
        <v>490</v>
      </c>
      <c r="E1525" s="91" t="s">
        <v>1788</v>
      </c>
      <c r="F1525" s="91" t="s">
        <v>1794</v>
      </c>
      <c r="G1525" s="91" t="s">
        <v>1793</v>
      </c>
      <c r="H1525" s="104" t="str">
        <f t="shared" si="92"/>
        <v>C2104J30</v>
      </c>
      <c r="I1525" s="104"/>
      <c r="J1525" s="105">
        <v>54.45</v>
      </c>
      <c r="K1525" s="106">
        <v>20</v>
      </c>
      <c r="L1525" s="106">
        <v>19.690000000000001</v>
      </c>
      <c r="M1525" s="106">
        <f t="shared" si="91"/>
        <v>-0.30999999999999872</v>
      </c>
      <c r="N1525" s="106">
        <v>19.690000000000001</v>
      </c>
      <c r="O1525" s="107">
        <v>1071.8800000000001</v>
      </c>
      <c r="P1525" s="107">
        <v>25930</v>
      </c>
      <c r="Q1525" s="107">
        <v>27793848</v>
      </c>
      <c r="R1525" s="102" t="s">
        <v>30</v>
      </c>
      <c r="S1525" s="108"/>
      <c r="T1525" s="109"/>
      <c r="U1525" s="109"/>
      <c r="V1525" s="102"/>
      <c r="W1525" s="109"/>
      <c r="X1525" s="109"/>
      <c r="Y1525" s="110" t="s">
        <v>494</v>
      </c>
    </row>
    <row r="1526" spans="1:25" s="111" customFormat="1" x14ac:dyDescent="0.2">
      <c r="A1526" s="101">
        <v>46258</v>
      </c>
      <c r="B1526" s="91" t="s">
        <v>1786</v>
      </c>
      <c r="C1526" s="102" t="s">
        <v>1787</v>
      </c>
      <c r="D1526" s="103" t="s">
        <v>490</v>
      </c>
      <c r="E1526" s="91" t="s">
        <v>1788</v>
      </c>
      <c r="F1526" s="91" t="s">
        <v>1794</v>
      </c>
      <c r="G1526" s="91" t="s">
        <v>1793</v>
      </c>
      <c r="H1526" s="104" t="str">
        <f t="shared" si="92"/>
        <v>C2104J30</v>
      </c>
      <c r="I1526" s="104"/>
      <c r="J1526" s="105">
        <v>70.790000000000006</v>
      </c>
      <c r="K1526" s="106">
        <v>20</v>
      </c>
      <c r="L1526" s="106">
        <v>19.690000000000001</v>
      </c>
      <c r="M1526" s="106">
        <f t="shared" si="91"/>
        <v>-0.30999999999999872</v>
      </c>
      <c r="N1526" s="106">
        <v>19.690000000000001</v>
      </c>
      <c r="O1526" s="107">
        <v>1393.55</v>
      </c>
      <c r="P1526" s="107">
        <v>25930</v>
      </c>
      <c r="Q1526" s="107">
        <v>36134752</v>
      </c>
      <c r="R1526" s="102" t="s">
        <v>30</v>
      </c>
      <c r="S1526" s="108"/>
      <c r="T1526" s="109"/>
      <c r="U1526" s="109"/>
      <c r="V1526" s="102"/>
      <c r="W1526" s="109"/>
      <c r="X1526" s="109"/>
      <c r="Y1526" s="110" t="s">
        <v>494</v>
      </c>
    </row>
    <row r="1527" spans="1:25" s="111" customFormat="1" x14ac:dyDescent="0.2">
      <c r="A1527" s="101">
        <v>46258</v>
      </c>
      <c r="B1527" s="91" t="s">
        <v>1786</v>
      </c>
      <c r="C1527" s="102" t="s">
        <v>1787</v>
      </c>
      <c r="D1527" s="103" t="s">
        <v>490</v>
      </c>
      <c r="E1527" s="91" t="s">
        <v>1788</v>
      </c>
      <c r="F1527" s="91" t="s">
        <v>1795</v>
      </c>
      <c r="G1527" s="91" t="s">
        <v>1796</v>
      </c>
      <c r="H1527" s="104" t="str">
        <f t="shared" si="92"/>
        <v>C4143J20</v>
      </c>
      <c r="I1527" s="104"/>
      <c r="J1527" s="105">
        <v>54.45</v>
      </c>
      <c r="K1527" s="106">
        <v>30</v>
      </c>
      <c r="L1527" s="106">
        <v>30</v>
      </c>
      <c r="M1527" s="106">
        <f t="shared" si="91"/>
        <v>0</v>
      </c>
      <c r="N1527" s="106">
        <v>19.690000000000001</v>
      </c>
      <c r="O1527" s="107">
        <v>1071.8800000000001</v>
      </c>
      <c r="P1527" s="107">
        <v>25930</v>
      </c>
      <c r="Q1527" s="107">
        <v>27793848</v>
      </c>
      <c r="R1527" s="102" t="s">
        <v>30</v>
      </c>
      <c r="S1527" s="108"/>
      <c r="T1527" s="109"/>
      <c r="U1527" s="109"/>
      <c r="V1527" s="102"/>
      <c r="W1527" s="109"/>
      <c r="X1527" s="109"/>
      <c r="Y1527" s="110" t="s">
        <v>494</v>
      </c>
    </row>
    <row r="1528" spans="1:25" s="111" customFormat="1" x14ac:dyDescent="0.2">
      <c r="A1528" s="101">
        <v>46258</v>
      </c>
      <c r="B1528" s="91" t="s">
        <v>1786</v>
      </c>
      <c r="C1528" s="102" t="s">
        <v>1787</v>
      </c>
      <c r="D1528" s="103" t="s">
        <v>490</v>
      </c>
      <c r="E1528" s="91" t="s">
        <v>1788</v>
      </c>
      <c r="F1528" s="91" t="s">
        <v>904</v>
      </c>
      <c r="G1528" s="91" t="s">
        <v>905</v>
      </c>
      <c r="H1528" s="104" t="str">
        <f t="shared" si="92"/>
        <v>C4202J30</v>
      </c>
      <c r="I1528" s="104"/>
      <c r="J1528" s="105">
        <v>32.659999999999997</v>
      </c>
      <c r="K1528" s="106">
        <v>20</v>
      </c>
      <c r="L1528" s="106">
        <v>19.690000000000001</v>
      </c>
      <c r="M1528" s="106">
        <f t="shared" si="91"/>
        <v>-0.30999999999999872</v>
      </c>
      <c r="N1528" s="106">
        <v>19.690000000000001</v>
      </c>
      <c r="O1528" s="107">
        <v>642.92999999999995</v>
      </c>
      <c r="P1528" s="107">
        <v>25930</v>
      </c>
      <c r="Q1528" s="107">
        <v>16671175</v>
      </c>
      <c r="R1528" s="102" t="s">
        <v>30</v>
      </c>
      <c r="S1528" s="108"/>
      <c r="T1528" s="109"/>
      <c r="U1528" s="109"/>
      <c r="V1528" s="102"/>
      <c r="W1528" s="109"/>
      <c r="X1528" s="109"/>
      <c r="Y1528" s="110" t="s">
        <v>494</v>
      </c>
    </row>
    <row r="1529" spans="1:25" s="111" customFormat="1" x14ac:dyDescent="0.2">
      <c r="A1529" s="101">
        <v>46258</v>
      </c>
      <c r="B1529" s="91" t="s">
        <v>1786</v>
      </c>
      <c r="C1529" s="102" t="s">
        <v>1787</v>
      </c>
      <c r="D1529" s="103" t="s">
        <v>490</v>
      </c>
      <c r="E1529" s="91" t="s">
        <v>1788</v>
      </c>
      <c r="F1529" s="91" t="s">
        <v>904</v>
      </c>
      <c r="G1529" s="91" t="s">
        <v>905</v>
      </c>
      <c r="H1529" s="104" t="str">
        <f t="shared" si="92"/>
        <v>C4202J30</v>
      </c>
      <c r="I1529" s="104"/>
      <c r="J1529" s="105">
        <v>38.119999999999997</v>
      </c>
      <c r="K1529" s="106">
        <v>20</v>
      </c>
      <c r="L1529" s="106">
        <v>19.690000000000001</v>
      </c>
      <c r="M1529" s="106">
        <f t="shared" si="91"/>
        <v>-0.30999999999999872</v>
      </c>
      <c r="N1529" s="106">
        <v>19.690000000000001</v>
      </c>
      <c r="O1529" s="107">
        <v>750.42</v>
      </c>
      <c r="P1529" s="107">
        <v>25930</v>
      </c>
      <c r="Q1529" s="107">
        <v>19458391</v>
      </c>
      <c r="R1529" s="102" t="s">
        <v>30</v>
      </c>
      <c r="S1529" s="108"/>
      <c r="T1529" s="109"/>
      <c r="U1529" s="109"/>
      <c r="V1529" s="102"/>
      <c r="W1529" s="109"/>
      <c r="X1529" s="109"/>
      <c r="Y1529" s="110" t="s">
        <v>494</v>
      </c>
    </row>
    <row r="1530" spans="1:25" s="111" customFormat="1" x14ac:dyDescent="0.2">
      <c r="A1530" s="101">
        <v>46258</v>
      </c>
      <c r="B1530" s="91" t="s">
        <v>1786</v>
      </c>
      <c r="C1530" s="102" t="s">
        <v>1787</v>
      </c>
      <c r="D1530" s="103" t="s">
        <v>490</v>
      </c>
      <c r="E1530" s="91" t="s">
        <v>1788</v>
      </c>
      <c r="F1530" s="91" t="s">
        <v>906</v>
      </c>
      <c r="G1530" s="91" t="s">
        <v>905</v>
      </c>
      <c r="H1530" s="104" t="str">
        <f t="shared" si="92"/>
        <v>C4202J30</v>
      </c>
      <c r="I1530" s="104"/>
      <c r="J1530" s="105">
        <v>38.119999999999997</v>
      </c>
      <c r="K1530" s="106">
        <v>20</v>
      </c>
      <c r="L1530" s="106">
        <v>19.690000000000001</v>
      </c>
      <c r="M1530" s="106">
        <f t="shared" si="91"/>
        <v>-0.30999999999999872</v>
      </c>
      <c r="N1530" s="106">
        <v>19.690000000000001</v>
      </c>
      <c r="O1530" s="107">
        <v>750.42</v>
      </c>
      <c r="P1530" s="107">
        <v>25930</v>
      </c>
      <c r="Q1530" s="107">
        <v>19458391</v>
      </c>
      <c r="R1530" s="102" t="s">
        <v>30</v>
      </c>
      <c r="S1530" s="108"/>
      <c r="T1530" s="109"/>
      <c r="U1530" s="109"/>
      <c r="V1530" s="102"/>
      <c r="W1530" s="109"/>
      <c r="X1530" s="109"/>
      <c r="Y1530" s="110" t="s">
        <v>494</v>
      </c>
    </row>
    <row r="1531" spans="1:25" s="111" customFormat="1" x14ac:dyDescent="0.2">
      <c r="A1531" s="101">
        <v>46258</v>
      </c>
      <c r="B1531" s="91" t="s">
        <v>1786</v>
      </c>
      <c r="C1531" s="102" t="s">
        <v>1787</v>
      </c>
      <c r="D1531" s="103" t="s">
        <v>490</v>
      </c>
      <c r="E1531" s="91" t="s">
        <v>1788</v>
      </c>
      <c r="F1531" s="91" t="s">
        <v>1797</v>
      </c>
      <c r="G1531" s="91" t="s">
        <v>1798</v>
      </c>
      <c r="H1531" s="104" t="str">
        <f t="shared" si="92"/>
        <v>C5225J30</v>
      </c>
      <c r="I1531" s="104"/>
      <c r="J1531" s="105">
        <v>16.329999999999998</v>
      </c>
      <c r="K1531" s="106">
        <v>20</v>
      </c>
      <c r="L1531" s="106">
        <v>19.690000000000001</v>
      </c>
      <c r="M1531" s="106">
        <f t="shared" si="91"/>
        <v>-0.30999999999999872</v>
      </c>
      <c r="N1531" s="106">
        <v>19.690000000000001</v>
      </c>
      <c r="O1531" s="107">
        <v>321.47000000000003</v>
      </c>
      <c r="P1531" s="107">
        <v>25930</v>
      </c>
      <c r="Q1531" s="107">
        <v>8335717</v>
      </c>
      <c r="R1531" s="102" t="s">
        <v>30</v>
      </c>
      <c r="S1531" s="108"/>
      <c r="T1531" s="109"/>
      <c r="U1531" s="109"/>
      <c r="V1531" s="102"/>
      <c r="W1531" s="109"/>
      <c r="X1531" s="109"/>
      <c r="Y1531" s="110" t="s">
        <v>494</v>
      </c>
    </row>
    <row r="1532" spans="1:25" s="111" customFormat="1" x14ac:dyDescent="0.2">
      <c r="A1532" s="101">
        <v>46258</v>
      </c>
      <c r="B1532" s="91" t="s">
        <v>1786</v>
      </c>
      <c r="C1532" s="102" t="s">
        <v>1787</v>
      </c>
      <c r="D1532" s="103" t="s">
        <v>490</v>
      </c>
      <c r="E1532" s="91" t="s">
        <v>1788</v>
      </c>
      <c r="F1532" s="91" t="s">
        <v>1797</v>
      </c>
      <c r="G1532" s="91" t="s">
        <v>1798</v>
      </c>
      <c r="H1532" s="104" t="str">
        <f t="shared" si="92"/>
        <v>C5225J30</v>
      </c>
      <c r="I1532" s="104"/>
      <c r="J1532" s="105">
        <v>21.78</v>
      </c>
      <c r="K1532" s="106">
        <v>20</v>
      </c>
      <c r="L1532" s="106">
        <v>19.690000000000001</v>
      </c>
      <c r="M1532" s="106">
        <f t="shared" si="91"/>
        <v>-0.30999999999999872</v>
      </c>
      <c r="N1532" s="106">
        <v>19.690000000000001</v>
      </c>
      <c r="O1532" s="107">
        <v>428.75</v>
      </c>
      <c r="P1532" s="107">
        <v>25930</v>
      </c>
      <c r="Q1532" s="107">
        <v>11117488</v>
      </c>
      <c r="R1532" s="102" t="s">
        <v>30</v>
      </c>
      <c r="S1532" s="108"/>
      <c r="T1532" s="109"/>
      <c r="U1532" s="109"/>
      <c r="V1532" s="102"/>
      <c r="W1532" s="109"/>
      <c r="X1532" s="109"/>
      <c r="Y1532" s="110" t="s">
        <v>494</v>
      </c>
    </row>
    <row r="1533" spans="1:25" s="111" customFormat="1" x14ac:dyDescent="0.2">
      <c r="A1533" s="101">
        <v>46258</v>
      </c>
      <c r="B1533" s="91" t="s">
        <v>1786</v>
      </c>
      <c r="C1533" s="102" t="s">
        <v>1787</v>
      </c>
      <c r="D1533" s="103" t="s">
        <v>490</v>
      </c>
      <c r="E1533" s="91" t="s">
        <v>1788</v>
      </c>
      <c r="F1533" s="91" t="s">
        <v>1799</v>
      </c>
      <c r="G1533" s="91" t="s">
        <v>1798</v>
      </c>
      <c r="H1533" s="104" t="str">
        <f t="shared" si="92"/>
        <v>C5225J30</v>
      </c>
      <c r="I1533" s="104"/>
      <c r="J1533" s="105">
        <v>5.45</v>
      </c>
      <c r="K1533" s="106">
        <v>20</v>
      </c>
      <c r="L1533" s="106">
        <v>19.690000000000001</v>
      </c>
      <c r="M1533" s="106">
        <f t="shared" si="91"/>
        <v>-0.30999999999999872</v>
      </c>
      <c r="N1533" s="106">
        <v>19.690000000000001</v>
      </c>
      <c r="O1533" s="107">
        <v>107.29</v>
      </c>
      <c r="P1533" s="107">
        <v>25930</v>
      </c>
      <c r="Q1533" s="107">
        <v>2782030</v>
      </c>
      <c r="R1533" s="102" t="s">
        <v>30</v>
      </c>
      <c r="S1533" s="108"/>
      <c r="T1533" s="109"/>
      <c r="U1533" s="109"/>
      <c r="V1533" s="102"/>
      <c r="W1533" s="109"/>
      <c r="X1533" s="109"/>
      <c r="Y1533" s="110" t="s">
        <v>494</v>
      </c>
    </row>
    <row r="1534" spans="1:25" s="111" customFormat="1" x14ac:dyDescent="0.2">
      <c r="A1534" s="101">
        <v>46258</v>
      </c>
      <c r="B1534" s="91" t="s">
        <v>1800</v>
      </c>
      <c r="C1534" s="102" t="s">
        <v>1801</v>
      </c>
      <c r="D1534" s="103" t="s">
        <v>26</v>
      </c>
      <c r="E1534" s="91" t="s">
        <v>1802</v>
      </c>
      <c r="F1534" s="91" t="s">
        <v>456</v>
      </c>
      <c r="G1534" s="91" t="s">
        <v>457</v>
      </c>
      <c r="H1534" s="104" t="str">
        <f t="shared" si="92"/>
        <v>F5131J30</v>
      </c>
      <c r="I1534" s="104"/>
      <c r="J1534" s="105">
        <v>152.46</v>
      </c>
      <c r="K1534" s="106">
        <f>IF(D1534="CAESARSTONE LTD",VLOOKUP(H1534,'[2]GIA CA'!G:H,2,0),IF(OR(D1534="STONE FACINGS LIMITED",D1534="NORDIA SA",D1534="INVICTUS STONE COUNTERTOPS INC",D1534="QUARTZTOP LLC"),VLOOKUP(H1534,'[2] Giá ngoài Mỹ - SI-GR'!$B$5:$AZ$84,51,0),IF(OR(D1534="HYUNDAI L&amp;C CANADA INC",D1534="Hyundai L&amp; C USA LLC"),VLOOKUP(H1534,'[2]GIA HS'!A:D,4,0),IF(Y1534="Mỹ",VLOOKUP(H1534,'[2]giá mỹ từ 6.8.2025'!B:I,2,0),VLOOKUP(H1534,'[2]giá ngoài mỹ 6.8.2025 (final)'!B:BP,51,0)))))</f>
        <v>75</v>
      </c>
      <c r="L1534" s="106">
        <v>78.8</v>
      </c>
      <c r="M1534" s="106">
        <f t="shared" si="91"/>
        <v>3.7999999999999972</v>
      </c>
      <c r="N1534" s="106">
        <v>78.8</v>
      </c>
      <c r="O1534" s="107">
        <v>12013.96</v>
      </c>
      <c r="P1534" s="107">
        <v>25930</v>
      </c>
      <c r="Q1534" s="107">
        <v>311521983</v>
      </c>
      <c r="R1534" s="102" t="s">
        <v>30</v>
      </c>
      <c r="S1534" s="108"/>
      <c r="T1534" s="109"/>
      <c r="U1534" s="109"/>
      <c r="V1534" s="102"/>
      <c r="W1534" s="109"/>
      <c r="X1534" s="109"/>
      <c r="Y1534" s="110" t="s">
        <v>31</v>
      </c>
    </row>
    <row r="1535" spans="1:25" s="111" customFormat="1" x14ac:dyDescent="0.2">
      <c r="A1535" s="101">
        <v>46258</v>
      </c>
      <c r="B1535" s="91" t="s">
        <v>1800</v>
      </c>
      <c r="C1535" s="102" t="s">
        <v>1801</v>
      </c>
      <c r="D1535" s="103" t="s">
        <v>26</v>
      </c>
      <c r="E1535" s="91" t="s">
        <v>1802</v>
      </c>
      <c r="F1535" s="91" t="s">
        <v>999</v>
      </c>
      <c r="G1535" s="91" t="s">
        <v>1000</v>
      </c>
      <c r="H1535" s="104" t="str">
        <f t="shared" si="92"/>
        <v>F5144J20</v>
      </c>
      <c r="I1535" s="104"/>
      <c r="J1535" s="105">
        <v>54.45</v>
      </c>
      <c r="K1535" s="106">
        <f>IF(D1535="CAESARSTONE LTD",VLOOKUP(H1535,'[2]GIA CA'!G:H,2,0),IF(OR(D1535="STONE FACINGS LIMITED",D1535="NORDIA SA",D1535="INVICTUS STONE COUNTERTOPS INC",D1535="QUARTZTOP LLC"),VLOOKUP(H1535,'[2] Giá ngoài Mỹ - SI-GR'!$B$5:$AZ$84,51,0),IF(OR(D1535="HYUNDAI L&amp;C CANADA INC",D1535="Hyundai L&amp; C USA LLC"),VLOOKUP(H1535,'[2]GIA HS'!A:D,4,0),IF(Y1535="Mỹ",VLOOKUP(H1535,'[2]giá mỹ từ 6.8.2025'!B:I,2,0),VLOOKUP(H1535,'[2]giá ngoài mỹ 6.8.2025 (final)'!B:BP,51,0)))))</f>
        <v>62</v>
      </c>
      <c r="L1535" s="106">
        <v>65.099999999999994</v>
      </c>
      <c r="M1535" s="106">
        <f t="shared" si="91"/>
        <v>3.0999999999999943</v>
      </c>
      <c r="N1535" s="106">
        <v>65.099999999999994</v>
      </c>
      <c r="O1535" s="107">
        <v>3544.7</v>
      </c>
      <c r="P1535" s="107">
        <v>25930</v>
      </c>
      <c r="Q1535" s="107">
        <v>91914071</v>
      </c>
      <c r="R1535" s="102" t="s">
        <v>30</v>
      </c>
      <c r="S1535" s="108"/>
      <c r="T1535" s="109"/>
      <c r="U1535" s="109"/>
      <c r="V1535" s="102"/>
      <c r="W1535" s="109"/>
      <c r="X1535" s="109"/>
      <c r="Y1535" s="110" t="s">
        <v>31</v>
      </c>
    </row>
    <row r="1536" spans="1:25" s="111" customFormat="1" x14ac:dyDescent="0.2">
      <c r="A1536" s="101">
        <v>46258</v>
      </c>
      <c r="B1536" s="91" t="s">
        <v>1800</v>
      </c>
      <c r="C1536" s="102" t="s">
        <v>1801</v>
      </c>
      <c r="D1536" s="103" t="s">
        <v>26</v>
      </c>
      <c r="E1536" s="91" t="s">
        <v>1802</v>
      </c>
      <c r="F1536" s="91" t="s">
        <v>239</v>
      </c>
      <c r="G1536" s="91" t="s">
        <v>240</v>
      </c>
      <c r="H1536" s="104" t="str">
        <f t="shared" si="92"/>
        <v>F5144J30</v>
      </c>
      <c r="I1536" s="104"/>
      <c r="J1536" s="105">
        <v>32.67</v>
      </c>
      <c r="K1536" s="106">
        <f>IF(D1536="CAESARSTONE LTD",VLOOKUP(H1536,'[2]GIA CA'!G:H,2,0),IF(OR(D1536="STONE FACINGS LIMITED",D1536="NORDIA SA",D1536="INVICTUS STONE COUNTERTOPS INC",D1536="QUARTZTOP LLC"),VLOOKUP(H1536,'[2] Giá ngoài Mỹ - SI-GR'!$B$5:$AZ$84,51,0),IF(OR(D1536="HYUNDAI L&amp;C CANADA INC",D1536="Hyundai L&amp; C USA LLC"),VLOOKUP(H1536,'[2]GIA HS'!A:D,4,0),IF(Y1536="Mỹ",VLOOKUP(H1536,'[2]giá mỹ từ 6.8.2025'!B:I,2,0),VLOOKUP(H1536,'[2]giá ngoài mỹ 6.8.2025 (final)'!B:BP,51,0)))))</f>
        <v>77.5</v>
      </c>
      <c r="L1536" s="106">
        <v>81.39</v>
      </c>
      <c r="M1536" s="106">
        <f t="shared" si="91"/>
        <v>3.8900000000000006</v>
      </c>
      <c r="N1536" s="106">
        <v>81.39</v>
      </c>
      <c r="O1536" s="107">
        <v>2658.97</v>
      </c>
      <c r="P1536" s="107">
        <v>25930</v>
      </c>
      <c r="Q1536" s="107">
        <v>68947092</v>
      </c>
      <c r="R1536" s="102" t="s">
        <v>30</v>
      </c>
      <c r="S1536" s="108"/>
      <c r="T1536" s="109"/>
      <c r="U1536" s="109"/>
      <c r="V1536" s="102"/>
      <c r="W1536" s="109"/>
      <c r="X1536" s="109"/>
      <c r="Y1536" s="110" t="s">
        <v>31</v>
      </c>
    </row>
    <row r="1537" spans="1:25" s="111" customFormat="1" x14ac:dyDescent="0.2">
      <c r="A1537" s="101">
        <v>46258</v>
      </c>
      <c r="B1537" s="91" t="s">
        <v>1800</v>
      </c>
      <c r="C1537" s="102" t="s">
        <v>1801</v>
      </c>
      <c r="D1537" s="103" t="s">
        <v>26</v>
      </c>
      <c r="E1537" s="91" t="s">
        <v>1802</v>
      </c>
      <c r="F1537" s="91" t="s">
        <v>239</v>
      </c>
      <c r="G1537" s="91" t="s">
        <v>240</v>
      </c>
      <c r="H1537" s="104" t="str">
        <f t="shared" si="92"/>
        <v>F5144J30</v>
      </c>
      <c r="I1537" s="104"/>
      <c r="J1537" s="105">
        <v>5.45</v>
      </c>
      <c r="K1537" s="106">
        <f>IF(D1537="CAESARSTONE LTD",VLOOKUP(H1537,'[2]GIA CA'!G:H,2,0),IF(OR(D1537="STONE FACINGS LIMITED",D1537="NORDIA SA",D1537="INVICTUS STONE COUNTERTOPS INC",D1537="QUARTZTOP LLC"),VLOOKUP(H1537,'[2] Giá ngoài Mỹ - SI-GR'!$B$5:$AZ$84,51,0),IF(OR(D1537="HYUNDAI L&amp;C CANADA INC",D1537="Hyundai L&amp; C USA LLC"),VLOOKUP(H1537,'[2]GIA HS'!A:D,4,0),IF(Y1537="Mỹ",VLOOKUP(H1537,'[2]giá mỹ từ 6.8.2025'!B:I,2,0),VLOOKUP(H1537,'[2]giá ngoài mỹ 6.8.2025 (final)'!B:BP,51,0)))))</f>
        <v>77.5</v>
      </c>
      <c r="L1537" s="106">
        <v>81.39</v>
      </c>
      <c r="M1537" s="106">
        <f t="shared" si="91"/>
        <v>3.8900000000000006</v>
      </c>
      <c r="N1537" s="106">
        <v>81.39</v>
      </c>
      <c r="O1537" s="107">
        <v>443.57</v>
      </c>
      <c r="P1537" s="107">
        <v>25930</v>
      </c>
      <c r="Q1537" s="107">
        <v>11501770</v>
      </c>
      <c r="R1537" s="102" t="s">
        <v>30</v>
      </c>
      <c r="S1537" s="108"/>
      <c r="T1537" s="109"/>
      <c r="U1537" s="109"/>
      <c r="V1537" s="102"/>
      <c r="W1537" s="109"/>
      <c r="X1537" s="109"/>
      <c r="Y1537" s="110" t="s">
        <v>31</v>
      </c>
    </row>
    <row r="1538" spans="1:25" s="111" customFormat="1" x14ac:dyDescent="0.2">
      <c r="A1538" s="101">
        <v>46258</v>
      </c>
      <c r="B1538" s="91" t="s">
        <v>1800</v>
      </c>
      <c r="C1538" s="102" t="s">
        <v>1801</v>
      </c>
      <c r="D1538" s="103" t="s">
        <v>26</v>
      </c>
      <c r="E1538" s="91" t="s">
        <v>1802</v>
      </c>
      <c r="F1538" s="91" t="s">
        <v>1343</v>
      </c>
      <c r="G1538" s="91" t="s">
        <v>1344</v>
      </c>
      <c r="H1538" s="104" t="str">
        <f t="shared" si="92"/>
        <v>F6134J20</v>
      </c>
      <c r="I1538" s="104"/>
      <c r="J1538" s="105">
        <v>163.35</v>
      </c>
      <c r="K1538" s="106">
        <f>IF(D1538="CAESARSTONE LTD",VLOOKUP(H1538,'[2]GIA CA'!G:H,2,0),IF(OR(D1538="STONE FACINGS LIMITED",D1538="NORDIA SA",D1538="INVICTUS STONE COUNTERTOPS INC",D1538="QUARTZTOP LLC"),VLOOKUP(H1538,'[2] Giá ngoài Mỹ - SI-GR'!$B$5:$AZ$84,51,0),IF(OR(D1538="HYUNDAI L&amp;C CANADA INC",D1538="Hyundai L&amp; C USA LLC"),VLOOKUP(H1538,'[2]GIA HS'!A:D,4,0),IF(Y1538="Mỹ",VLOOKUP(H1538,'[2]giá mỹ từ 6.8.2025'!B:I,2,0),VLOOKUP(H1538,'[2]giá ngoài mỹ 6.8.2025 (final)'!B:BP,51,0)))))</f>
        <v>62</v>
      </c>
      <c r="L1538" s="106">
        <v>65.099999999999994</v>
      </c>
      <c r="M1538" s="106">
        <f t="shared" si="91"/>
        <v>3.0999999999999943</v>
      </c>
      <c r="N1538" s="106">
        <v>65.099999999999994</v>
      </c>
      <c r="O1538" s="107">
        <v>10634.1</v>
      </c>
      <c r="P1538" s="107">
        <v>25930</v>
      </c>
      <c r="Q1538" s="107">
        <v>275742213</v>
      </c>
      <c r="R1538" s="102" t="s">
        <v>30</v>
      </c>
      <c r="S1538" s="108"/>
      <c r="T1538" s="109"/>
      <c r="U1538" s="109"/>
      <c r="V1538" s="102"/>
      <c r="W1538" s="109"/>
      <c r="X1538" s="109"/>
      <c r="Y1538" s="110" t="s">
        <v>31</v>
      </c>
    </row>
    <row r="1539" spans="1:25" s="111" customFormat="1" x14ac:dyDescent="0.2">
      <c r="A1539" s="101">
        <v>46258</v>
      </c>
      <c r="B1539" s="91" t="s">
        <v>1803</v>
      </c>
      <c r="C1539" s="102" t="s">
        <v>1804</v>
      </c>
      <c r="D1539" s="103" t="s">
        <v>26</v>
      </c>
      <c r="E1539" s="91" t="s">
        <v>1805</v>
      </c>
      <c r="F1539" s="91" t="s">
        <v>895</v>
      </c>
      <c r="G1539" s="91" t="s">
        <v>896</v>
      </c>
      <c r="H1539" s="104" t="str">
        <f t="shared" si="92"/>
        <v>C4143J30</v>
      </c>
      <c r="I1539" s="104"/>
      <c r="J1539" s="105">
        <v>152.46</v>
      </c>
      <c r="K1539" s="106">
        <f>IF(D1539="CAESARSTONE LTD",VLOOKUP(H1539,'[2]GIA CA'!G:H,2,0),IF(OR(D1539="STONE FACINGS LIMITED",D1539="NORDIA SA",D1539="INVICTUS STONE COUNTERTOPS INC",D1539="QUARTZTOP LLC"),VLOOKUP(H1539,'[2] Giá ngoài Mỹ - SI-GR'!$B$5:$AZ$84,51,0),IF(OR(D1539="HYUNDAI L&amp;C CANADA INC",D1539="Hyundai L&amp; C USA LLC"),VLOOKUP(H1539,'[2]GIA HS'!A:D,4,0),IF(Y1539="Mỹ",VLOOKUP(H1539,'[2]giá mỹ từ 6.8.2025'!B:I,2,0),VLOOKUP(H1539,'[2]giá ngoài mỹ 6.8.2025 (final)'!B:BP,51,0)))))</f>
        <v>71.3</v>
      </c>
      <c r="L1539" s="106">
        <v>74.8</v>
      </c>
      <c r="M1539" s="106">
        <f t="shared" si="91"/>
        <v>3.5</v>
      </c>
      <c r="N1539" s="106">
        <v>74.8</v>
      </c>
      <c r="O1539" s="107">
        <v>11404.12</v>
      </c>
      <c r="P1539" s="107">
        <v>25930</v>
      </c>
      <c r="Q1539" s="107">
        <v>295708832</v>
      </c>
      <c r="R1539" s="102" t="s">
        <v>30</v>
      </c>
      <c r="S1539" s="108"/>
      <c r="T1539" s="109"/>
      <c r="U1539" s="109"/>
      <c r="V1539" s="102"/>
      <c r="W1539" s="109"/>
      <c r="X1539" s="109"/>
      <c r="Y1539" s="110" t="s">
        <v>31</v>
      </c>
    </row>
    <row r="1540" spans="1:25" s="111" customFormat="1" x14ac:dyDescent="0.2">
      <c r="A1540" s="101">
        <v>46258</v>
      </c>
      <c r="B1540" s="91" t="s">
        <v>1803</v>
      </c>
      <c r="C1540" s="102" t="s">
        <v>1804</v>
      </c>
      <c r="D1540" s="103" t="s">
        <v>26</v>
      </c>
      <c r="E1540" s="91" t="s">
        <v>1805</v>
      </c>
      <c r="F1540" s="91" t="s">
        <v>88</v>
      </c>
      <c r="G1540" s="91" t="s">
        <v>89</v>
      </c>
      <c r="H1540" s="104" t="str">
        <f t="shared" si="92"/>
        <v>F5131J20</v>
      </c>
      <c r="I1540" s="104"/>
      <c r="J1540" s="105">
        <v>27.23</v>
      </c>
      <c r="K1540" s="106">
        <f>IF(D1540="CAESARSTONE LTD",VLOOKUP(H1540,'[2]GIA CA'!G:H,2,0),IF(OR(D1540="STONE FACINGS LIMITED",D1540="NORDIA SA",D1540="INVICTUS STONE COUNTERTOPS INC",D1540="QUARTZTOP LLC"),VLOOKUP(H1540,'[2] Giá ngoài Mỹ - SI-GR'!$B$5:$AZ$84,51,0),IF(OR(D1540="HYUNDAI L&amp;C CANADA INC",D1540="Hyundai L&amp; C USA LLC"),VLOOKUP(H1540,'[2]GIA HS'!A:D,4,0),IF(Y1540="Mỹ",VLOOKUP(H1540,'[2]giá mỹ từ 6.8.2025'!B:I,2,0),VLOOKUP(H1540,'[2]giá ngoài mỹ 6.8.2025 (final)'!B:BP,51,0)))))</f>
        <v>60</v>
      </c>
      <c r="L1540" s="106">
        <v>62.99</v>
      </c>
      <c r="M1540" s="106">
        <f t="shared" si="91"/>
        <v>2.990000000000002</v>
      </c>
      <c r="N1540" s="106">
        <v>62.99</v>
      </c>
      <c r="O1540" s="107">
        <v>1715.2</v>
      </c>
      <c r="P1540" s="107">
        <v>25930</v>
      </c>
      <c r="Q1540" s="107">
        <v>44475136</v>
      </c>
      <c r="R1540" s="102" t="s">
        <v>30</v>
      </c>
      <c r="S1540" s="108"/>
      <c r="T1540" s="109"/>
      <c r="U1540" s="109"/>
      <c r="V1540" s="102"/>
      <c r="W1540" s="109"/>
      <c r="X1540" s="109"/>
      <c r="Y1540" s="110" t="s">
        <v>31</v>
      </c>
    </row>
    <row r="1541" spans="1:25" s="111" customFormat="1" x14ac:dyDescent="0.2">
      <c r="A1541" s="101">
        <v>46258</v>
      </c>
      <c r="B1541" s="91" t="s">
        <v>1803</v>
      </c>
      <c r="C1541" s="102" t="s">
        <v>1804</v>
      </c>
      <c r="D1541" s="103" t="s">
        <v>26</v>
      </c>
      <c r="E1541" s="91" t="s">
        <v>1805</v>
      </c>
      <c r="F1541" s="91" t="s">
        <v>239</v>
      </c>
      <c r="G1541" s="91" t="s">
        <v>240</v>
      </c>
      <c r="H1541" s="104" t="str">
        <f t="shared" si="92"/>
        <v>F5144J30</v>
      </c>
      <c r="I1541" s="104"/>
      <c r="J1541" s="105">
        <v>190.58</v>
      </c>
      <c r="K1541" s="106">
        <f>IF(D1541="CAESARSTONE LTD",VLOOKUP(H1541,'[2]GIA CA'!G:H,2,0),IF(OR(D1541="STONE FACINGS LIMITED",D1541="NORDIA SA",D1541="INVICTUS STONE COUNTERTOPS INC",D1541="QUARTZTOP LLC"),VLOOKUP(H1541,'[2] Giá ngoài Mỹ - SI-GR'!$B$5:$AZ$84,51,0),IF(OR(D1541="HYUNDAI L&amp;C CANADA INC",D1541="Hyundai L&amp; C USA LLC"),VLOOKUP(H1541,'[2]GIA HS'!A:D,4,0),IF(Y1541="Mỹ",VLOOKUP(H1541,'[2]giá mỹ từ 6.8.2025'!B:I,2,0),VLOOKUP(H1541,'[2]giá ngoài mỹ 6.8.2025 (final)'!B:BP,51,0)))))</f>
        <v>77.5</v>
      </c>
      <c r="L1541" s="106">
        <v>81.400000000000006</v>
      </c>
      <c r="M1541" s="106">
        <f t="shared" si="91"/>
        <v>3.9000000000000057</v>
      </c>
      <c r="N1541" s="106">
        <v>81.400000000000006</v>
      </c>
      <c r="O1541" s="107">
        <v>15512.7</v>
      </c>
      <c r="P1541" s="107">
        <v>25930</v>
      </c>
      <c r="Q1541" s="107">
        <v>402244311</v>
      </c>
      <c r="R1541" s="102" t="s">
        <v>30</v>
      </c>
      <c r="S1541" s="108"/>
      <c r="T1541" s="109"/>
      <c r="U1541" s="109"/>
      <c r="V1541" s="102"/>
      <c r="W1541" s="109"/>
      <c r="X1541" s="109"/>
      <c r="Y1541" s="110" t="s">
        <v>31</v>
      </c>
    </row>
    <row r="1542" spans="1:25" s="111" customFormat="1" x14ac:dyDescent="0.2">
      <c r="A1542" s="101">
        <v>46258</v>
      </c>
      <c r="B1542" s="91" t="s">
        <v>1806</v>
      </c>
      <c r="C1542" s="102" t="s">
        <v>1807</v>
      </c>
      <c r="D1542" s="103" t="s">
        <v>26</v>
      </c>
      <c r="E1542" s="91" t="s">
        <v>1808</v>
      </c>
      <c r="F1542" s="91" t="s">
        <v>1259</v>
      </c>
      <c r="G1542" s="91" t="s">
        <v>1260</v>
      </c>
      <c r="H1542" s="104" t="str">
        <f t="shared" si="92"/>
        <v>C4143J20</v>
      </c>
      <c r="I1542" s="104"/>
      <c r="J1542" s="105">
        <v>326.7</v>
      </c>
      <c r="K1542" s="106"/>
      <c r="L1542" s="106">
        <v>0</v>
      </c>
      <c r="M1542" s="106">
        <f t="shared" si="91"/>
        <v>0</v>
      </c>
      <c r="N1542" s="106">
        <v>59.9</v>
      </c>
      <c r="O1542" s="107">
        <v>19569.599999999999</v>
      </c>
      <c r="P1542" s="107">
        <v>25930</v>
      </c>
      <c r="Q1542" s="107">
        <v>507439728</v>
      </c>
      <c r="R1542" s="102" t="s">
        <v>30</v>
      </c>
      <c r="S1542" s="108"/>
      <c r="T1542" s="109"/>
      <c r="U1542" s="109"/>
      <c r="V1542" s="102"/>
      <c r="W1542" s="109"/>
      <c r="X1542" s="109"/>
      <c r="Y1542" s="110" t="s">
        <v>31</v>
      </c>
    </row>
    <row r="1543" spans="1:25" s="111" customFormat="1" x14ac:dyDescent="0.2">
      <c r="A1543" s="101">
        <v>46258</v>
      </c>
      <c r="B1543" s="91" t="s">
        <v>1806</v>
      </c>
      <c r="C1543" s="102" t="s">
        <v>1807</v>
      </c>
      <c r="D1543" s="103" t="s">
        <v>26</v>
      </c>
      <c r="E1543" s="91" t="s">
        <v>1808</v>
      </c>
      <c r="F1543" s="91" t="s">
        <v>1766</v>
      </c>
      <c r="G1543" s="91" t="s">
        <v>1767</v>
      </c>
      <c r="H1543" s="104" t="str">
        <f t="shared" si="92"/>
        <v>F5112J30</v>
      </c>
      <c r="I1543" s="104"/>
      <c r="J1543" s="105">
        <v>38.119999999999997</v>
      </c>
      <c r="K1543" s="106"/>
      <c r="L1543" s="106">
        <v>0</v>
      </c>
      <c r="M1543" s="106">
        <f t="shared" si="91"/>
        <v>0</v>
      </c>
      <c r="N1543" s="106">
        <v>78.790000000000006</v>
      </c>
      <c r="O1543" s="107">
        <v>3003.49</v>
      </c>
      <c r="P1543" s="107">
        <v>25930</v>
      </c>
      <c r="Q1543" s="107">
        <v>77880496</v>
      </c>
      <c r="R1543" s="102" t="s">
        <v>30</v>
      </c>
      <c r="S1543" s="108"/>
      <c r="T1543" s="109"/>
      <c r="U1543" s="109"/>
      <c r="V1543" s="102"/>
      <c r="W1543" s="109"/>
      <c r="X1543" s="109"/>
      <c r="Y1543" s="110" t="s">
        <v>31</v>
      </c>
    </row>
    <row r="1544" spans="1:25" s="111" customFormat="1" x14ac:dyDescent="0.2">
      <c r="A1544" s="101">
        <v>46258</v>
      </c>
      <c r="B1544" s="91" t="s">
        <v>1806</v>
      </c>
      <c r="C1544" s="102" t="s">
        <v>1807</v>
      </c>
      <c r="D1544" s="103" t="s">
        <v>26</v>
      </c>
      <c r="E1544" s="91" t="s">
        <v>1808</v>
      </c>
      <c r="F1544" s="91" t="s">
        <v>88</v>
      </c>
      <c r="G1544" s="91" t="s">
        <v>89</v>
      </c>
      <c r="H1544" s="104" t="str">
        <f t="shared" si="92"/>
        <v>F5131J20</v>
      </c>
      <c r="I1544" s="104"/>
      <c r="J1544" s="105">
        <v>136.13</v>
      </c>
      <c r="K1544" s="106"/>
      <c r="L1544" s="106">
        <v>0</v>
      </c>
      <c r="M1544" s="106">
        <f t="shared" si="91"/>
        <v>0</v>
      </c>
      <c r="N1544" s="106">
        <v>62.99</v>
      </c>
      <c r="O1544" s="107">
        <v>8576</v>
      </c>
      <c r="P1544" s="107">
        <v>25930</v>
      </c>
      <c r="Q1544" s="107">
        <v>222375680</v>
      </c>
      <c r="R1544" s="102" t="s">
        <v>30</v>
      </c>
      <c r="S1544" s="108"/>
      <c r="T1544" s="109"/>
      <c r="U1544" s="109"/>
      <c r="V1544" s="102"/>
      <c r="W1544" s="109"/>
      <c r="X1544" s="109"/>
      <c r="Y1544" s="110" t="s">
        <v>31</v>
      </c>
    </row>
    <row r="1545" spans="1:25" s="111" customFormat="1" x14ac:dyDescent="0.2">
      <c r="A1545" s="101">
        <v>46258</v>
      </c>
      <c r="B1545" s="91" t="s">
        <v>1809</v>
      </c>
      <c r="C1545" s="102" t="s">
        <v>1810</v>
      </c>
      <c r="D1545" s="103" t="s">
        <v>26</v>
      </c>
      <c r="E1545" s="91" t="s">
        <v>1811</v>
      </c>
      <c r="F1545" s="91" t="s">
        <v>77</v>
      </c>
      <c r="G1545" s="91" t="s">
        <v>78</v>
      </c>
      <c r="H1545" s="104" t="str">
        <f t="shared" si="92"/>
        <v>C5212J30</v>
      </c>
      <c r="I1545" s="104"/>
      <c r="J1545" s="105">
        <v>76.23</v>
      </c>
      <c r="K1545" s="106"/>
      <c r="L1545" s="106">
        <v>0</v>
      </c>
      <c r="M1545" s="106">
        <f t="shared" si="91"/>
        <v>0</v>
      </c>
      <c r="N1545" s="106">
        <v>73.75</v>
      </c>
      <c r="O1545" s="107">
        <v>5621.98</v>
      </c>
      <c r="P1545" s="107">
        <v>25930</v>
      </c>
      <c r="Q1545" s="107">
        <v>145777941</v>
      </c>
      <c r="R1545" s="102" t="s">
        <v>30</v>
      </c>
      <c r="S1545" s="108"/>
      <c r="T1545" s="109"/>
      <c r="U1545" s="109"/>
      <c r="V1545" s="102"/>
      <c r="W1545" s="109"/>
      <c r="X1545" s="109"/>
      <c r="Y1545" s="110" t="s">
        <v>31</v>
      </c>
    </row>
    <row r="1546" spans="1:25" s="111" customFormat="1" x14ac:dyDescent="0.2">
      <c r="A1546" s="101">
        <v>46258</v>
      </c>
      <c r="B1546" s="91" t="s">
        <v>1809</v>
      </c>
      <c r="C1546" s="102" t="s">
        <v>1810</v>
      </c>
      <c r="D1546" s="103" t="s">
        <v>26</v>
      </c>
      <c r="E1546" s="91" t="s">
        <v>1811</v>
      </c>
      <c r="F1546" s="91" t="s">
        <v>1812</v>
      </c>
      <c r="G1546" s="91" t="s">
        <v>80</v>
      </c>
      <c r="H1546" s="104" t="str">
        <f t="shared" si="92"/>
        <v>C6046J30</v>
      </c>
      <c r="I1546" s="104"/>
      <c r="J1546" s="105">
        <v>38.119999999999997</v>
      </c>
      <c r="K1546" s="106"/>
      <c r="L1546" s="106">
        <v>0</v>
      </c>
      <c r="M1546" s="106">
        <f t="shared" si="91"/>
        <v>0</v>
      </c>
      <c r="N1546" s="106">
        <v>77.39</v>
      </c>
      <c r="O1546" s="107">
        <v>2950.08</v>
      </c>
      <c r="P1546" s="107">
        <v>25930</v>
      </c>
      <c r="Q1546" s="107">
        <v>76495574</v>
      </c>
      <c r="R1546" s="102" t="s">
        <v>30</v>
      </c>
      <c r="S1546" s="108"/>
      <c r="T1546" s="109"/>
      <c r="U1546" s="109"/>
      <c r="V1546" s="102"/>
      <c r="W1546" s="109"/>
      <c r="X1546" s="109"/>
      <c r="Y1546" s="110" t="s">
        <v>31</v>
      </c>
    </row>
    <row r="1547" spans="1:25" s="111" customFormat="1" x14ac:dyDescent="0.2">
      <c r="A1547" s="101">
        <v>46258</v>
      </c>
      <c r="B1547" s="91" t="s">
        <v>1809</v>
      </c>
      <c r="C1547" s="102" t="s">
        <v>1810</v>
      </c>
      <c r="D1547" s="103" t="s">
        <v>26</v>
      </c>
      <c r="E1547" s="91" t="s">
        <v>1811</v>
      </c>
      <c r="F1547" s="91" t="s">
        <v>32</v>
      </c>
      <c r="G1547" s="91" t="s">
        <v>33</v>
      </c>
      <c r="H1547" s="104" t="str">
        <f t="shared" si="92"/>
        <v>F4001J30</v>
      </c>
      <c r="I1547" s="104"/>
      <c r="J1547" s="105">
        <v>38.119999999999997</v>
      </c>
      <c r="K1547" s="106"/>
      <c r="L1547" s="106">
        <v>0</v>
      </c>
      <c r="M1547" s="106">
        <f t="shared" si="91"/>
        <v>0</v>
      </c>
      <c r="N1547" s="106">
        <v>76.09</v>
      </c>
      <c r="O1547" s="107">
        <v>2900.52</v>
      </c>
      <c r="P1547" s="107">
        <v>25930</v>
      </c>
      <c r="Q1547" s="107">
        <v>75210484</v>
      </c>
      <c r="R1547" s="102" t="s">
        <v>30</v>
      </c>
      <c r="S1547" s="108"/>
      <c r="T1547" s="109"/>
      <c r="U1547" s="109"/>
      <c r="V1547" s="102"/>
      <c r="W1547" s="109"/>
      <c r="X1547" s="109"/>
      <c r="Y1547" s="110" t="s">
        <v>31</v>
      </c>
    </row>
    <row r="1548" spans="1:25" s="111" customFormat="1" x14ac:dyDescent="0.2">
      <c r="A1548" s="101">
        <v>46258</v>
      </c>
      <c r="B1548" s="91" t="s">
        <v>1809</v>
      </c>
      <c r="C1548" s="102" t="s">
        <v>1810</v>
      </c>
      <c r="D1548" s="103" t="s">
        <v>26</v>
      </c>
      <c r="E1548" s="91" t="s">
        <v>1811</v>
      </c>
      <c r="F1548" s="91" t="s">
        <v>279</v>
      </c>
      <c r="G1548" s="91" t="s">
        <v>280</v>
      </c>
      <c r="H1548" s="104" t="str">
        <f t="shared" si="92"/>
        <v>F4011J30</v>
      </c>
      <c r="I1548" s="104"/>
      <c r="J1548" s="105">
        <v>38.119999999999997</v>
      </c>
      <c r="K1548" s="106"/>
      <c r="L1548" s="106">
        <v>0</v>
      </c>
      <c r="M1548" s="106">
        <f t="shared" si="91"/>
        <v>0</v>
      </c>
      <c r="N1548" s="106">
        <v>78.790000000000006</v>
      </c>
      <c r="O1548" s="107">
        <v>3003.49</v>
      </c>
      <c r="P1548" s="107">
        <v>25930</v>
      </c>
      <c r="Q1548" s="107">
        <v>77880496</v>
      </c>
      <c r="R1548" s="102" t="s">
        <v>30</v>
      </c>
      <c r="S1548" s="108"/>
      <c r="T1548" s="109"/>
      <c r="U1548" s="109"/>
      <c r="V1548" s="102"/>
      <c r="W1548" s="109"/>
      <c r="X1548" s="109"/>
      <c r="Y1548" s="110" t="s">
        <v>31</v>
      </c>
    </row>
    <row r="1549" spans="1:25" s="111" customFormat="1" x14ac:dyDescent="0.2">
      <c r="A1549" s="101">
        <v>46258</v>
      </c>
      <c r="B1549" s="91" t="s">
        <v>1809</v>
      </c>
      <c r="C1549" s="102" t="s">
        <v>1810</v>
      </c>
      <c r="D1549" s="103" t="s">
        <v>26</v>
      </c>
      <c r="E1549" s="91" t="s">
        <v>1811</v>
      </c>
      <c r="F1549" s="91" t="s">
        <v>780</v>
      </c>
      <c r="G1549" s="91" t="s">
        <v>262</v>
      </c>
      <c r="H1549" s="104" t="str">
        <f t="shared" si="92"/>
        <v>F5100J30</v>
      </c>
      <c r="I1549" s="104"/>
      <c r="J1549" s="105">
        <v>38.119999999999997</v>
      </c>
      <c r="K1549" s="106"/>
      <c r="L1549" s="106">
        <v>0</v>
      </c>
      <c r="M1549" s="106">
        <f t="shared" ref="M1549:M1612" si="95">L1549-K1549</f>
        <v>0</v>
      </c>
      <c r="N1549" s="106">
        <v>81.39</v>
      </c>
      <c r="O1549" s="107">
        <v>3102.54</v>
      </c>
      <c r="P1549" s="107">
        <v>25930</v>
      </c>
      <c r="Q1549" s="107">
        <v>80448862</v>
      </c>
      <c r="R1549" s="102" t="s">
        <v>30</v>
      </c>
      <c r="S1549" s="108"/>
      <c r="T1549" s="109"/>
      <c r="U1549" s="109"/>
      <c r="V1549" s="102"/>
      <c r="W1549" s="109"/>
      <c r="X1549" s="109"/>
      <c r="Y1549" s="110" t="s">
        <v>31</v>
      </c>
    </row>
    <row r="1550" spans="1:25" s="111" customFormat="1" x14ac:dyDescent="0.2">
      <c r="A1550" s="101">
        <v>46258</v>
      </c>
      <c r="B1550" s="91" t="s">
        <v>1809</v>
      </c>
      <c r="C1550" s="102" t="s">
        <v>1810</v>
      </c>
      <c r="D1550" s="103" t="s">
        <v>26</v>
      </c>
      <c r="E1550" s="91" t="s">
        <v>1811</v>
      </c>
      <c r="F1550" s="91" t="s">
        <v>385</v>
      </c>
      <c r="G1550" s="91" t="s">
        <v>386</v>
      </c>
      <c r="H1550" s="104" t="str">
        <f t="shared" ref="H1550:H1613" si="96">IF(LEN(G1550)=13,LEFT(G1550,5)&amp;MID(G1550,SEARCH("-J",G1550)+1,3),LEFT(G1550,5)&amp;"J20")</f>
        <v>F5132J30</v>
      </c>
      <c r="I1550" s="104"/>
      <c r="J1550" s="105">
        <v>38.119999999999997</v>
      </c>
      <c r="K1550" s="106"/>
      <c r="L1550" s="106">
        <v>0</v>
      </c>
      <c r="M1550" s="106">
        <f t="shared" si="95"/>
        <v>0</v>
      </c>
      <c r="N1550" s="106">
        <v>81.39</v>
      </c>
      <c r="O1550" s="107">
        <v>3102.54</v>
      </c>
      <c r="P1550" s="107">
        <v>25930</v>
      </c>
      <c r="Q1550" s="107">
        <v>80448862</v>
      </c>
      <c r="R1550" s="102" t="s">
        <v>30</v>
      </c>
      <c r="S1550" s="108"/>
      <c r="T1550" s="109"/>
      <c r="U1550" s="109"/>
      <c r="V1550" s="102"/>
      <c r="W1550" s="109"/>
      <c r="X1550" s="109"/>
      <c r="Y1550" s="110" t="s">
        <v>31</v>
      </c>
    </row>
    <row r="1551" spans="1:25" s="111" customFormat="1" x14ac:dyDescent="0.2">
      <c r="A1551" s="101">
        <v>46258</v>
      </c>
      <c r="B1551" s="91" t="s">
        <v>1813</v>
      </c>
      <c r="C1551" s="102" t="s">
        <v>1814</v>
      </c>
      <c r="D1551" s="103" t="s">
        <v>26</v>
      </c>
      <c r="E1551" s="91" t="s">
        <v>1815</v>
      </c>
      <c r="F1551" s="91" t="s">
        <v>1222</v>
      </c>
      <c r="G1551" s="91" t="s">
        <v>1223</v>
      </c>
      <c r="H1551" s="104" t="str">
        <f t="shared" si="96"/>
        <v>F5132J20</v>
      </c>
      <c r="I1551" s="104"/>
      <c r="J1551" s="105">
        <v>10.94</v>
      </c>
      <c r="K1551" s="106"/>
      <c r="L1551" s="106">
        <v>0</v>
      </c>
      <c r="M1551" s="106">
        <f t="shared" si="95"/>
        <v>0</v>
      </c>
      <c r="N1551" s="106">
        <v>130.85</v>
      </c>
      <c r="O1551" s="107">
        <v>1431.5</v>
      </c>
      <c r="P1551" s="107">
        <v>25930</v>
      </c>
      <c r="Q1551" s="107">
        <v>37118795</v>
      </c>
      <c r="R1551" s="102"/>
      <c r="S1551" s="108"/>
      <c r="T1551" s="109"/>
      <c r="U1551" s="109" t="s">
        <v>30</v>
      </c>
      <c r="V1551" s="102"/>
      <c r="W1551" s="109"/>
      <c r="X1551" s="109"/>
      <c r="Y1551" s="110" t="s">
        <v>31</v>
      </c>
    </row>
    <row r="1552" spans="1:25" s="111" customFormat="1" x14ac:dyDescent="0.2">
      <c r="A1552" s="101">
        <v>46258</v>
      </c>
      <c r="B1552" s="91" t="s">
        <v>1813</v>
      </c>
      <c r="C1552" s="102" t="s">
        <v>1814</v>
      </c>
      <c r="D1552" s="103" t="s">
        <v>26</v>
      </c>
      <c r="E1552" s="91" t="s">
        <v>1815</v>
      </c>
      <c r="F1552" s="91" t="s">
        <v>1222</v>
      </c>
      <c r="G1552" s="91" t="s">
        <v>1223</v>
      </c>
      <c r="H1552" s="104" t="str">
        <f t="shared" si="96"/>
        <v>F5132J20</v>
      </c>
      <c r="I1552" s="104"/>
      <c r="J1552" s="105">
        <v>10.94</v>
      </c>
      <c r="K1552" s="106"/>
      <c r="L1552" s="106">
        <v>0</v>
      </c>
      <c r="M1552" s="106">
        <f t="shared" si="95"/>
        <v>0</v>
      </c>
      <c r="N1552" s="106">
        <v>130.85</v>
      </c>
      <c r="O1552" s="107">
        <v>1431.5</v>
      </c>
      <c r="P1552" s="107">
        <v>25930</v>
      </c>
      <c r="Q1552" s="107">
        <v>37118795</v>
      </c>
      <c r="R1552" s="102"/>
      <c r="S1552" s="108"/>
      <c r="T1552" s="109"/>
      <c r="U1552" s="109" t="s">
        <v>30</v>
      </c>
      <c r="V1552" s="102"/>
      <c r="W1552" s="109"/>
      <c r="X1552" s="109"/>
      <c r="Y1552" s="110" t="s">
        <v>31</v>
      </c>
    </row>
    <row r="1553" spans="1:25" s="111" customFormat="1" x14ac:dyDescent="0.2">
      <c r="A1553" s="101">
        <v>46258</v>
      </c>
      <c r="B1553" s="91" t="s">
        <v>1813</v>
      </c>
      <c r="C1553" s="102" t="s">
        <v>1814</v>
      </c>
      <c r="D1553" s="103" t="s">
        <v>26</v>
      </c>
      <c r="E1553" s="91" t="s">
        <v>1815</v>
      </c>
      <c r="F1553" s="91" t="s">
        <v>1222</v>
      </c>
      <c r="G1553" s="91" t="s">
        <v>1223</v>
      </c>
      <c r="H1553" s="104" t="str">
        <f t="shared" si="96"/>
        <v>F5132J20</v>
      </c>
      <c r="I1553" s="104"/>
      <c r="J1553" s="105">
        <v>10.94</v>
      </c>
      <c r="K1553" s="106"/>
      <c r="L1553" s="106">
        <v>0</v>
      </c>
      <c r="M1553" s="106">
        <f t="shared" si="95"/>
        <v>0</v>
      </c>
      <c r="N1553" s="106">
        <v>130.85</v>
      </c>
      <c r="O1553" s="107">
        <v>1431.5</v>
      </c>
      <c r="P1553" s="107">
        <v>25930</v>
      </c>
      <c r="Q1553" s="107">
        <v>37118795</v>
      </c>
      <c r="R1553" s="102"/>
      <c r="S1553" s="108"/>
      <c r="T1553" s="109"/>
      <c r="U1553" s="109" t="s">
        <v>30</v>
      </c>
      <c r="V1553" s="102"/>
      <c r="W1553" s="109"/>
      <c r="X1553" s="109"/>
      <c r="Y1553" s="110" t="s">
        <v>31</v>
      </c>
    </row>
    <row r="1554" spans="1:25" s="111" customFormat="1" x14ac:dyDescent="0.2">
      <c r="A1554" s="101">
        <v>46258</v>
      </c>
      <c r="B1554" s="91" t="s">
        <v>1813</v>
      </c>
      <c r="C1554" s="102" t="s">
        <v>1814</v>
      </c>
      <c r="D1554" s="103" t="s">
        <v>26</v>
      </c>
      <c r="E1554" s="91" t="s">
        <v>1815</v>
      </c>
      <c r="F1554" s="91" t="s">
        <v>1222</v>
      </c>
      <c r="G1554" s="91" t="s">
        <v>1223</v>
      </c>
      <c r="H1554" s="104" t="str">
        <f t="shared" si="96"/>
        <v>F5132J20</v>
      </c>
      <c r="I1554" s="104"/>
      <c r="J1554" s="105">
        <v>10.94</v>
      </c>
      <c r="K1554" s="106"/>
      <c r="L1554" s="106">
        <v>0</v>
      </c>
      <c r="M1554" s="106">
        <f t="shared" si="95"/>
        <v>0</v>
      </c>
      <c r="N1554" s="106">
        <v>130.85</v>
      </c>
      <c r="O1554" s="107">
        <v>1431.5</v>
      </c>
      <c r="P1554" s="107">
        <v>25930</v>
      </c>
      <c r="Q1554" s="107">
        <v>37118795</v>
      </c>
      <c r="R1554" s="102"/>
      <c r="S1554" s="108"/>
      <c r="T1554" s="109"/>
      <c r="U1554" s="109" t="s">
        <v>30</v>
      </c>
      <c r="V1554" s="102"/>
      <c r="W1554" s="109"/>
      <c r="X1554" s="109"/>
      <c r="Y1554" s="110" t="s">
        <v>31</v>
      </c>
    </row>
    <row r="1555" spans="1:25" s="111" customFormat="1" x14ac:dyDescent="0.2">
      <c r="A1555" s="101">
        <v>46258</v>
      </c>
      <c r="B1555" s="91" t="s">
        <v>1813</v>
      </c>
      <c r="C1555" s="102" t="s">
        <v>1814</v>
      </c>
      <c r="D1555" s="103" t="s">
        <v>26</v>
      </c>
      <c r="E1555" s="91" t="s">
        <v>1815</v>
      </c>
      <c r="F1555" s="91" t="s">
        <v>34</v>
      </c>
      <c r="G1555" s="91" t="s">
        <v>35</v>
      </c>
      <c r="H1555" s="104" t="str">
        <f t="shared" si="96"/>
        <v>F5003J20</v>
      </c>
      <c r="I1555" s="104"/>
      <c r="J1555" s="105">
        <v>54.45</v>
      </c>
      <c r="K1555" s="106"/>
      <c r="L1555" s="106">
        <v>0</v>
      </c>
      <c r="M1555" s="106">
        <f t="shared" si="95"/>
        <v>0</v>
      </c>
      <c r="N1555" s="106">
        <v>63</v>
      </c>
      <c r="O1555" s="107">
        <v>3430.4</v>
      </c>
      <c r="P1555" s="107">
        <v>25930</v>
      </c>
      <c r="Q1555" s="107">
        <v>88950272</v>
      </c>
      <c r="R1555" s="102" t="s">
        <v>30</v>
      </c>
      <c r="S1555" s="108"/>
      <c r="T1555" s="109"/>
      <c r="U1555" s="109"/>
      <c r="V1555" s="102"/>
      <c r="W1555" s="109"/>
      <c r="X1555" s="109"/>
      <c r="Y1555" s="110" t="s">
        <v>31</v>
      </c>
    </row>
    <row r="1556" spans="1:25" s="111" customFormat="1" x14ac:dyDescent="0.2">
      <c r="A1556" s="101">
        <v>46258</v>
      </c>
      <c r="B1556" s="91" t="s">
        <v>1813</v>
      </c>
      <c r="C1556" s="102" t="s">
        <v>1814</v>
      </c>
      <c r="D1556" s="103" t="s">
        <v>26</v>
      </c>
      <c r="E1556" s="91" t="s">
        <v>1815</v>
      </c>
      <c r="F1556" s="91" t="s">
        <v>43</v>
      </c>
      <c r="G1556" s="91" t="s">
        <v>44</v>
      </c>
      <c r="H1556" s="104" t="str">
        <f t="shared" si="96"/>
        <v>F5141J30</v>
      </c>
      <c r="I1556" s="104"/>
      <c r="J1556" s="105">
        <v>212.36</v>
      </c>
      <c r="K1556" s="106"/>
      <c r="L1556" s="106">
        <v>0</v>
      </c>
      <c r="M1556" s="106">
        <f t="shared" si="95"/>
        <v>0</v>
      </c>
      <c r="N1556" s="106">
        <v>76.099999999999994</v>
      </c>
      <c r="O1556" s="107">
        <v>16160.04</v>
      </c>
      <c r="P1556" s="107">
        <v>25930</v>
      </c>
      <c r="Q1556" s="107">
        <v>419029837</v>
      </c>
      <c r="R1556" s="102" t="s">
        <v>30</v>
      </c>
      <c r="S1556" s="108"/>
      <c r="T1556" s="109"/>
      <c r="U1556" s="109"/>
      <c r="V1556" s="102"/>
      <c r="W1556" s="109"/>
      <c r="X1556" s="109"/>
      <c r="Y1556" s="110" t="s">
        <v>31</v>
      </c>
    </row>
    <row r="1557" spans="1:25" s="111" customFormat="1" x14ac:dyDescent="0.2">
      <c r="A1557" s="101">
        <v>46258</v>
      </c>
      <c r="B1557" s="91" t="s">
        <v>1813</v>
      </c>
      <c r="C1557" s="102" t="s">
        <v>1814</v>
      </c>
      <c r="D1557" s="103" t="s">
        <v>26</v>
      </c>
      <c r="E1557" s="91" t="s">
        <v>1815</v>
      </c>
      <c r="F1557" s="91" t="s">
        <v>38</v>
      </c>
      <c r="G1557" s="91" t="s">
        <v>39</v>
      </c>
      <c r="H1557" s="104" t="str">
        <f t="shared" si="96"/>
        <v>F5143J30</v>
      </c>
      <c r="I1557" s="104"/>
      <c r="J1557" s="105">
        <v>38.119999999999997</v>
      </c>
      <c r="K1557" s="106"/>
      <c r="L1557" s="106">
        <v>0</v>
      </c>
      <c r="M1557" s="106">
        <f t="shared" si="95"/>
        <v>0</v>
      </c>
      <c r="N1557" s="106">
        <v>81.39</v>
      </c>
      <c r="O1557" s="107">
        <v>3102.54</v>
      </c>
      <c r="P1557" s="107">
        <v>25930</v>
      </c>
      <c r="Q1557" s="107">
        <v>80448862</v>
      </c>
      <c r="R1557" s="102" t="s">
        <v>30</v>
      </c>
      <c r="S1557" s="108"/>
      <c r="T1557" s="109"/>
      <c r="U1557" s="109"/>
      <c r="V1557" s="102"/>
      <c r="W1557" s="109"/>
      <c r="X1557" s="109"/>
      <c r="Y1557" s="110" t="s">
        <v>31</v>
      </c>
    </row>
    <row r="1558" spans="1:25" s="111" customFormat="1" x14ac:dyDescent="0.2">
      <c r="A1558" s="101">
        <v>46258</v>
      </c>
      <c r="B1558" s="91" t="s">
        <v>1813</v>
      </c>
      <c r="C1558" s="102" t="s">
        <v>1814</v>
      </c>
      <c r="D1558" s="103" t="s">
        <v>26</v>
      </c>
      <c r="E1558" s="91" t="s">
        <v>1815</v>
      </c>
      <c r="F1558" s="91" t="s">
        <v>274</v>
      </c>
      <c r="G1558" s="91" t="s">
        <v>273</v>
      </c>
      <c r="H1558" s="104" t="str">
        <f t="shared" si="96"/>
        <v>F6313J20</v>
      </c>
      <c r="I1558" s="104"/>
      <c r="J1558" s="105">
        <v>38.119999999999997</v>
      </c>
      <c r="K1558" s="106"/>
      <c r="L1558" s="106">
        <v>0</v>
      </c>
      <c r="M1558" s="106">
        <f t="shared" si="95"/>
        <v>0</v>
      </c>
      <c r="N1558" s="106">
        <v>65.099999999999994</v>
      </c>
      <c r="O1558" s="107">
        <v>2481.62</v>
      </c>
      <c r="P1558" s="107">
        <v>25930</v>
      </c>
      <c r="Q1558" s="107">
        <v>64348407</v>
      </c>
      <c r="R1558" s="102" t="s">
        <v>30</v>
      </c>
      <c r="S1558" s="108"/>
      <c r="T1558" s="109"/>
      <c r="U1558" s="109"/>
      <c r="V1558" s="102"/>
      <c r="W1558" s="109"/>
      <c r="X1558" s="109"/>
      <c r="Y1558" s="110" t="s">
        <v>31</v>
      </c>
    </row>
    <row r="1559" spans="1:25" s="111" customFormat="1" x14ac:dyDescent="0.2">
      <c r="A1559" s="101">
        <v>46258</v>
      </c>
      <c r="B1559" s="91" t="s">
        <v>1813</v>
      </c>
      <c r="C1559" s="102" t="s">
        <v>1814</v>
      </c>
      <c r="D1559" s="103" t="s">
        <v>26</v>
      </c>
      <c r="E1559" s="91" t="s">
        <v>1815</v>
      </c>
      <c r="F1559" s="91" t="s">
        <v>387</v>
      </c>
      <c r="G1559" s="91" t="s">
        <v>273</v>
      </c>
      <c r="H1559" s="104" t="str">
        <f t="shared" si="96"/>
        <v>F6313J20</v>
      </c>
      <c r="I1559" s="104"/>
      <c r="J1559" s="105">
        <v>16.329999999999998</v>
      </c>
      <c r="K1559" s="106"/>
      <c r="L1559" s="106">
        <v>0</v>
      </c>
      <c r="M1559" s="106">
        <f t="shared" si="95"/>
        <v>0</v>
      </c>
      <c r="N1559" s="106">
        <v>65.099999999999994</v>
      </c>
      <c r="O1559" s="107">
        <v>1063.08</v>
      </c>
      <c r="P1559" s="107">
        <v>25930</v>
      </c>
      <c r="Q1559" s="107">
        <v>27565664</v>
      </c>
      <c r="R1559" s="102" t="s">
        <v>30</v>
      </c>
      <c r="S1559" s="108"/>
      <c r="T1559" s="109"/>
      <c r="U1559" s="109"/>
      <c r="V1559" s="102"/>
      <c r="W1559" s="109"/>
      <c r="X1559" s="109"/>
      <c r="Y1559" s="110" t="s">
        <v>31</v>
      </c>
    </row>
    <row r="1560" spans="1:25" s="111" customFormat="1" x14ac:dyDescent="0.2">
      <c r="A1560" s="101">
        <v>46258</v>
      </c>
      <c r="B1560" s="91" t="s">
        <v>1816</v>
      </c>
      <c r="C1560" s="102" t="s">
        <v>1817</v>
      </c>
      <c r="D1560" s="103" t="s">
        <v>26</v>
      </c>
      <c r="E1560" s="91" t="s">
        <v>1818</v>
      </c>
      <c r="F1560" s="91" t="s">
        <v>1518</v>
      </c>
      <c r="G1560" s="91" t="s">
        <v>1519</v>
      </c>
      <c r="H1560" s="104" t="str">
        <f t="shared" si="96"/>
        <v>F4044J30</v>
      </c>
      <c r="I1560" s="104"/>
      <c r="J1560" s="105">
        <v>304.92</v>
      </c>
      <c r="K1560" s="106"/>
      <c r="L1560" s="106">
        <v>0</v>
      </c>
      <c r="M1560" s="106">
        <f t="shared" si="95"/>
        <v>0</v>
      </c>
      <c r="N1560" s="106">
        <v>78.8</v>
      </c>
      <c r="O1560" s="107">
        <v>24027.919999999998</v>
      </c>
      <c r="P1560" s="107">
        <v>25930</v>
      </c>
      <c r="Q1560" s="107">
        <v>623043966</v>
      </c>
      <c r="R1560" s="102" t="s">
        <v>30</v>
      </c>
      <c r="S1560" s="108"/>
      <c r="T1560" s="109"/>
      <c r="U1560" s="109"/>
      <c r="V1560" s="102"/>
      <c r="W1560" s="109"/>
      <c r="X1560" s="109"/>
      <c r="Y1560" s="110" t="s">
        <v>31</v>
      </c>
    </row>
    <row r="1561" spans="1:25" s="111" customFormat="1" x14ac:dyDescent="0.2">
      <c r="A1561" s="101">
        <v>46258</v>
      </c>
      <c r="B1561" s="91" t="s">
        <v>1819</v>
      </c>
      <c r="C1561" s="102" t="s">
        <v>1820</v>
      </c>
      <c r="D1561" s="103" t="s">
        <v>196</v>
      </c>
      <c r="E1561" s="91" t="s">
        <v>1821</v>
      </c>
      <c r="F1561" s="91" t="s">
        <v>1822</v>
      </c>
      <c r="G1561" s="91" t="s">
        <v>1823</v>
      </c>
      <c r="H1561" s="104" t="str">
        <f t="shared" si="96"/>
        <v>F5033J30</v>
      </c>
      <c r="I1561" s="104"/>
      <c r="J1561" s="105">
        <v>299.47000000000003</v>
      </c>
      <c r="K1561" s="106"/>
      <c r="L1561" s="106">
        <v>0</v>
      </c>
      <c r="M1561" s="106">
        <f t="shared" si="95"/>
        <v>0</v>
      </c>
      <c r="N1561" s="106">
        <v>98.36</v>
      </c>
      <c r="O1561" s="107">
        <v>29456.959999999999</v>
      </c>
      <c r="P1561" s="107">
        <v>25930</v>
      </c>
      <c r="Q1561" s="107">
        <v>763818973</v>
      </c>
      <c r="R1561" s="102" t="s">
        <v>30</v>
      </c>
      <c r="S1561" s="108"/>
      <c r="T1561" s="109"/>
      <c r="U1561" s="109"/>
      <c r="V1561" s="102"/>
      <c r="W1561" s="109"/>
      <c r="X1561" s="109"/>
      <c r="Y1561" s="110" t="s">
        <v>31</v>
      </c>
    </row>
    <row r="1562" spans="1:25" s="111" customFormat="1" x14ac:dyDescent="0.2">
      <c r="A1562" s="101">
        <v>46258</v>
      </c>
      <c r="B1562" s="91" t="s">
        <v>1819</v>
      </c>
      <c r="C1562" s="102" t="s">
        <v>1820</v>
      </c>
      <c r="D1562" s="103" t="s">
        <v>196</v>
      </c>
      <c r="E1562" s="91" t="s">
        <v>1821</v>
      </c>
      <c r="F1562" s="91" t="s">
        <v>1822</v>
      </c>
      <c r="G1562" s="91" t="s">
        <v>1823</v>
      </c>
      <c r="H1562" s="104" t="str">
        <f t="shared" si="96"/>
        <v>F5033J30</v>
      </c>
      <c r="I1562" s="104"/>
      <c r="J1562" s="105">
        <v>5.45</v>
      </c>
      <c r="K1562" s="106"/>
      <c r="L1562" s="106">
        <v>0</v>
      </c>
      <c r="M1562" s="106">
        <f t="shared" si="95"/>
        <v>0</v>
      </c>
      <c r="N1562" s="106">
        <v>98.36</v>
      </c>
      <c r="O1562" s="107">
        <v>536.08000000000004</v>
      </c>
      <c r="P1562" s="107">
        <v>25930</v>
      </c>
      <c r="Q1562" s="107">
        <v>13900554</v>
      </c>
      <c r="R1562" s="102" t="s">
        <v>30</v>
      </c>
      <c r="S1562" s="108"/>
      <c r="T1562" s="109"/>
      <c r="U1562" s="109"/>
      <c r="V1562" s="102"/>
      <c r="W1562" s="109"/>
      <c r="X1562" s="109"/>
      <c r="Y1562" s="110" t="s">
        <v>31</v>
      </c>
    </row>
    <row r="1563" spans="1:25" s="111" customFormat="1" x14ac:dyDescent="0.2">
      <c r="A1563" s="101">
        <v>46258</v>
      </c>
      <c r="B1563" s="91" t="s">
        <v>1819</v>
      </c>
      <c r="C1563" s="102" t="s">
        <v>1820</v>
      </c>
      <c r="D1563" s="103" t="s">
        <v>196</v>
      </c>
      <c r="E1563" s="91" t="s">
        <v>1821</v>
      </c>
      <c r="F1563" s="91" t="s">
        <v>1824</v>
      </c>
      <c r="G1563" s="91" t="s">
        <v>1823</v>
      </c>
      <c r="H1563" s="104" t="str">
        <f t="shared" si="96"/>
        <v>F5033J30</v>
      </c>
      <c r="I1563" s="104"/>
      <c r="J1563" s="105">
        <v>16.329999999999998</v>
      </c>
      <c r="K1563" s="106"/>
      <c r="L1563" s="106">
        <v>0</v>
      </c>
      <c r="M1563" s="106">
        <f t="shared" si="95"/>
        <v>0</v>
      </c>
      <c r="N1563" s="106">
        <v>98.36</v>
      </c>
      <c r="O1563" s="107">
        <v>1606.28</v>
      </c>
      <c r="P1563" s="107">
        <v>25930</v>
      </c>
      <c r="Q1563" s="107">
        <v>41650840</v>
      </c>
      <c r="R1563" s="102" t="s">
        <v>30</v>
      </c>
      <c r="S1563" s="108"/>
      <c r="T1563" s="109"/>
      <c r="U1563" s="109"/>
      <c r="V1563" s="102"/>
      <c r="W1563" s="109"/>
      <c r="X1563" s="109"/>
      <c r="Y1563" s="110" t="s">
        <v>31</v>
      </c>
    </row>
    <row r="1564" spans="1:25" s="111" customFormat="1" x14ac:dyDescent="0.2">
      <c r="A1564" s="101">
        <v>46258</v>
      </c>
      <c r="B1564" s="91" t="s">
        <v>1819</v>
      </c>
      <c r="C1564" s="102" t="s">
        <v>1820</v>
      </c>
      <c r="D1564" s="103" t="s">
        <v>196</v>
      </c>
      <c r="E1564" s="91" t="s">
        <v>1821</v>
      </c>
      <c r="F1564" s="91" t="s">
        <v>1825</v>
      </c>
      <c r="G1564" s="91" t="s">
        <v>1823</v>
      </c>
      <c r="H1564" s="104" t="str">
        <f t="shared" si="96"/>
        <v>F5033J30</v>
      </c>
      <c r="I1564" s="104"/>
      <c r="J1564" s="105">
        <v>5.45</v>
      </c>
      <c r="K1564" s="106"/>
      <c r="L1564" s="106">
        <v>0</v>
      </c>
      <c r="M1564" s="106">
        <f t="shared" si="95"/>
        <v>0</v>
      </c>
      <c r="N1564" s="106">
        <v>98.36</v>
      </c>
      <c r="O1564" s="107">
        <v>536.08000000000004</v>
      </c>
      <c r="P1564" s="107">
        <v>25930</v>
      </c>
      <c r="Q1564" s="107">
        <v>13900554</v>
      </c>
      <c r="R1564" s="102" t="s">
        <v>30</v>
      </c>
      <c r="S1564" s="108"/>
      <c r="T1564" s="109"/>
      <c r="U1564" s="109"/>
      <c r="V1564" s="102"/>
      <c r="W1564" s="109"/>
      <c r="X1564" s="109"/>
      <c r="Y1564" s="110" t="s">
        <v>31</v>
      </c>
    </row>
    <row r="1565" spans="1:25" s="111" customFormat="1" x14ac:dyDescent="0.2">
      <c r="A1565" s="101">
        <v>46259</v>
      </c>
      <c r="B1565" s="91" t="s">
        <v>1826</v>
      </c>
      <c r="C1565" s="102" t="s">
        <v>1827</v>
      </c>
      <c r="D1565" s="103" t="s">
        <v>26</v>
      </c>
      <c r="E1565" s="91" t="s">
        <v>1828</v>
      </c>
      <c r="F1565" s="91" t="s">
        <v>1766</v>
      </c>
      <c r="G1565" s="91" t="s">
        <v>1767</v>
      </c>
      <c r="H1565" s="104" t="str">
        <f t="shared" si="96"/>
        <v>F5112J30</v>
      </c>
      <c r="I1565" s="104"/>
      <c r="J1565" s="105">
        <v>304.92</v>
      </c>
      <c r="K1565" s="106"/>
      <c r="L1565" s="106">
        <v>0</v>
      </c>
      <c r="M1565" s="106">
        <f t="shared" si="95"/>
        <v>0</v>
      </c>
      <c r="N1565" s="106">
        <v>78.8</v>
      </c>
      <c r="O1565" s="107">
        <v>24027.919999999998</v>
      </c>
      <c r="P1565" s="107">
        <v>25930</v>
      </c>
      <c r="Q1565" s="107">
        <v>623043966</v>
      </c>
      <c r="R1565" s="102" t="s">
        <v>30</v>
      </c>
      <c r="S1565" s="108"/>
      <c r="T1565" s="109"/>
      <c r="U1565" s="109"/>
      <c r="V1565" s="102"/>
      <c r="W1565" s="109"/>
      <c r="X1565" s="109"/>
      <c r="Y1565" s="110" t="s">
        <v>803</v>
      </c>
    </row>
    <row r="1566" spans="1:25" s="111" customFormat="1" x14ac:dyDescent="0.2">
      <c r="A1566" s="101">
        <v>46259</v>
      </c>
      <c r="B1566" s="91" t="s">
        <v>1829</v>
      </c>
      <c r="C1566" s="102" t="s">
        <v>1830</v>
      </c>
      <c r="D1566" s="103" t="s">
        <v>26</v>
      </c>
      <c r="E1566" s="91" t="s">
        <v>1831</v>
      </c>
      <c r="F1566" s="91" t="s">
        <v>1766</v>
      </c>
      <c r="G1566" s="91" t="s">
        <v>1767</v>
      </c>
      <c r="H1566" s="104" t="str">
        <f t="shared" si="96"/>
        <v>F5112J30</v>
      </c>
      <c r="I1566" s="104"/>
      <c r="J1566" s="105">
        <v>304.92</v>
      </c>
      <c r="K1566" s="106"/>
      <c r="L1566" s="106">
        <v>0</v>
      </c>
      <c r="M1566" s="106">
        <f t="shared" si="95"/>
        <v>0</v>
      </c>
      <c r="N1566" s="106">
        <v>78.8</v>
      </c>
      <c r="O1566" s="107">
        <v>24027.919999999998</v>
      </c>
      <c r="P1566" s="107">
        <v>25930</v>
      </c>
      <c r="Q1566" s="107">
        <v>623043966</v>
      </c>
      <c r="R1566" s="102" t="s">
        <v>30</v>
      </c>
      <c r="S1566" s="108"/>
      <c r="T1566" s="109"/>
      <c r="U1566" s="109"/>
      <c r="V1566" s="102"/>
      <c r="W1566" s="109"/>
      <c r="X1566" s="109"/>
      <c r="Y1566" s="110" t="s">
        <v>803</v>
      </c>
    </row>
    <row r="1567" spans="1:25" s="111" customFormat="1" x14ac:dyDescent="0.2">
      <c r="A1567" s="101">
        <v>46259</v>
      </c>
      <c r="B1567" s="91" t="s">
        <v>1832</v>
      </c>
      <c r="C1567" s="102" t="s">
        <v>1833</v>
      </c>
      <c r="D1567" s="103" t="s">
        <v>26</v>
      </c>
      <c r="E1567" s="91" t="s">
        <v>1834</v>
      </c>
      <c r="F1567" s="91" t="s">
        <v>1835</v>
      </c>
      <c r="G1567" s="91" t="s">
        <v>1836</v>
      </c>
      <c r="H1567" s="104" t="str">
        <f t="shared" si="96"/>
        <v>C4043J20</v>
      </c>
      <c r="I1567" s="104"/>
      <c r="J1567" s="105">
        <v>163.35</v>
      </c>
      <c r="K1567" s="106"/>
      <c r="L1567" s="106">
        <v>0</v>
      </c>
      <c r="M1567" s="106">
        <f t="shared" si="95"/>
        <v>0</v>
      </c>
      <c r="N1567" s="106">
        <v>62</v>
      </c>
      <c r="O1567" s="107">
        <v>10127.700000000001</v>
      </c>
      <c r="P1567" s="107">
        <v>25930</v>
      </c>
      <c r="Q1567" s="107">
        <v>262611261</v>
      </c>
      <c r="R1567" s="102" t="s">
        <v>30</v>
      </c>
      <c r="S1567" s="108"/>
      <c r="T1567" s="109"/>
      <c r="U1567" s="109"/>
      <c r="V1567" s="102"/>
      <c r="W1567" s="109"/>
      <c r="X1567" s="109"/>
      <c r="Y1567" s="110" t="s">
        <v>1780</v>
      </c>
    </row>
    <row r="1568" spans="1:25" s="111" customFormat="1" x14ac:dyDescent="0.2">
      <c r="A1568" s="101">
        <v>46259</v>
      </c>
      <c r="B1568" s="91" t="s">
        <v>1832</v>
      </c>
      <c r="C1568" s="102" t="s">
        <v>1833</v>
      </c>
      <c r="D1568" s="103" t="s">
        <v>26</v>
      </c>
      <c r="E1568" s="91" t="s">
        <v>1834</v>
      </c>
      <c r="F1568" s="91" t="s">
        <v>975</v>
      </c>
      <c r="G1568" s="91" t="s">
        <v>976</v>
      </c>
      <c r="H1568" s="104" t="str">
        <f t="shared" si="96"/>
        <v>C5000J20</v>
      </c>
      <c r="I1568" s="104"/>
      <c r="J1568" s="105">
        <v>54.45</v>
      </c>
      <c r="K1568" s="106"/>
      <c r="L1568" s="106">
        <v>0</v>
      </c>
      <c r="M1568" s="106">
        <f t="shared" si="95"/>
        <v>0</v>
      </c>
      <c r="N1568" s="106">
        <v>59.9</v>
      </c>
      <c r="O1568" s="107">
        <v>3261.6</v>
      </c>
      <c r="P1568" s="107">
        <v>25930</v>
      </c>
      <c r="Q1568" s="107">
        <v>84573288</v>
      </c>
      <c r="R1568" s="102" t="s">
        <v>30</v>
      </c>
      <c r="S1568" s="108"/>
      <c r="T1568" s="109"/>
      <c r="U1568" s="109"/>
      <c r="V1568" s="102"/>
      <c r="W1568" s="109"/>
      <c r="X1568" s="109"/>
      <c r="Y1568" s="110" t="s">
        <v>1780</v>
      </c>
    </row>
    <row r="1569" spans="1:25" s="111" customFormat="1" x14ac:dyDescent="0.2">
      <c r="A1569" s="101">
        <v>46259</v>
      </c>
      <c r="B1569" s="91" t="s">
        <v>1832</v>
      </c>
      <c r="C1569" s="102" t="s">
        <v>1833</v>
      </c>
      <c r="D1569" s="103" t="s">
        <v>26</v>
      </c>
      <c r="E1569" s="91" t="s">
        <v>1834</v>
      </c>
      <c r="F1569" s="91" t="s">
        <v>356</v>
      </c>
      <c r="G1569" s="91" t="s">
        <v>357</v>
      </c>
      <c r="H1569" s="104" t="str">
        <f t="shared" si="96"/>
        <v>C5222J20</v>
      </c>
      <c r="I1569" s="104"/>
      <c r="J1569" s="105">
        <v>272.25</v>
      </c>
      <c r="K1569" s="106"/>
      <c r="L1569" s="106">
        <v>0</v>
      </c>
      <c r="M1569" s="106">
        <f t="shared" si="95"/>
        <v>0</v>
      </c>
      <c r="N1569" s="106">
        <v>59.9</v>
      </c>
      <c r="O1569" s="107">
        <v>16308</v>
      </c>
      <c r="P1569" s="107">
        <v>25930</v>
      </c>
      <c r="Q1569" s="107">
        <v>422866440</v>
      </c>
      <c r="R1569" s="102" t="s">
        <v>30</v>
      </c>
      <c r="S1569" s="108"/>
      <c r="T1569" s="109"/>
      <c r="U1569" s="109"/>
      <c r="V1569" s="102"/>
      <c r="W1569" s="109"/>
      <c r="X1569" s="109"/>
      <c r="Y1569" s="110" t="s">
        <v>1780</v>
      </c>
    </row>
    <row r="1570" spans="1:25" s="111" customFormat="1" x14ac:dyDescent="0.2">
      <c r="A1570" s="101">
        <v>46259</v>
      </c>
      <c r="B1570" s="91" t="s">
        <v>1837</v>
      </c>
      <c r="C1570" s="102" t="s">
        <v>1838</v>
      </c>
      <c r="D1570" s="103" t="s">
        <v>1839</v>
      </c>
      <c r="E1570" s="91" t="s">
        <v>1840</v>
      </c>
      <c r="F1570" s="91" t="s">
        <v>1841</v>
      </c>
      <c r="G1570" s="91" t="s">
        <v>1842</v>
      </c>
      <c r="H1570" s="104" t="str">
        <f t="shared" si="96"/>
        <v>C3146J20</v>
      </c>
      <c r="I1570" s="104"/>
      <c r="J1570" s="105">
        <v>3.23</v>
      </c>
      <c r="K1570" s="106"/>
      <c r="L1570" s="106">
        <v>0</v>
      </c>
      <c r="M1570" s="106">
        <f t="shared" si="95"/>
        <v>0</v>
      </c>
      <c r="N1570" s="106">
        <v>58</v>
      </c>
      <c r="O1570" s="107">
        <v>187.34</v>
      </c>
      <c r="P1570" s="107">
        <v>25930</v>
      </c>
      <c r="Q1570" s="107">
        <v>4857726</v>
      </c>
      <c r="R1570" s="102"/>
      <c r="S1570" s="108"/>
      <c r="T1570" s="109"/>
      <c r="U1570" s="109" t="s">
        <v>30</v>
      </c>
      <c r="V1570" s="102"/>
      <c r="W1570" s="109"/>
      <c r="X1570" s="109"/>
      <c r="Y1570" s="110" t="s">
        <v>31</v>
      </c>
    </row>
    <row r="1571" spans="1:25" s="111" customFormat="1" x14ac:dyDescent="0.2">
      <c r="A1571" s="101">
        <v>46259</v>
      </c>
      <c r="B1571" s="91" t="s">
        <v>1837</v>
      </c>
      <c r="C1571" s="102" t="s">
        <v>1838</v>
      </c>
      <c r="D1571" s="103" t="s">
        <v>1839</v>
      </c>
      <c r="E1571" s="91" t="s">
        <v>1840</v>
      </c>
      <c r="F1571" s="91" t="s">
        <v>1843</v>
      </c>
      <c r="G1571" s="91" t="s">
        <v>1844</v>
      </c>
      <c r="H1571" s="104" t="str">
        <f t="shared" si="96"/>
        <v>C3311J20</v>
      </c>
      <c r="I1571" s="104"/>
      <c r="J1571" s="105">
        <v>3.23</v>
      </c>
      <c r="K1571" s="106"/>
      <c r="L1571" s="106">
        <v>0</v>
      </c>
      <c r="M1571" s="106">
        <f t="shared" si="95"/>
        <v>0</v>
      </c>
      <c r="N1571" s="106">
        <v>59</v>
      </c>
      <c r="O1571" s="107">
        <v>190.57</v>
      </c>
      <c r="P1571" s="107">
        <v>25930</v>
      </c>
      <c r="Q1571" s="107">
        <v>4941480</v>
      </c>
      <c r="R1571" s="102"/>
      <c r="S1571" s="108"/>
      <c r="T1571" s="109"/>
      <c r="U1571" s="109" t="s">
        <v>30</v>
      </c>
      <c r="V1571" s="102"/>
      <c r="W1571" s="109"/>
      <c r="X1571" s="109"/>
      <c r="Y1571" s="110" t="s">
        <v>31</v>
      </c>
    </row>
    <row r="1572" spans="1:25" s="111" customFormat="1" x14ac:dyDescent="0.2">
      <c r="A1572" s="101">
        <v>46259</v>
      </c>
      <c r="B1572" s="91" t="s">
        <v>1837</v>
      </c>
      <c r="C1572" s="102" t="s">
        <v>1838</v>
      </c>
      <c r="D1572" s="103" t="s">
        <v>1839</v>
      </c>
      <c r="E1572" s="91" t="s">
        <v>1840</v>
      </c>
      <c r="F1572" s="91" t="s">
        <v>552</v>
      </c>
      <c r="G1572" s="91" t="s">
        <v>553</v>
      </c>
      <c r="H1572" s="104" t="str">
        <f t="shared" si="96"/>
        <v>C3146J30</v>
      </c>
      <c r="I1572" s="104"/>
      <c r="J1572" s="105">
        <v>174.24</v>
      </c>
      <c r="K1572" s="106"/>
      <c r="L1572" s="106">
        <v>0</v>
      </c>
      <c r="M1572" s="106">
        <f t="shared" si="95"/>
        <v>0</v>
      </c>
      <c r="N1572" s="106">
        <v>72.45</v>
      </c>
      <c r="O1572" s="107">
        <v>12623.69</v>
      </c>
      <c r="P1572" s="107">
        <v>25930</v>
      </c>
      <c r="Q1572" s="107">
        <v>327332282</v>
      </c>
      <c r="R1572" s="102" t="s">
        <v>30</v>
      </c>
      <c r="S1572" s="108"/>
      <c r="T1572" s="109"/>
      <c r="U1572" s="109"/>
      <c r="V1572" s="102"/>
      <c r="W1572" s="109"/>
      <c r="X1572" s="109"/>
      <c r="Y1572" s="110" t="s">
        <v>31</v>
      </c>
    </row>
    <row r="1573" spans="1:25" s="111" customFormat="1" x14ac:dyDescent="0.2">
      <c r="A1573" s="101">
        <v>46259</v>
      </c>
      <c r="B1573" s="91" t="s">
        <v>1837</v>
      </c>
      <c r="C1573" s="102" t="s">
        <v>1838</v>
      </c>
      <c r="D1573" s="103" t="s">
        <v>1839</v>
      </c>
      <c r="E1573" s="91" t="s">
        <v>1840</v>
      </c>
      <c r="F1573" s="91" t="s">
        <v>1570</v>
      </c>
      <c r="G1573" s="91" t="s">
        <v>1571</v>
      </c>
      <c r="H1573" s="104" t="str">
        <f t="shared" si="96"/>
        <v>C3311J30</v>
      </c>
      <c r="I1573" s="104"/>
      <c r="J1573" s="105">
        <v>190.58</v>
      </c>
      <c r="K1573" s="106"/>
      <c r="L1573" s="106">
        <v>0</v>
      </c>
      <c r="M1573" s="106">
        <f t="shared" si="95"/>
        <v>0</v>
      </c>
      <c r="N1573" s="106">
        <v>73.95</v>
      </c>
      <c r="O1573" s="107">
        <v>14093.24</v>
      </c>
      <c r="P1573" s="107">
        <v>25930</v>
      </c>
      <c r="Q1573" s="107">
        <v>365437713</v>
      </c>
      <c r="R1573" s="102" t="s">
        <v>30</v>
      </c>
      <c r="S1573" s="108"/>
      <c r="T1573" s="109"/>
      <c r="U1573" s="109"/>
      <c r="V1573" s="102"/>
      <c r="W1573" s="109"/>
      <c r="X1573" s="109"/>
      <c r="Y1573" s="110" t="s">
        <v>31</v>
      </c>
    </row>
    <row r="1574" spans="1:25" s="111" customFormat="1" x14ac:dyDescent="0.2">
      <c r="A1574" s="101">
        <v>46259</v>
      </c>
      <c r="B1574" s="91" t="s">
        <v>1845</v>
      </c>
      <c r="C1574" s="102" t="s">
        <v>1846</v>
      </c>
      <c r="D1574" s="103" t="s">
        <v>1839</v>
      </c>
      <c r="E1574" s="91" t="s">
        <v>1847</v>
      </c>
      <c r="F1574" s="91" t="s">
        <v>1848</v>
      </c>
      <c r="G1574" s="91" t="s">
        <v>1849</v>
      </c>
      <c r="H1574" s="104" t="str">
        <f t="shared" si="96"/>
        <v>C2104J20</v>
      </c>
      <c r="I1574" s="104"/>
      <c r="J1574" s="105">
        <v>6.45</v>
      </c>
      <c r="K1574" s="106"/>
      <c r="L1574" s="106">
        <v>0</v>
      </c>
      <c r="M1574" s="106">
        <f t="shared" si="95"/>
        <v>0</v>
      </c>
      <c r="N1574" s="106">
        <v>59</v>
      </c>
      <c r="O1574" s="107">
        <v>380.55</v>
      </c>
      <c r="P1574" s="107">
        <v>25930</v>
      </c>
      <c r="Q1574" s="107">
        <v>9867662</v>
      </c>
      <c r="R1574" s="102"/>
      <c r="S1574" s="108"/>
      <c r="T1574" s="109"/>
      <c r="U1574" s="109" t="s">
        <v>30</v>
      </c>
      <c r="V1574" s="102"/>
      <c r="W1574" s="109"/>
      <c r="X1574" s="109"/>
      <c r="Y1574" s="110" t="s">
        <v>31</v>
      </c>
    </row>
    <row r="1575" spans="1:25" s="111" customFormat="1" x14ac:dyDescent="0.2">
      <c r="A1575" s="101">
        <v>46259</v>
      </c>
      <c r="B1575" s="91" t="s">
        <v>1845</v>
      </c>
      <c r="C1575" s="102" t="s">
        <v>1846</v>
      </c>
      <c r="D1575" s="103" t="s">
        <v>1839</v>
      </c>
      <c r="E1575" s="91" t="s">
        <v>1847</v>
      </c>
      <c r="F1575" s="91" t="s">
        <v>643</v>
      </c>
      <c r="G1575" s="91" t="s">
        <v>642</v>
      </c>
      <c r="H1575" s="104" t="str">
        <f t="shared" si="96"/>
        <v>C2104J30</v>
      </c>
      <c r="I1575" s="104"/>
      <c r="J1575" s="105">
        <v>163.35</v>
      </c>
      <c r="K1575" s="106"/>
      <c r="L1575" s="106">
        <v>0</v>
      </c>
      <c r="M1575" s="106">
        <f t="shared" si="95"/>
        <v>0</v>
      </c>
      <c r="N1575" s="106">
        <v>74.239999999999995</v>
      </c>
      <c r="O1575" s="107">
        <v>12127.84</v>
      </c>
      <c r="P1575" s="107">
        <v>25930</v>
      </c>
      <c r="Q1575" s="107">
        <v>314474891</v>
      </c>
      <c r="R1575" s="102" t="s">
        <v>30</v>
      </c>
      <c r="S1575" s="108"/>
      <c r="T1575" s="109"/>
      <c r="U1575" s="109"/>
      <c r="V1575" s="102"/>
      <c r="W1575" s="109"/>
      <c r="X1575" s="109"/>
      <c r="Y1575" s="110" t="s">
        <v>31</v>
      </c>
    </row>
    <row r="1576" spans="1:25" s="111" customFormat="1" x14ac:dyDescent="0.2">
      <c r="A1576" s="101">
        <v>46259</v>
      </c>
      <c r="B1576" s="91" t="s">
        <v>1845</v>
      </c>
      <c r="C1576" s="102" t="s">
        <v>1846</v>
      </c>
      <c r="D1576" s="103" t="s">
        <v>1839</v>
      </c>
      <c r="E1576" s="91" t="s">
        <v>1847</v>
      </c>
      <c r="F1576" s="91" t="s">
        <v>643</v>
      </c>
      <c r="G1576" s="91" t="s">
        <v>642</v>
      </c>
      <c r="H1576" s="104" t="str">
        <f t="shared" si="96"/>
        <v>C2104J30</v>
      </c>
      <c r="I1576" s="104"/>
      <c r="J1576" s="105">
        <v>212.36</v>
      </c>
      <c r="K1576" s="106"/>
      <c r="L1576" s="106">
        <v>0</v>
      </c>
      <c r="M1576" s="106">
        <f t="shared" si="95"/>
        <v>0</v>
      </c>
      <c r="N1576" s="106">
        <v>74.239999999999995</v>
      </c>
      <c r="O1576" s="107">
        <v>15766.57</v>
      </c>
      <c r="P1576" s="107">
        <v>25930</v>
      </c>
      <c r="Q1576" s="107">
        <v>408827160</v>
      </c>
      <c r="R1576" s="102" t="s">
        <v>30</v>
      </c>
      <c r="S1576" s="108"/>
      <c r="T1576" s="109"/>
      <c r="U1576" s="109"/>
      <c r="V1576" s="102"/>
      <c r="W1576" s="109"/>
      <c r="X1576" s="109"/>
      <c r="Y1576" s="110" t="s">
        <v>31</v>
      </c>
    </row>
    <row r="1577" spans="1:25" s="111" customFormat="1" x14ac:dyDescent="0.2">
      <c r="A1577" s="101">
        <v>46259</v>
      </c>
      <c r="B1577" s="91" t="s">
        <v>1850</v>
      </c>
      <c r="C1577" s="102" t="s">
        <v>1851</v>
      </c>
      <c r="D1577" s="103" t="s">
        <v>26</v>
      </c>
      <c r="E1577" s="91" t="s">
        <v>1852</v>
      </c>
      <c r="F1577" s="91" t="s">
        <v>72</v>
      </c>
      <c r="G1577" s="91" t="s">
        <v>73</v>
      </c>
      <c r="H1577" s="104" t="str">
        <f t="shared" si="96"/>
        <v>C5143J30</v>
      </c>
      <c r="I1577" s="104"/>
      <c r="J1577" s="105">
        <v>21.78</v>
      </c>
      <c r="K1577" s="106"/>
      <c r="L1577" s="106">
        <v>0</v>
      </c>
      <c r="M1577" s="106">
        <f t="shared" si="95"/>
        <v>0</v>
      </c>
      <c r="N1577" s="106">
        <v>77.52</v>
      </c>
      <c r="O1577" s="107">
        <v>1688.43</v>
      </c>
      <c r="P1577" s="107">
        <v>25930</v>
      </c>
      <c r="Q1577" s="107">
        <v>43780990</v>
      </c>
      <c r="R1577" s="102" t="s">
        <v>30</v>
      </c>
      <c r="S1577" s="108"/>
      <c r="T1577" s="109"/>
      <c r="U1577" s="109"/>
      <c r="V1577" s="102"/>
      <c r="W1577" s="109"/>
      <c r="X1577" s="109"/>
      <c r="Y1577" s="110" t="s">
        <v>31</v>
      </c>
    </row>
    <row r="1578" spans="1:25" s="111" customFormat="1" x14ac:dyDescent="0.2">
      <c r="A1578" s="101">
        <v>46259</v>
      </c>
      <c r="B1578" s="91" t="s">
        <v>1850</v>
      </c>
      <c r="C1578" s="102" t="s">
        <v>1851</v>
      </c>
      <c r="D1578" s="103" t="s">
        <v>26</v>
      </c>
      <c r="E1578" s="91" t="s">
        <v>1852</v>
      </c>
      <c r="F1578" s="91" t="s">
        <v>237</v>
      </c>
      <c r="G1578" s="91" t="s">
        <v>73</v>
      </c>
      <c r="H1578" s="104" t="str">
        <f t="shared" si="96"/>
        <v>C5143J30</v>
      </c>
      <c r="I1578" s="104"/>
      <c r="J1578" s="105">
        <v>92.57</v>
      </c>
      <c r="K1578" s="106"/>
      <c r="L1578" s="106">
        <v>0</v>
      </c>
      <c r="M1578" s="106">
        <f t="shared" si="95"/>
        <v>0</v>
      </c>
      <c r="N1578" s="106">
        <v>77.52</v>
      </c>
      <c r="O1578" s="107">
        <v>7176.2</v>
      </c>
      <c r="P1578" s="107">
        <v>25930</v>
      </c>
      <c r="Q1578" s="107">
        <v>186078866</v>
      </c>
      <c r="R1578" s="102" t="s">
        <v>30</v>
      </c>
      <c r="S1578" s="108"/>
      <c r="T1578" s="109"/>
      <c r="U1578" s="109"/>
      <c r="V1578" s="102"/>
      <c r="W1578" s="109"/>
      <c r="X1578" s="109"/>
      <c r="Y1578" s="110" t="s">
        <v>31</v>
      </c>
    </row>
    <row r="1579" spans="1:25" s="111" customFormat="1" x14ac:dyDescent="0.2">
      <c r="A1579" s="101">
        <v>46259</v>
      </c>
      <c r="B1579" s="91" t="s">
        <v>1850</v>
      </c>
      <c r="C1579" s="102" t="s">
        <v>1851</v>
      </c>
      <c r="D1579" s="103" t="s">
        <v>26</v>
      </c>
      <c r="E1579" s="91" t="s">
        <v>1852</v>
      </c>
      <c r="F1579" s="91" t="s">
        <v>28</v>
      </c>
      <c r="G1579" s="91" t="s">
        <v>29</v>
      </c>
      <c r="H1579" s="104" t="str">
        <f t="shared" si="96"/>
        <v>F4001J20</v>
      </c>
      <c r="I1579" s="104"/>
      <c r="J1579" s="105">
        <v>54.45</v>
      </c>
      <c r="K1579" s="106"/>
      <c r="L1579" s="106">
        <v>0</v>
      </c>
      <c r="M1579" s="106">
        <f t="shared" si="95"/>
        <v>0</v>
      </c>
      <c r="N1579" s="106">
        <v>60.9</v>
      </c>
      <c r="O1579" s="107">
        <v>3316</v>
      </c>
      <c r="P1579" s="107">
        <v>25930</v>
      </c>
      <c r="Q1579" s="107">
        <v>85983880</v>
      </c>
      <c r="R1579" s="102" t="s">
        <v>30</v>
      </c>
      <c r="S1579" s="108"/>
      <c r="T1579" s="109"/>
      <c r="U1579" s="109"/>
      <c r="V1579" s="102"/>
      <c r="W1579" s="109"/>
      <c r="X1579" s="109"/>
      <c r="Y1579" s="110" t="s">
        <v>31</v>
      </c>
    </row>
    <row r="1580" spans="1:25" s="111" customFormat="1" x14ac:dyDescent="0.2">
      <c r="A1580" s="101">
        <v>46259</v>
      </c>
      <c r="B1580" s="91" t="s">
        <v>1850</v>
      </c>
      <c r="C1580" s="102" t="s">
        <v>1851</v>
      </c>
      <c r="D1580" s="103" t="s">
        <v>26</v>
      </c>
      <c r="E1580" s="91" t="s">
        <v>1852</v>
      </c>
      <c r="F1580" s="91" t="s">
        <v>1766</v>
      </c>
      <c r="G1580" s="91" t="s">
        <v>1767</v>
      </c>
      <c r="H1580" s="104" t="str">
        <f t="shared" si="96"/>
        <v>F5112J30</v>
      </c>
      <c r="I1580" s="104"/>
      <c r="J1580" s="105">
        <v>38.119999999999997</v>
      </c>
      <c r="K1580" s="106"/>
      <c r="L1580" s="106">
        <v>0</v>
      </c>
      <c r="M1580" s="106">
        <f t="shared" si="95"/>
        <v>0</v>
      </c>
      <c r="N1580" s="106">
        <v>78.790000000000006</v>
      </c>
      <c r="O1580" s="107">
        <v>3003.49</v>
      </c>
      <c r="P1580" s="107">
        <v>25930</v>
      </c>
      <c r="Q1580" s="107">
        <v>77880496</v>
      </c>
      <c r="R1580" s="102" t="s">
        <v>30</v>
      </c>
      <c r="S1580" s="108"/>
      <c r="T1580" s="109"/>
      <c r="U1580" s="109"/>
      <c r="V1580" s="102"/>
      <c r="W1580" s="109"/>
      <c r="X1580" s="109"/>
      <c r="Y1580" s="110" t="s">
        <v>31</v>
      </c>
    </row>
    <row r="1581" spans="1:25" s="111" customFormat="1" x14ac:dyDescent="0.2">
      <c r="A1581" s="101">
        <v>46259</v>
      </c>
      <c r="B1581" s="91" t="s">
        <v>1850</v>
      </c>
      <c r="C1581" s="102" t="s">
        <v>1851</v>
      </c>
      <c r="D1581" s="103" t="s">
        <v>26</v>
      </c>
      <c r="E1581" s="91" t="s">
        <v>1852</v>
      </c>
      <c r="F1581" s="91" t="s">
        <v>456</v>
      </c>
      <c r="G1581" s="91" t="s">
        <v>457</v>
      </c>
      <c r="H1581" s="104" t="str">
        <f t="shared" si="96"/>
        <v>F5131J30</v>
      </c>
      <c r="I1581" s="104"/>
      <c r="J1581" s="105">
        <v>38.119999999999997</v>
      </c>
      <c r="K1581" s="106"/>
      <c r="L1581" s="106">
        <v>0</v>
      </c>
      <c r="M1581" s="106">
        <f t="shared" si="95"/>
        <v>0</v>
      </c>
      <c r="N1581" s="106">
        <v>78.790000000000006</v>
      </c>
      <c r="O1581" s="107">
        <v>3003.49</v>
      </c>
      <c r="P1581" s="107">
        <v>25930</v>
      </c>
      <c r="Q1581" s="107">
        <v>77880496</v>
      </c>
      <c r="R1581" s="102" t="s">
        <v>30</v>
      </c>
      <c r="S1581" s="108"/>
      <c r="T1581" s="109"/>
      <c r="U1581" s="109"/>
      <c r="V1581" s="102"/>
      <c r="W1581" s="109"/>
      <c r="X1581" s="109"/>
      <c r="Y1581" s="110" t="s">
        <v>31</v>
      </c>
    </row>
    <row r="1582" spans="1:25" s="111" customFormat="1" x14ac:dyDescent="0.2">
      <c r="A1582" s="101">
        <v>46259</v>
      </c>
      <c r="B1582" s="91" t="s">
        <v>1850</v>
      </c>
      <c r="C1582" s="102" t="s">
        <v>1851</v>
      </c>
      <c r="D1582" s="103" t="s">
        <v>26</v>
      </c>
      <c r="E1582" s="91" t="s">
        <v>1852</v>
      </c>
      <c r="F1582" s="91" t="s">
        <v>1343</v>
      </c>
      <c r="G1582" s="91" t="s">
        <v>1344</v>
      </c>
      <c r="H1582" s="104" t="str">
        <f t="shared" si="96"/>
        <v>F6134J20</v>
      </c>
      <c r="I1582" s="104"/>
      <c r="J1582" s="105">
        <v>147.02000000000001</v>
      </c>
      <c r="K1582" s="106"/>
      <c r="L1582" s="106">
        <v>0</v>
      </c>
      <c r="M1582" s="106">
        <f t="shared" si="95"/>
        <v>0</v>
      </c>
      <c r="N1582" s="106">
        <v>65</v>
      </c>
      <c r="O1582" s="107">
        <v>9556.2999999999993</v>
      </c>
      <c r="P1582" s="107">
        <v>25930</v>
      </c>
      <c r="Q1582" s="107">
        <v>247794859</v>
      </c>
      <c r="R1582" s="102" t="s">
        <v>30</v>
      </c>
      <c r="S1582" s="108"/>
      <c r="T1582" s="109"/>
      <c r="U1582" s="109"/>
      <c r="V1582" s="102"/>
      <c r="W1582" s="109"/>
      <c r="X1582" s="109"/>
      <c r="Y1582" s="110" t="s">
        <v>31</v>
      </c>
    </row>
    <row r="1583" spans="1:25" s="111" customFormat="1" x14ac:dyDescent="0.2">
      <c r="A1583" s="101">
        <v>46259</v>
      </c>
      <c r="B1583" s="91" t="s">
        <v>1853</v>
      </c>
      <c r="C1583" s="102" t="s">
        <v>1854</v>
      </c>
      <c r="D1583" s="103" t="s">
        <v>26</v>
      </c>
      <c r="E1583" s="91" t="s">
        <v>1855</v>
      </c>
      <c r="F1583" s="91" t="s">
        <v>1222</v>
      </c>
      <c r="G1583" s="91" t="s">
        <v>1223</v>
      </c>
      <c r="H1583" s="104" t="str">
        <f t="shared" si="96"/>
        <v>F5132J20</v>
      </c>
      <c r="I1583" s="104"/>
      <c r="J1583" s="105">
        <v>10.94</v>
      </c>
      <c r="K1583" s="106"/>
      <c r="L1583" s="106">
        <v>0</v>
      </c>
      <c r="M1583" s="106">
        <f t="shared" si="95"/>
        <v>0</v>
      </c>
      <c r="N1583" s="106">
        <v>130.85</v>
      </c>
      <c r="O1583" s="107">
        <v>1431.5</v>
      </c>
      <c r="P1583" s="107">
        <v>25930</v>
      </c>
      <c r="Q1583" s="107">
        <v>37118795</v>
      </c>
      <c r="R1583" s="102"/>
      <c r="S1583" s="108"/>
      <c r="T1583" s="109"/>
      <c r="U1583" s="109" t="s">
        <v>30</v>
      </c>
      <c r="V1583" s="102"/>
      <c r="W1583" s="109"/>
      <c r="X1583" s="109"/>
      <c r="Y1583" s="110" t="s">
        <v>31</v>
      </c>
    </row>
    <row r="1584" spans="1:25" s="111" customFormat="1" x14ac:dyDescent="0.2">
      <c r="A1584" s="101">
        <v>46259</v>
      </c>
      <c r="B1584" s="91" t="s">
        <v>1853</v>
      </c>
      <c r="C1584" s="102" t="s">
        <v>1854</v>
      </c>
      <c r="D1584" s="103" t="s">
        <v>26</v>
      </c>
      <c r="E1584" s="91" t="s">
        <v>1855</v>
      </c>
      <c r="F1584" s="91" t="s">
        <v>1222</v>
      </c>
      <c r="G1584" s="91" t="s">
        <v>1223</v>
      </c>
      <c r="H1584" s="104" t="str">
        <f t="shared" si="96"/>
        <v>F5132J20</v>
      </c>
      <c r="I1584" s="104"/>
      <c r="J1584" s="105">
        <v>10.94</v>
      </c>
      <c r="K1584" s="106"/>
      <c r="L1584" s="106">
        <v>0</v>
      </c>
      <c r="M1584" s="106">
        <f t="shared" si="95"/>
        <v>0</v>
      </c>
      <c r="N1584" s="106">
        <v>130.85</v>
      </c>
      <c r="O1584" s="107">
        <v>1431.5</v>
      </c>
      <c r="P1584" s="107">
        <v>25930</v>
      </c>
      <c r="Q1584" s="107">
        <v>37118795</v>
      </c>
      <c r="R1584" s="102"/>
      <c r="S1584" s="108"/>
      <c r="T1584" s="109"/>
      <c r="U1584" s="109" t="s">
        <v>30</v>
      </c>
      <c r="V1584" s="102"/>
      <c r="W1584" s="109"/>
      <c r="X1584" s="109"/>
      <c r="Y1584" s="110" t="s">
        <v>31</v>
      </c>
    </row>
    <row r="1585" spans="1:25" s="111" customFormat="1" x14ac:dyDescent="0.2">
      <c r="A1585" s="101">
        <v>46259</v>
      </c>
      <c r="B1585" s="91" t="s">
        <v>1853</v>
      </c>
      <c r="C1585" s="102" t="s">
        <v>1854</v>
      </c>
      <c r="D1585" s="103" t="s">
        <v>26</v>
      </c>
      <c r="E1585" s="91" t="s">
        <v>1855</v>
      </c>
      <c r="F1585" s="91" t="s">
        <v>1222</v>
      </c>
      <c r="G1585" s="91" t="s">
        <v>1223</v>
      </c>
      <c r="H1585" s="104" t="str">
        <f t="shared" si="96"/>
        <v>F5132J20</v>
      </c>
      <c r="I1585" s="104"/>
      <c r="J1585" s="105">
        <v>10.94</v>
      </c>
      <c r="K1585" s="106"/>
      <c r="L1585" s="106">
        <v>0</v>
      </c>
      <c r="M1585" s="106">
        <f t="shared" si="95"/>
        <v>0</v>
      </c>
      <c r="N1585" s="106">
        <v>130.85</v>
      </c>
      <c r="O1585" s="107">
        <v>1431.5</v>
      </c>
      <c r="P1585" s="107">
        <v>25930</v>
      </c>
      <c r="Q1585" s="107">
        <v>37118795</v>
      </c>
      <c r="R1585" s="102"/>
      <c r="S1585" s="108"/>
      <c r="T1585" s="109"/>
      <c r="U1585" s="109" t="s">
        <v>30</v>
      </c>
      <c r="V1585" s="102"/>
      <c r="W1585" s="109"/>
      <c r="X1585" s="109"/>
      <c r="Y1585" s="110" t="s">
        <v>31</v>
      </c>
    </row>
    <row r="1586" spans="1:25" s="111" customFormat="1" x14ac:dyDescent="0.2">
      <c r="A1586" s="101">
        <v>46259</v>
      </c>
      <c r="B1586" s="91" t="s">
        <v>1853</v>
      </c>
      <c r="C1586" s="102" t="s">
        <v>1854</v>
      </c>
      <c r="D1586" s="103" t="s">
        <v>26</v>
      </c>
      <c r="E1586" s="91" t="s">
        <v>1855</v>
      </c>
      <c r="F1586" s="91" t="s">
        <v>1856</v>
      </c>
      <c r="G1586" s="91" t="s">
        <v>1857</v>
      </c>
      <c r="H1586" s="104" t="str">
        <f t="shared" si="96"/>
        <v>C5151J20</v>
      </c>
      <c r="I1586" s="104"/>
      <c r="J1586" s="105">
        <v>3.68</v>
      </c>
      <c r="K1586" s="106"/>
      <c r="L1586" s="106">
        <v>0</v>
      </c>
      <c r="M1586" s="106">
        <f t="shared" si="95"/>
        <v>0</v>
      </c>
      <c r="N1586" s="106">
        <v>142.66</v>
      </c>
      <c r="O1586" s="107">
        <v>525</v>
      </c>
      <c r="P1586" s="107">
        <v>25930</v>
      </c>
      <c r="Q1586" s="107">
        <v>13613250</v>
      </c>
      <c r="R1586" s="102"/>
      <c r="S1586" s="108"/>
      <c r="T1586" s="109"/>
      <c r="U1586" s="109" t="s">
        <v>30</v>
      </c>
      <c r="V1586" s="102"/>
      <c r="W1586" s="109"/>
      <c r="X1586" s="109"/>
      <c r="Y1586" s="110" t="s">
        <v>31</v>
      </c>
    </row>
    <row r="1587" spans="1:25" s="111" customFormat="1" x14ac:dyDescent="0.2">
      <c r="A1587" s="101">
        <v>46259</v>
      </c>
      <c r="B1587" s="91" t="s">
        <v>1853</v>
      </c>
      <c r="C1587" s="102" t="s">
        <v>1854</v>
      </c>
      <c r="D1587" s="103" t="s">
        <v>26</v>
      </c>
      <c r="E1587" s="91" t="s">
        <v>1855</v>
      </c>
      <c r="F1587" s="91" t="s">
        <v>1858</v>
      </c>
      <c r="G1587" s="91" t="s">
        <v>1859</v>
      </c>
      <c r="H1587" s="104" t="str">
        <f t="shared" si="96"/>
        <v>F5110J20</v>
      </c>
      <c r="I1587" s="104"/>
      <c r="J1587" s="105">
        <v>6.88</v>
      </c>
      <c r="K1587" s="106"/>
      <c r="L1587" s="106">
        <v>0</v>
      </c>
      <c r="M1587" s="106">
        <f t="shared" si="95"/>
        <v>0</v>
      </c>
      <c r="N1587" s="106">
        <v>96.25</v>
      </c>
      <c r="O1587" s="107">
        <v>662.2</v>
      </c>
      <c r="P1587" s="107">
        <v>25930</v>
      </c>
      <c r="Q1587" s="107">
        <v>17170846</v>
      </c>
      <c r="R1587" s="102"/>
      <c r="S1587" s="108"/>
      <c r="T1587" s="109"/>
      <c r="U1587" s="109" t="s">
        <v>30</v>
      </c>
      <c r="V1587" s="102"/>
      <c r="W1587" s="109"/>
      <c r="X1587" s="109"/>
      <c r="Y1587" s="110" t="s">
        <v>31</v>
      </c>
    </row>
    <row r="1588" spans="1:25" s="111" customFormat="1" x14ac:dyDescent="0.2">
      <c r="A1588" s="101">
        <v>46259</v>
      </c>
      <c r="B1588" s="91" t="s">
        <v>1853</v>
      </c>
      <c r="C1588" s="102" t="s">
        <v>1854</v>
      </c>
      <c r="D1588" s="103" t="s">
        <v>26</v>
      </c>
      <c r="E1588" s="91" t="s">
        <v>1855</v>
      </c>
      <c r="F1588" s="91" t="s">
        <v>922</v>
      </c>
      <c r="G1588" s="91" t="s">
        <v>923</v>
      </c>
      <c r="H1588" s="104" t="str">
        <f t="shared" si="96"/>
        <v>F5131J20</v>
      </c>
      <c r="I1588" s="104"/>
      <c r="J1588" s="105">
        <v>6.88</v>
      </c>
      <c r="K1588" s="106"/>
      <c r="L1588" s="106">
        <v>0</v>
      </c>
      <c r="M1588" s="106">
        <f t="shared" si="95"/>
        <v>0</v>
      </c>
      <c r="N1588" s="106">
        <v>120.87</v>
      </c>
      <c r="O1588" s="107">
        <v>831.6</v>
      </c>
      <c r="P1588" s="107">
        <v>25930</v>
      </c>
      <c r="Q1588" s="107">
        <v>21563388</v>
      </c>
      <c r="R1588" s="102"/>
      <c r="S1588" s="108"/>
      <c r="T1588" s="109"/>
      <c r="U1588" s="109" t="s">
        <v>30</v>
      </c>
      <c r="V1588" s="102"/>
      <c r="W1588" s="109"/>
      <c r="X1588" s="109"/>
      <c r="Y1588" s="110" t="s">
        <v>31</v>
      </c>
    </row>
    <row r="1589" spans="1:25" s="111" customFormat="1" x14ac:dyDescent="0.2">
      <c r="A1589" s="101">
        <v>46259</v>
      </c>
      <c r="B1589" s="91" t="s">
        <v>1853</v>
      </c>
      <c r="C1589" s="102" t="s">
        <v>1854</v>
      </c>
      <c r="D1589" s="103" t="s">
        <v>26</v>
      </c>
      <c r="E1589" s="91" t="s">
        <v>1855</v>
      </c>
      <c r="F1589" s="91" t="s">
        <v>1455</v>
      </c>
      <c r="G1589" s="91" t="s">
        <v>1454</v>
      </c>
      <c r="H1589" s="104" t="str">
        <f t="shared" si="96"/>
        <v>F4033J20</v>
      </c>
      <c r="I1589" s="104"/>
      <c r="J1589" s="105">
        <v>38.11</v>
      </c>
      <c r="K1589" s="106"/>
      <c r="L1589" s="106">
        <v>0</v>
      </c>
      <c r="M1589" s="106">
        <f t="shared" si="95"/>
        <v>0</v>
      </c>
      <c r="N1589" s="106">
        <v>63</v>
      </c>
      <c r="O1589" s="107">
        <v>2400.96</v>
      </c>
      <c r="P1589" s="107">
        <v>25930</v>
      </c>
      <c r="Q1589" s="107">
        <v>62256893</v>
      </c>
      <c r="R1589" s="102" t="s">
        <v>30</v>
      </c>
      <c r="S1589" s="108"/>
      <c r="T1589" s="109"/>
      <c r="U1589" s="109"/>
      <c r="V1589" s="102"/>
      <c r="W1589" s="109"/>
      <c r="X1589" s="109"/>
      <c r="Y1589" s="110" t="s">
        <v>31</v>
      </c>
    </row>
    <row r="1590" spans="1:25" s="111" customFormat="1" x14ac:dyDescent="0.2">
      <c r="A1590" s="101">
        <v>46259</v>
      </c>
      <c r="B1590" s="91" t="s">
        <v>1853</v>
      </c>
      <c r="C1590" s="102" t="s">
        <v>1854</v>
      </c>
      <c r="D1590" s="103" t="s">
        <v>26</v>
      </c>
      <c r="E1590" s="91" t="s">
        <v>1855</v>
      </c>
      <c r="F1590" s="91" t="s">
        <v>1455</v>
      </c>
      <c r="G1590" s="91" t="s">
        <v>1454</v>
      </c>
      <c r="H1590" s="104" t="str">
        <f t="shared" si="96"/>
        <v>F4033J20</v>
      </c>
      <c r="I1590" s="104"/>
      <c r="J1590" s="105">
        <v>16.34</v>
      </c>
      <c r="K1590" s="106"/>
      <c r="L1590" s="106">
        <v>0</v>
      </c>
      <c r="M1590" s="106">
        <f t="shared" si="95"/>
        <v>0</v>
      </c>
      <c r="N1590" s="106">
        <v>63</v>
      </c>
      <c r="O1590" s="107">
        <v>1029.44</v>
      </c>
      <c r="P1590" s="107">
        <v>25930</v>
      </c>
      <c r="Q1590" s="107">
        <v>26693379</v>
      </c>
      <c r="R1590" s="102" t="s">
        <v>30</v>
      </c>
      <c r="S1590" s="108"/>
      <c r="T1590" s="109"/>
      <c r="U1590" s="109"/>
      <c r="V1590" s="102"/>
      <c r="W1590" s="109"/>
      <c r="X1590" s="109"/>
      <c r="Y1590" s="110" t="s">
        <v>31</v>
      </c>
    </row>
    <row r="1591" spans="1:25" s="111" customFormat="1" x14ac:dyDescent="0.2">
      <c r="A1591" s="101">
        <v>46259</v>
      </c>
      <c r="B1591" s="91" t="s">
        <v>1853</v>
      </c>
      <c r="C1591" s="102" t="s">
        <v>1854</v>
      </c>
      <c r="D1591" s="103" t="s">
        <v>26</v>
      </c>
      <c r="E1591" s="91" t="s">
        <v>1855</v>
      </c>
      <c r="F1591" s="91" t="s">
        <v>1518</v>
      </c>
      <c r="G1591" s="91" t="s">
        <v>1519</v>
      </c>
      <c r="H1591" s="104" t="str">
        <f t="shared" si="96"/>
        <v>F4044J30</v>
      </c>
      <c r="I1591" s="104"/>
      <c r="J1591" s="105">
        <v>283.14</v>
      </c>
      <c r="K1591" s="106"/>
      <c r="L1591" s="106">
        <v>0</v>
      </c>
      <c r="M1591" s="106">
        <f t="shared" si="95"/>
        <v>0</v>
      </c>
      <c r="N1591" s="106">
        <v>78.8</v>
      </c>
      <c r="O1591" s="107">
        <v>22311.64</v>
      </c>
      <c r="P1591" s="107">
        <v>25930</v>
      </c>
      <c r="Q1591" s="107">
        <v>578540825</v>
      </c>
      <c r="R1591" s="102" t="s">
        <v>30</v>
      </c>
      <c r="S1591" s="108"/>
      <c r="T1591" s="109"/>
      <c r="U1591" s="109"/>
      <c r="V1591" s="102"/>
      <c r="W1591" s="109"/>
      <c r="X1591" s="109"/>
      <c r="Y1591" s="110" t="s">
        <v>31</v>
      </c>
    </row>
    <row r="1592" spans="1:25" s="111" customFormat="1" x14ac:dyDescent="0.2">
      <c r="A1592" s="101">
        <v>46259</v>
      </c>
      <c r="B1592" s="91" t="s">
        <v>1860</v>
      </c>
      <c r="C1592" s="102" t="s">
        <v>1861</v>
      </c>
      <c r="D1592" s="103" t="s">
        <v>26</v>
      </c>
      <c r="E1592" s="91" t="s">
        <v>1862</v>
      </c>
      <c r="F1592" s="91" t="s">
        <v>895</v>
      </c>
      <c r="G1592" s="91" t="s">
        <v>896</v>
      </c>
      <c r="H1592" s="104" t="str">
        <f t="shared" si="96"/>
        <v>C4143J30</v>
      </c>
      <c r="I1592" s="104"/>
      <c r="J1592" s="105">
        <v>228.69</v>
      </c>
      <c r="K1592" s="106"/>
      <c r="L1592" s="106">
        <v>0</v>
      </c>
      <c r="M1592" s="106">
        <f t="shared" si="95"/>
        <v>0</v>
      </c>
      <c r="N1592" s="106">
        <v>74.8</v>
      </c>
      <c r="O1592" s="107">
        <v>17106.18</v>
      </c>
      <c r="P1592" s="107">
        <v>25930</v>
      </c>
      <c r="Q1592" s="107">
        <v>443563247</v>
      </c>
      <c r="R1592" s="102" t="s">
        <v>30</v>
      </c>
      <c r="S1592" s="108"/>
      <c r="T1592" s="109"/>
      <c r="U1592" s="109"/>
      <c r="V1592" s="102"/>
      <c r="W1592" s="109"/>
      <c r="X1592" s="109"/>
      <c r="Y1592" s="110" t="s">
        <v>31</v>
      </c>
    </row>
    <row r="1593" spans="1:25" s="111" customFormat="1" x14ac:dyDescent="0.2">
      <c r="A1593" s="101">
        <v>46259</v>
      </c>
      <c r="B1593" s="91" t="s">
        <v>1860</v>
      </c>
      <c r="C1593" s="102" t="s">
        <v>1861</v>
      </c>
      <c r="D1593" s="103" t="s">
        <v>26</v>
      </c>
      <c r="E1593" s="91" t="s">
        <v>1862</v>
      </c>
      <c r="F1593" s="91" t="s">
        <v>1863</v>
      </c>
      <c r="G1593" s="91" t="s">
        <v>1864</v>
      </c>
      <c r="H1593" s="104" t="str">
        <f t="shared" si="96"/>
        <v>F4033J30</v>
      </c>
      <c r="I1593" s="104"/>
      <c r="J1593" s="105">
        <v>10.89</v>
      </c>
      <c r="K1593" s="106"/>
      <c r="L1593" s="106">
        <v>0</v>
      </c>
      <c r="M1593" s="106">
        <f t="shared" si="95"/>
        <v>0</v>
      </c>
      <c r="N1593" s="106">
        <v>78.8</v>
      </c>
      <c r="O1593" s="107">
        <v>858.14</v>
      </c>
      <c r="P1593" s="107">
        <v>25930</v>
      </c>
      <c r="Q1593" s="107">
        <v>22251570</v>
      </c>
      <c r="R1593" s="102" t="s">
        <v>30</v>
      </c>
      <c r="S1593" s="108"/>
      <c r="T1593" s="109"/>
      <c r="U1593" s="109"/>
      <c r="V1593" s="102"/>
      <c r="W1593" s="109"/>
      <c r="X1593" s="109"/>
      <c r="Y1593" s="110" t="s">
        <v>31</v>
      </c>
    </row>
    <row r="1594" spans="1:25" s="111" customFormat="1" x14ac:dyDescent="0.2">
      <c r="A1594" s="101">
        <v>46259</v>
      </c>
      <c r="B1594" s="91" t="s">
        <v>1860</v>
      </c>
      <c r="C1594" s="102" t="s">
        <v>1861</v>
      </c>
      <c r="D1594" s="103" t="s">
        <v>26</v>
      </c>
      <c r="E1594" s="91" t="s">
        <v>1862</v>
      </c>
      <c r="F1594" s="91" t="s">
        <v>1865</v>
      </c>
      <c r="G1594" s="91" t="s">
        <v>1864</v>
      </c>
      <c r="H1594" s="104" t="str">
        <f t="shared" si="96"/>
        <v>F4033J30</v>
      </c>
      <c r="I1594" s="104"/>
      <c r="J1594" s="105">
        <v>21.78</v>
      </c>
      <c r="K1594" s="106"/>
      <c r="L1594" s="106">
        <v>0</v>
      </c>
      <c r="M1594" s="106">
        <f t="shared" si="95"/>
        <v>0</v>
      </c>
      <c r="N1594" s="106">
        <v>78.8</v>
      </c>
      <c r="O1594" s="107">
        <v>1716.28</v>
      </c>
      <c r="P1594" s="107">
        <v>25930</v>
      </c>
      <c r="Q1594" s="107">
        <v>44503140</v>
      </c>
      <c r="R1594" s="102" t="s">
        <v>30</v>
      </c>
      <c r="S1594" s="108"/>
      <c r="T1594" s="109"/>
      <c r="U1594" s="109"/>
      <c r="V1594" s="102"/>
      <c r="W1594" s="109"/>
      <c r="X1594" s="109"/>
      <c r="Y1594" s="110" t="s">
        <v>31</v>
      </c>
    </row>
    <row r="1595" spans="1:25" s="111" customFormat="1" x14ac:dyDescent="0.2">
      <c r="A1595" s="101">
        <v>46259</v>
      </c>
      <c r="B1595" s="91" t="s">
        <v>1860</v>
      </c>
      <c r="C1595" s="102" t="s">
        <v>1861</v>
      </c>
      <c r="D1595" s="103" t="s">
        <v>26</v>
      </c>
      <c r="E1595" s="91" t="s">
        <v>1862</v>
      </c>
      <c r="F1595" s="91" t="s">
        <v>270</v>
      </c>
      <c r="G1595" s="91" t="s">
        <v>271</v>
      </c>
      <c r="H1595" s="104" t="str">
        <f t="shared" si="96"/>
        <v>F4044J20</v>
      </c>
      <c r="I1595" s="104"/>
      <c r="J1595" s="105">
        <v>43.56</v>
      </c>
      <c r="K1595" s="106"/>
      <c r="L1595" s="106">
        <v>0</v>
      </c>
      <c r="M1595" s="106">
        <f t="shared" si="95"/>
        <v>0</v>
      </c>
      <c r="N1595" s="106">
        <v>63</v>
      </c>
      <c r="O1595" s="107">
        <v>2744.32</v>
      </c>
      <c r="P1595" s="107">
        <v>25930</v>
      </c>
      <c r="Q1595" s="107">
        <v>71160218</v>
      </c>
      <c r="R1595" s="102" t="s">
        <v>30</v>
      </c>
      <c r="S1595" s="108"/>
      <c r="T1595" s="109"/>
      <c r="U1595" s="109"/>
      <c r="V1595" s="102"/>
      <c r="W1595" s="109"/>
      <c r="X1595" s="109"/>
      <c r="Y1595" s="110" t="s">
        <v>31</v>
      </c>
    </row>
    <row r="1596" spans="1:25" s="111" customFormat="1" x14ac:dyDescent="0.2">
      <c r="A1596" s="101">
        <v>46259</v>
      </c>
      <c r="B1596" s="91" t="s">
        <v>1860</v>
      </c>
      <c r="C1596" s="102" t="s">
        <v>1861</v>
      </c>
      <c r="D1596" s="103" t="s">
        <v>26</v>
      </c>
      <c r="E1596" s="91" t="s">
        <v>1862</v>
      </c>
      <c r="F1596" s="91" t="s">
        <v>90</v>
      </c>
      <c r="G1596" s="91" t="s">
        <v>91</v>
      </c>
      <c r="H1596" s="104" t="str">
        <f t="shared" si="96"/>
        <v>F6131J30</v>
      </c>
      <c r="I1596" s="104"/>
      <c r="J1596" s="105">
        <v>76.23</v>
      </c>
      <c r="K1596" s="106"/>
      <c r="L1596" s="106">
        <v>0</v>
      </c>
      <c r="M1596" s="106">
        <f t="shared" si="95"/>
        <v>0</v>
      </c>
      <c r="N1596" s="106">
        <v>81.400000000000006</v>
      </c>
      <c r="O1596" s="107">
        <v>6205.08</v>
      </c>
      <c r="P1596" s="107">
        <v>25930</v>
      </c>
      <c r="Q1596" s="107">
        <v>160897724</v>
      </c>
      <c r="R1596" s="102" t="s">
        <v>30</v>
      </c>
      <c r="S1596" s="108"/>
      <c r="T1596" s="109"/>
      <c r="U1596" s="109"/>
      <c r="V1596" s="102"/>
      <c r="W1596" s="109"/>
      <c r="X1596" s="109"/>
      <c r="Y1596" s="110" t="s">
        <v>31</v>
      </c>
    </row>
    <row r="1597" spans="1:25" s="111" customFormat="1" x14ac:dyDescent="0.2">
      <c r="A1597" s="101">
        <v>46259</v>
      </c>
      <c r="B1597" s="91" t="s">
        <v>1866</v>
      </c>
      <c r="C1597" s="102" t="s">
        <v>1867</v>
      </c>
      <c r="D1597" s="103" t="s">
        <v>427</v>
      </c>
      <c r="E1597" s="91" t="s">
        <v>1868</v>
      </c>
      <c r="F1597" s="91" t="s">
        <v>1869</v>
      </c>
      <c r="G1597" s="91" t="s">
        <v>1870</v>
      </c>
      <c r="H1597" s="104" t="str">
        <f t="shared" si="96"/>
        <v>C5341J20</v>
      </c>
      <c r="I1597" s="104"/>
      <c r="J1597" s="105">
        <v>2.58</v>
      </c>
      <c r="K1597" s="106"/>
      <c r="L1597" s="106">
        <v>0</v>
      </c>
      <c r="M1597" s="106">
        <f t="shared" si="95"/>
        <v>0</v>
      </c>
      <c r="N1597" s="106">
        <v>63</v>
      </c>
      <c r="O1597" s="107">
        <v>162.54</v>
      </c>
      <c r="P1597" s="107">
        <v>25930</v>
      </c>
      <c r="Q1597" s="107">
        <v>4214662</v>
      </c>
      <c r="R1597" s="102"/>
      <c r="S1597" s="108"/>
      <c r="T1597" s="109"/>
      <c r="U1597" s="109" t="s">
        <v>30</v>
      </c>
      <c r="V1597" s="102"/>
      <c r="W1597" s="109"/>
      <c r="X1597" s="109"/>
      <c r="Y1597" s="110" t="s">
        <v>31</v>
      </c>
    </row>
    <row r="1598" spans="1:25" s="111" customFormat="1" x14ac:dyDescent="0.2">
      <c r="A1598" s="101">
        <v>46259</v>
      </c>
      <c r="B1598" s="91" t="s">
        <v>1866</v>
      </c>
      <c r="C1598" s="102" t="s">
        <v>1867</v>
      </c>
      <c r="D1598" s="103" t="s">
        <v>427</v>
      </c>
      <c r="E1598" s="91" t="s">
        <v>1868</v>
      </c>
      <c r="F1598" s="91" t="s">
        <v>554</v>
      </c>
      <c r="G1598" s="91" t="s">
        <v>555</v>
      </c>
      <c r="H1598" s="104" t="str">
        <f t="shared" si="96"/>
        <v>C4145J30</v>
      </c>
      <c r="I1598" s="104"/>
      <c r="J1598" s="105">
        <v>108.9</v>
      </c>
      <c r="K1598" s="106"/>
      <c r="L1598" s="106">
        <v>0</v>
      </c>
      <c r="M1598" s="106">
        <f t="shared" si="95"/>
        <v>0</v>
      </c>
      <c r="N1598" s="106">
        <v>77.260000000000005</v>
      </c>
      <c r="O1598" s="107">
        <v>8413.34</v>
      </c>
      <c r="P1598" s="107">
        <v>25930</v>
      </c>
      <c r="Q1598" s="107">
        <v>218157906</v>
      </c>
      <c r="R1598" s="102" t="s">
        <v>30</v>
      </c>
      <c r="S1598" s="108"/>
      <c r="T1598" s="109"/>
      <c r="U1598" s="109"/>
      <c r="V1598" s="102"/>
      <c r="W1598" s="109"/>
      <c r="X1598" s="109"/>
      <c r="Y1598" s="110" t="s">
        <v>31</v>
      </c>
    </row>
    <row r="1599" spans="1:25" s="111" customFormat="1" x14ac:dyDescent="0.2">
      <c r="A1599" s="101">
        <v>46259</v>
      </c>
      <c r="B1599" s="91" t="s">
        <v>1866</v>
      </c>
      <c r="C1599" s="102" t="s">
        <v>1867</v>
      </c>
      <c r="D1599" s="103" t="s">
        <v>427</v>
      </c>
      <c r="E1599" s="91" t="s">
        <v>1868</v>
      </c>
      <c r="F1599" s="91" t="s">
        <v>1294</v>
      </c>
      <c r="G1599" s="91" t="s">
        <v>1295</v>
      </c>
      <c r="H1599" s="104" t="str">
        <f t="shared" si="96"/>
        <v>C5225J30</v>
      </c>
      <c r="I1599" s="104"/>
      <c r="J1599" s="105">
        <v>38.119999999999997</v>
      </c>
      <c r="K1599" s="106"/>
      <c r="L1599" s="106">
        <v>0</v>
      </c>
      <c r="M1599" s="106">
        <f t="shared" si="95"/>
        <v>0</v>
      </c>
      <c r="N1599" s="106">
        <v>87.78</v>
      </c>
      <c r="O1599" s="107">
        <v>3346.17</v>
      </c>
      <c r="P1599" s="107">
        <v>25930</v>
      </c>
      <c r="Q1599" s="107">
        <v>86766188</v>
      </c>
      <c r="R1599" s="102" t="s">
        <v>30</v>
      </c>
      <c r="S1599" s="108"/>
      <c r="T1599" s="109"/>
      <c r="U1599" s="109"/>
      <c r="V1599" s="102"/>
      <c r="W1599" s="109"/>
      <c r="X1599" s="109"/>
      <c r="Y1599" s="110" t="s">
        <v>31</v>
      </c>
    </row>
    <row r="1600" spans="1:25" s="111" customFormat="1" x14ac:dyDescent="0.2">
      <c r="A1600" s="101">
        <v>46259</v>
      </c>
      <c r="B1600" s="91" t="s">
        <v>1866</v>
      </c>
      <c r="C1600" s="102" t="s">
        <v>1867</v>
      </c>
      <c r="D1600" s="103" t="s">
        <v>427</v>
      </c>
      <c r="E1600" s="91" t="s">
        <v>1868</v>
      </c>
      <c r="F1600" s="91" t="s">
        <v>1296</v>
      </c>
      <c r="G1600" s="91" t="s">
        <v>1295</v>
      </c>
      <c r="H1600" s="104" t="str">
        <f t="shared" si="96"/>
        <v>C5225J30</v>
      </c>
      <c r="I1600" s="104"/>
      <c r="J1600" s="105">
        <v>16.329999999999998</v>
      </c>
      <c r="K1600" s="106"/>
      <c r="L1600" s="106">
        <v>0</v>
      </c>
      <c r="M1600" s="106">
        <f t="shared" si="95"/>
        <v>0</v>
      </c>
      <c r="N1600" s="106">
        <v>87.78</v>
      </c>
      <c r="O1600" s="107">
        <v>1433.45</v>
      </c>
      <c r="P1600" s="107">
        <v>25930</v>
      </c>
      <c r="Q1600" s="107">
        <v>37169359</v>
      </c>
      <c r="R1600" s="102" t="s">
        <v>30</v>
      </c>
      <c r="S1600" s="108"/>
      <c r="T1600" s="109"/>
      <c r="U1600" s="109"/>
      <c r="V1600" s="102"/>
      <c r="W1600" s="109"/>
      <c r="X1600" s="109"/>
      <c r="Y1600" s="110" t="s">
        <v>31</v>
      </c>
    </row>
    <row r="1601" spans="1:25" s="111" customFormat="1" x14ac:dyDescent="0.2">
      <c r="A1601" s="101">
        <v>46259</v>
      </c>
      <c r="B1601" s="91" t="s">
        <v>1866</v>
      </c>
      <c r="C1601" s="102" t="s">
        <v>1867</v>
      </c>
      <c r="D1601" s="103" t="s">
        <v>427</v>
      </c>
      <c r="E1601" s="91" t="s">
        <v>1868</v>
      </c>
      <c r="F1601" s="91" t="s">
        <v>228</v>
      </c>
      <c r="G1601" s="91" t="s">
        <v>227</v>
      </c>
      <c r="H1601" s="104" t="str">
        <f t="shared" si="96"/>
        <v>C5331J30</v>
      </c>
      <c r="I1601" s="104"/>
      <c r="J1601" s="105">
        <v>21.78</v>
      </c>
      <c r="K1601" s="106"/>
      <c r="L1601" s="106">
        <v>0</v>
      </c>
      <c r="M1601" s="106">
        <f t="shared" si="95"/>
        <v>0</v>
      </c>
      <c r="N1601" s="106">
        <v>89.25</v>
      </c>
      <c r="O1601" s="107">
        <v>1943.87</v>
      </c>
      <c r="P1601" s="107">
        <v>25930</v>
      </c>
      <c r="Q1601" s="107">
        <v>50404549</v>
      </c>
      <c r="R1601" s="102" t="s">
        <v>30</v>
      </c>
      <c r="S1601" s="108"/>
      <c r="T1601" s="109"/>
      <c r="U1601" s="109"/>
      <c r="V1601" s="102"/>
      <c r="W1601" s="109"/>
      <c r="X1601" s="109"/>
      <c r="Y1601" s="110" t="s">
        <v>31</v>
      </c>
    </row>
    <row r="1602" spans="1:25" s="111" customFormat="1" x14ac:dyDescent="0.2">
      <c r="A1602" s="101">
        <v>46259</v>
      </c>
      <c r="B1602" s="91" t="s">
        <v>1866</v>
      </c>
      <c r="C1602" s="102" t="s">
        <v>1867</v>
      </c>
      <c r="D1602" s="103" t="s">
        <v>427</v>
      </c>
      <c r="E1602" s="91" t="s">
        <v>1868</v>
      </c>
      <c r="F1602" s="91" t="s">
        <v>1871</v>
      </c>
      <c r="G1602" s="91" t="s">
        <v>1872</v>
      </c>
      <c r="H1602" s="104" t="str">
        <f t="shared" si="96"/>
        <v>C5445J30</v>
      </c>
      <c r="I1602" s="104"/>
      <c r="J1602" s="105">
        <v>54.45</v>
      </c>
      <c r="K1602" s="106"/>
      <c r="L1602" s="106">
        <v>0</v>
      </c>
      <c r="M1602" s="106">
        <f t="shared" si="95"/>
        <v>0</v>
      </c>
      <c r="N1602" s="106">
        <v>80.849999999999994</v>
      </c>
      <c r="O1602" s="107">
        <v>4402.28</v>
      </c>
      <c r="P1602" s="107">
        <v>25930</v>
      </c>
      <c r="Q1602" s="107">
        <v>114151120</v>
      </c>
      <c r="R1602" s="102" t="s">
        <v>30</v>
      </c>
      <c r="S1602" s="108"/>
      <c r="T1602" s="109"/>
      <c r="U1602" s="109"/>
      <c r="V1602" s="102"/>
      <c r="W1602" s="109"/>
      <c r="X1602" s="109"/>
      <c r="Y1602" s="110" t="s">
        <v>31</v>
      </c>
    </row>
    <row r="1603" spans="1:25" s="111" customFormat="1" x14ac:dyDescent="0.2">
      <c r="A1603" s="101">
        <v>46259</v>
      </c>
      <c r="B1603" s="91" t="s">
        <v>1873</v>
      </c>
      <c r="C1603" s="102" t="s">
        <v>1874</v>
      </c>
      <c r="D1603" s="103" t="s">
        <v>1875</v>
      </c>
      <c r="E1603" s="91" t="s">
        <v>1876</v>
      </c>
      <c r="F1603" s="91" t="s">
        <v>51</v>
      </c>
      <c r="G1603" s="91" t="s">
        <v>50</v>
      </c>
      <c r="H1603" s="104" t="str">
        <f t="shared" si="96"/>
        <v>C4246J30</v>
      </c>
      <c r="I1603" s="104"/>
      <c r="J1603" s="105">
        <v>27.22</v>
      </c>
      <c r="K1603" s="106"/>
      <c r="L1603" s="106">
        <v>0</v>
      </c>
      <c r="M1603" s="106">
        <f t="shared" si="95"/>
        <v>0</v>
      </c>
      <c r="N1603" s="106">
        <v>77.7</v>
      </c>
      <c r="O1603" s="107">
        <v>2114.9899999999998</v>
      </c>
      <c r="P1603" s="107">
        <v>25930</v>
      </c>
      <c r="Q1603" s="107">
        <v>54841691</v>
      </c>
      <c r="R1603" s="102" t="s">
        <v>30</v>
      </c>
      <c r="S1603" s="108"/>
      <c r="T1603" s="109"/>
      <c r="U1603" s="109"/>
      <c r="V1603" s="102"/>
      <c r="W1603" s="109"/>
      <c r="X1603" s="109"/>
      <c r="Y1603" s="110" t="s">
        <v>31</v>
      </c>
    </row>
    <row r="1604" spans="1:25" s="111" customFormat="1" x14ac:dyDescent="0.2">
      <c r="A1604" s="101">
        <v>46259</v>
      </c>
      <c r="B1604" s="91" t="s">
        <v>1873</v>
      </c>
      <c r="C1604" s="102" t="s">
        <v>1874</v>
      </c>
      <c r="D1604" s="103" t="s">
        <v>1875</v>
      </c>
      <c r="E1604" s="91" t="s">
        <v>1876</v>
      </c>
      <c r="F1604" s="91" t="s">
        <v>52</v>
      </c>
      <c r="G1604" s="91" t="s">
        <v>50</v>
      </c>
      <c r="H1604" s="104" t="str">
        <f t="shared" si="96"/>
        <v>C4246J30</v>
      </c>
      <c r="I1604" s="104"/>
      <c r="J1604" s="105">
        <v>81.680000000000007</v>
      </c>
      <c r="K1604" s="106"/>
      <c r="L1604" s="106">
        <v>0</v>
      </c>
      <c r="M1604" s="106">
        <f t="shared" si="95"/>
        <v>0</v>
      </c>
      <c r="N1604" s="106">
        <v>77.7</v>
      </c>
      <c r="O1604" s="107">
        <v>6346.54</v>
      </c>
      <c r="P1604" s="107">
        <v>25930</v>
      </c>
      <c r="Q1604" s="107">
        <v>164565782</v>
      </c>
      <c r="R1604" s="102" t="s">
        <v>30</v>
      </c>
      <c r="S1604" s="108"/>
      <c r="T1604" s="109"/>
      <c r="U1604" s="109"/>
      <c r="V1604" s="102"/>
      <c r="W1604" s="109"/>
      <c r="X1604" s="109"/>
      <c r="Y1604" s="110" t="s">
        <v>31</v>
      </c>
    </row>
    <row r="1605" spans="1:25" s="111" customFormat="1" x14ac:dyDescent="0.2">
      <c r="A1605" s="101">
        <v>46259</v>
      </c>
      <c r="B1605" s="91" t="s">
        <v>1873</v>
      </c>
      <c r="C1605" s="102" t="s">
        <v>1874</v>
      </c>
      <c r="D1605" s="103" t="s">
        <v>1875</v>
      </c>
      <c r="E1605" s="91" t="s">
        <v>1876</v>
      </c>
      <c r="F1605" s="91" t="s">
        <v>1877</v>
      </c>
      <c r="G1605" s="91" t="s">
        <v>1878</v>
      </c>
      <c r="H1605" s="104" t="str">
        <f t="shared" si="96"/>
        <v>C4254J30</v>
      </c>
      <c r="I1605" s="104"/>
      <c r="J1605" s="105">
        <v>136.13</v>
      </c>
      <c r="K1605" s="106"/>
      <c r="L1605" s="106">
        <v>0</v>
      </c>
      <c r="M1605" s="106">
        <f t="shared" si="95"/>
        <v>0</v>
      </c>
      <c r="N1605" s="106">
        <v>75.489999999999995</v>
      </c>
      <c r="O1605" s="107">
        <v>10276.74</v>
      </c>
      <c r="P1605" s="107">
        <v>25930</v>
      </c>
      <c r="Q1605" s="107">
        <v>266475868</v>
      </c>
      <c r="R1605" s="102" t="s">
        <v>30</v>
      </c>
      <c r="S1605" s="108"/>
      <c r="T1605" s="109"/>
      <c r="U1605" s="109"/>
      <c r="V1605" s="102"/>
      <c r="W1605" s="109"/>
      <c r="X1605" s="109"/>
      <c r="Y1605" s="110" t="s">
        <v>31</v>
      </c>
    </row>
    <row r="1606" spans="1:25" s="111" customFormat="1" x14ac:dyDescent="0.2">
      <c r="A1606" s="101">
        <v>46259</v>
      </c>
      <c r="B1606" s="91" t="s">
        <v>1873</v>
      </c>
      <c r="C1606" s="102" t="s">
        <v>1874</v>
      </c>
      <c r="D1606" s="103" t="s">
        <v>1875</v>
      </c>
      <c r="E1606" s="91" t="s">
        <v>1876</v>
      </c>
      <c r="F1606" s="91" t="s">
        <v>1879</v>
      </c>
      <c r="G1606" s="91" t="s">
        <v>1878</v>
      </c>
      <c r="H1606" s="104" t="str">
        <f t="shared" si="96"/>
        <v>C4254J30</v>
      </c>
      <c r="I1606" s="104"/>
      <c r="J1606" s="105">
        <v>10.89</v>
      </c>
      <c r="K1606" s="106"/>
      <c r="L1606" s="106">
        <v>0</v>
      </c>
      <c r="M1606" s="106">
        <f t="shared" si="95"/>
        <v>0</v>
      </c>
      <c r="N1606" s="106">
        <v>75.489999999999995</v>
      </c>
      <c r="O1606" s="107">
        <v>822.11</v>
      </c>
      <c r="P1606" s="107">
        <v>25930</v>
      </c>
      <c r="Q1606" s="107">
        <v>21317312</v>
      </c>
      <c r="R1606" s="102" t="s">
        <v>30</v>
      </c>
      <c r="S1606" s="108"/>
      <c r="T1606" s="109"/>
      <c r="U1606" s="109"/>
      <c r="V1606" s="102"/>
      <c r="W1606" s="109"/>
      <c r="X1606" s="109"/>
      <c r="Y1606" s="110" t="s">
        <v>31</v>
      </c>
    </row>
    <row r="1607" spans="1:25" s="111" customFormat="1" x14ac:dyDescent="0.2">
      <c r="A1607" s="101">
        <v>46259</v>
      </c>
      <c r="B1607" s="91" t="s">
        <v>1873</v>
      </c>
      <c r="C1607" s="102" t="s">
        <v>1874</v>
      </c>
      <c r="D1607" s="103" t="s">
        <v>1875</v>
      </c>
      <c r="E1607" s="91" t="s">
        <v>1876</v>
      </c>
      <c r="F1607" s="91" t="s">
        <v>1880</v>
      </c>
      <c r="G1607" s="91" t="s">
        <v>1878</v>
      </c>
      <c r="H1607" s="104" t="str">
        <f t="shared" si="96"/>
        <v>C4254J30</v>
      </c>
      <c r="I1607" s="104"/>
      <c r="J1607" s="105">
        <v>38.11</v>
      </c>
      <c r="K1607" s="106"/>
      <c r="L1607" s="106">
        <v>0</v>
      </c>
      <c r="M1607" s="106">
        <f t="shared" si="95"/>
        <v>0</v>
      </c>
      <c r="N1607" s="106">
        <v>75.489999999999995</v>
      </c>
      <c r="O1607" s="107">
        <v>2877</v>
      </c>
      <c r="P1607" s="107">
        <v>25930</v>
      </c>
      <c r="Q1607" s="107">
        <v>74600610</v>
      </c>
      <c r="R1607" s="102" t="s">
        <v>30</v>
      </c>
      <c r="S1607" s="108"/>
      <c r="T1607" s="109"/>
      <c r="U1607" s="109"/>
      <c r="V1607" s="102"/>
      <c r="W1607" s="109"/>
      <c r="X1607" s="109"/>
      <c r="Y1607" s="110" t="s">
        <v>31</v>
      </c>
    </row>
    <row r="1608" spans="1:25" s="111" customFormat="1" x14ac:dyDescent="0.2">
      <c r="A1608" s="101">
        <v>46259</v>
      </c>
      <c r="B1608" s="91" t="s">
        <v>1873</v>
      </c>
      <c r="C1608" s="102" t="s">
        <v>1874</v>
      </c>
      <c r="D1608" s="103" t="s">
        <v>1875</v>
      </c>
      <c r="E1608" s="91" t="s">
        <v>1876</v>
      </c>
      <c r="F1608" s="91" t="s">
        <v>1881</v>
      </c>
      <c r="G1608" s="91" t="s">
        <v>1882</v>
      </c>
      <c r="H1608" s="104" t="str">
        <f t="shared" si="96"/>
        <v>C5366J30</v>
      </c>
      <c r="I1608" s="104"/>
      <c r="J1608" s="105">
        <v>27.23</v>
      </c>
      <c r="K1608" s="106"/>
      <c r="L1608" s="106">
        <v>0</v>
      </c>
      <c r="M1608" s="106">
        <f t="shared" si="95"/>
        <v>0</v>
      </c>
      <c r="N1608" s="106">
        <v>82.95</v>
      </c>
      <c r="O1608" s="107">
        <v>2258.73</v>
      </c>
      <c r="P1608" s="107">
        <v>25930</v>
      </c>
      <c r="Q1608" s="107">
        <v>58568869</v>
      </c>
      <c r="R1608" s="102" t="s">
        <v>30</v>
      </c>
      <c r="S1608" s="108"/>
      <c r="T1608" s="109"/>
      <c r="U1608" s="109"/>
      <c r="V1608" s="102"/>
      <c r="W1608" s="109"/>
      <c r="X1608" s="109"/>
      <c r="Y1608" s="110" t="s">
        <v>31</v>
      </c>
    </row>
    <row r="1609" spans="1:25" s="111" customFormat="1" x14ac:dyDescent="0.2">
      <c r="A1609" s="101">
        <v>46259</v>
      </c>
      <c r="B1609" s="91" t="s">
        <v>1873</v>
      </c>
      <c r="C1609" s="102" t="s">
        <v>1874</v>
      </c>
      <c r="D1609" s="103" t="s">
        <v>1875</v>
      </c>
      <c r="E1609" s="91" t="s">
        <v>1876</v>
      </c>
      <c r="F1609" s="91" t="s">
        <v>1881</v>
      </c>
      <c r="G1609" s="91" t="s">
        <v>1882</v>
      </c>
      <c r="H1609" s="104" t="str">
        <f t="shared" si="96"/>
        <v>C5366J30</v>
      </c>
      <c r="I1609" s="104"/>
      <c r="J1609" s="105">
        <v>10.89</v>
      </c>
      <c r="K1609" s="106"/>
      <c r="L1609" s="106">
        <v>0</v>
      </c>
      <c r="M1609" s="106">
        <f t="shared" si="95"/>
        <v>0</v>
      </c>
      <c r="N1609" s="106">
        <v>82.95</v>
      </c>
      <c r="O1609" s="107">
        <v>903.33</v>
      </c>
      <c r="P1609" s="107">
        <v>25930</v>
      </c>
      <c r="Q1609" s="107">
        <v>23423347</v>
      </c>
      <c r="R1609" s="102" t="s">
        <v>30</v>
      </c>
      <c r="S1609" s="108"/>
      <c r="T1609" s="109"/>
      <c r="U1609" s="109"/>
      <c r="V1609" s="102"/>
      <c r="W1609" s="109"/>
      <c r="X1609" s="109"/>
      <c r="Y1609" s="110" t="s">
        <v>31</v>
      </c>
    </row>
    <row r="1610" spans="1:25" s="111" customFormat="1" x14ac:dyDescent="0.2">
      <c r="A1610" s="101">
        <v>46259</v>
      </c>
      <c r="B1610" s="91" t="s">
        <v>1873</v>
      </c>
      <c r="C1610" s="102" t="s">
        <v>1874</v>
      </c>
      <c r="D1610" s="103" t="s">
        <v>1875</v>
      </c>
      <c r="E1610" s="91" t="s">
        <v>1876</v>
      </c>
      <c r="F1610" s="91" t="s">
        <v>1883</v>
      </c>
      <c r="G1610" s="91" t="s">
        <v>1882</v>
      </c>
      <c r="H1610" s="104" t="str">
        <f t="shared" si="96"/>
        <v>C5366J30</v>
      </c>
      <c r="I1610" s="104"/>
      <c r="J1610" s="105">
        <v>43.56</v>
      </c>
      <c r="K1610" s="106"/>
      <c r="L1610" s="106">
        <v>0</v>
      </c>
      <c r="M1610" s="106">
        <f t="shared" si="95"/>
        <v>0</v>
      </c>
      <c r="N1610" s="106">
        <v>82.95</v>
      </c>
      <c r="O1610" s="107">
        <v>3613.3</v>
      </c>
      <c r="P1610" s="107">
        <v>25930</v>
      </c>
      <c r="Q1610" s="107">
        <v>93692869</v>
      </c>
      <c r="R1610" s="102" t="s">
        <v>30</v>
      </c>
      <c r="S1610" s="108"/>
      <c r="T1610" s="109"/>
      <c r="U1610" s="109"/>
      <c r="V1610" s="102"/>
      <c r="W1610" s="109"/>
      <c r="X1610" s="109"/>
      <c r="Y1610" s="110" t="s">
        <v>31</v>
      </c>
    </row>
    <row r="1611" spans="1:25" s="111" customFormat="1" x14ac:dyDescent="0.2">
      <c r="A1611" s="101">
        <v>46259</v>
      </c>
      <c r="B1611" s="91" t="s">
        <v>1873</v>
      </c>
      <c r="C1611" s="102" t="s">
        <v>1874</v>
      </c>
      <c r="D1611" s="103" t="s">
        <v>1875</v>
      </c>
      <c r="E1611" s="91" t="s">
        <v>1876</v>
      </c>
      <c r="F1611" s="91" t="s">
        <v>1884</v>
      </c>
      <c r="G1611" s="91" t="s">
        <v>1885</v>
      </c>
      <c r="H1611" s="104" t="str">
        <f t="shared" si="96"/>
        <v>PC001J20</v>
      </c>
      <c r="I1611" s="104"/>
      <c r="J1611" s="105">
        <v>5.45</v>
      </c>
      <c r="K1611" s="106"/>
      <c r="L1611" s="106">
        <v>0</v>
      </c>
      <c r="M1611" s="106">
        <f t="shared" si="95"/>
        <v>0</v>
      </c>
      <c r="N1611" s="106">
        <v>75</v>
      </c>
      <c r="O1611" s="107">
        <v>408.75</v>
      </c>
      <c r="P1611" s="107">
        <v>25930</v>
      </c>
      <c r="Q1611" s="107">
        <v>10598888</v>
      </c>
      <c r="R1611" s="102" t="s">
        <v>30</v>
      </c>
      <c r="S1611" s="108"/>
      <c r="T1611" s="109"/>
      <c r="U1611" s="109"/>
      <c r="V1611" s="102"/>
      <c r="W1611" s="109"/>
      <c r="X1611" s="109"/>
      <c r="Y1611" s="110" t="s">
        <v>31</v>
      </c>
    </row>
    <row r="1612" spans="1:25" s="111" customFormat="1" x14ac:dyDescent="0.2">
      <c r="A1612" s="101">
        <v>46259</v>
      </c>
      <c r="B1612" s="91" t="s">
        <v>1886</v>
      </c>
      <c r="C1612" s="102" t="s">
        <v>1887</v>
      </c>
      <c r="D1612" s="103" t="s">
        <v>490</v>
      </c>
      <c r="E1612" s="91" t="s">
        <v>1888</v>
      </c>
      <c r="F1612" s="91" t="s">
        <v>1889</v>
      </c>
      <c r="G1612" s="91" t="s">
        <v>1790</v>
      </c>
      <c r="H1612" s="104" t="str">
        <f t="shared" si="96"/>
        <v>C1205J30</v>
      </c>
      <c r="I1612" s="104"/>
      <c r="J1612" s="105">
        <v>5.45</v>
      </c>
      <c r="K1612" s="106"/>
      <c r="L1612" s="106">
        <v>0</v>
      </c>
      <c r="M1612" s="106">
        <f t="shared" si="95"/>
        <v>0</v>
      </c>
      <c r="N1612" s="106">
        <v>19.3</v>
      </c>
      <c r="O1612" s="107">
        <v>105.16</v>
      </c>
      <c r="P1612" s="107">
        <v>25930</v>
      </c>
      <c r="Q1612" s="107">
        <v>2726799</v>
      </c>
      <c r="R1612" s="102" t="s">
        <v>30</v>
      </c>
      <c r="S1612" s="108"/>
      <c r="T1612" s="109"/>
      <c r="U1612" s="109"/>
      <c r="V1612" s="102"/>
      <c r="W1612" s="109"/>
      <c r="X1612" s="109"/>
      <c r="Y1612" s="110" t="s">
        <v>494</v>
      </c>
    </row>
    <row r="1613" spans="1:25" s="111" customFormat="1" x14ac:dyDescent="0.2">
      <c r="A1613" s="101">
        <v>46259</v>
      </c>
      <c r="B1613" s="91" t="s">
        <v>1886</v>
      </c>
      <c r="C1613" s="102" t="s">
        <v>1887</v>
      </c>
      <c r="D1613" s="103" t="s">
        <v>490</v>
      </c>
      <c r="E1613" s="91" t="s">
        <v>1888</v>
      </c>
      <c r="F1613" s="91" t="s">
        <v>1789</v>
      </c>
      <c r="G1613" s="91" t="s">
        <v>1790</v>
      </c>
      <c r="H1613" s="104" t="str">
        <f t="shared" si="96"/>
        <v>C1205J30</v>
      </c>
      <c r="I1613" s="104"/>
      <c r="J1613" s="105">
        <v>27.22</v>
      </c>
      <c r="K1613" s="106"/>
      <c r="L1613" s="106">
        <v>0</v>
      </c>
      <c r="M1613" s="106">
        <f t="shared" ref="M1613:M1676" si="97">L1613-K1613</f>
        <v>0</v>
      </c>
      <c r="N1613" s="106">
        <v>19.3</v>
      </c>
      <c r="O1613" s="107">
        <v>525.25</v>
      </c>
      <c r="P1613" s="107">
        <v>25930</v>
      </c>
      <c r="Q1613" s="107">
        <v>13619733</v>
      </c>
      <c r="R1613" s="102" t="s">
        <v>30</v>
      </c>
      <c r="S1613" s="108"/>
      <c r="T1613" s="109"/>
      <c r="U1613" s="109"/>
      <c r="V1613" s="102"/>
      <c r="W1613" s="109"/>
      <c r="X1613" s="109"/>
      <c r="Y1613" s="110" t="s">
        <v>494</v>
      </c>
    </row>
    <row r="1614" spans="1:25" s="111" customFormat="1" x14ac:dyDescent="0.2">
      <c r="A1614" s="101">
        <v>46259</v>
      </c>
      <c r="B1614" s="91" t="s">
        <v>1886</v>
      </c>
      <c r="C1614" s="102" t="s">
        <v>1887</v>
      </c>
      <c r="D1614" s="103" t="s">
        <v>490</v>
      </c>
      <c r="E1614" s="91" t="s">
        <v>1888</v>
      </c>
      <c r="F1614" s="91" t="s">
        <v>1791</v>
      </c>
      <c r="G1614" s="91" t="s">
        <v>1790</v>
      </c>
      <c r="H1614" s="104" t="str">
        <f t="shared" ref="H1614:H1677" si="98">IF(LEN(G1614)=13,LEFT(G1614,5)&amp;MID(G1614,SEARCH("-J",G1614)+1,3),LEFT(G1614,5)&amp;"J20")</f>
        <v>C1205J30</v>
      </c>
      <c r="I1614" s="104"/>
      <c r="J1614" s="105">
        <v>38.119999999999997</v>
      </c>
      <c r="K1614" s="106"/>
      <c r="L1614" s="106">
        <v>0</v>
      </c>
      <c r="M1614" s="106">
        <f t="shared" si="97"/>
        <v>0</v>
      </c>
      <c r="N1614" s="106">
        <v>19.3</v>
      </c>
      <c r="O1614" s="107">
        <v>735.56</v>
      </c>
      <c r="P1614" s="107">
        <v>25930</v>
      </c>
      <c r="Q1614" s="107">
        <v>19073071</v>
      </c>
      <c r="R1614" s="102" t="s">
        <v>30</v>
      </c>
      <c r="S1614" s="108"/>
      <c r="T1614" s="109"/>
      <c r="U1614" s="109"/>
      <c r="V1614" s="102"/>
      <c r="W1614" s="109"/>
      <c r="X1614" s="109"/>
      <c r="Y1614" s="110" t="s">
        <v>494</v>
      </c>
    </row>
    <row r="1615" spans="1:25" s="111" customFormat="1" x14ac:dyDescent="0.2">
      <c r="A1615" s="101">
        <v>46259</v>
      </c>
      <c r="B1615" s="91" t="s">
        <v>1886</v>
      </c>
      <c r="C1615" s="102" t="s">
        <v>1887</v>
      </c>
      <c r="D1615" s="103" t="s">
        <v>490</v>
      </c>
      <c r="E1615" s="91" t="s">
        <v>1888</v>
      </c>
      <c r="F1615" s="91" t="s">
        <v>1890</v>
      </c>
      <c r="G1615" s="91" t="s">
        <v>608</v>
      </c>
      <c r="H1615" s="104" t="str">
        <f t="shared" si="98"/>
        <v>C3311J20</v>
      </c>
      <c r="I1615" s="104"/>
      <c r="J1615" s="105">
        <v>54.45</v>
      </c>
      <c r="K1615" s="106"/>
      <c r="L1615" s="106">
        <v>0</v>
      </c>
      <c r="M1615" s="106">
        <f t="shared" si="97"/>
        <v>0</v>
      </c>
      <c r="N1615" s="106">
        <v>19.3</v>
      </c>
      <c r="O1615" s="107">
        <v>1050.67</v>
      </c>
      <c r="P1615" s="107">
        <v>25930</v>
      </c>
      <c r="Q1615" s="107">
        <v>27243873</v>
      </c>
      <c r="R1615" s="102" t="s">
        <v>30</v>
      </c>
      <c r="S1615" s="108"/>
      <c r="T1615" s="109"/>
      <c r="U1615" s="109"/>
      <c r="V1615" s="102"/>
      <c r="W1615" s="109"/>
      <c r="X1615" s="109"/>
      <c r="Y1615" s="110" t="s">
        <v>494</v>
      </c>
    </row>
    <row r="1616" spans="1:25" s="111" customFormat="1" x14ac:dyDescent="0.2">
      <c r="A1616" s="101">
        <v>46259</v>
      </c>
      <c r="B1616" s="91" t="s">
        <v>1886</v>
      </c>
      <c r="C1616" s="102" t="s">
        <v>1887</v>
      </c>
      <c r="D1616" s="103" t="s">
        <v>490</v>
      </c>
      <c r="E1616" s="91" t="s">
        <v>1888</v>
      </c>
      <c r="F1616" s="91" t="s">
        <v>1157</v>
      </c>
      <c r="G1616" s="91" t="s">
        <v>1153</v>
      </c>
      <c r="H1616" s="104" t="str">
        <f t="shared" si="98"/>
        <v>C3311J30</v>
      </c>
      <c r="I1616" s="104"/>
      <c r="J1616" s="105">
        <v>32.67</v>
      </c>
      <c r="K1616" s="106"/>
      <c r="L1616" s="106">
        <v>0</v>
      </c>
      <c r="M1616" s="106">
        <f t="shared" si="97"/>
        <v>0</v>
      </c>
      <c r="N1616" s="106">
        <v>19.3</v>
      </c>
      <c r="O1616" s="107">
        <v>630.4</v>
      </c>
      <c r="P1616" s="107">
        <v>25930</v>
      </c>
      <c r="Q1616" s="107">
        <v>16346272</v>
      </c>
      <c r="R1616" s="102" t="s">
        <v>30</v>
      </c>
      <c r="S1616" s="108"/>
      <c r="T1616" s="109"/>
      <c r="U1616" s="109"/>
      <c r="V1616" s="102"/>
      <c r="W1616" s="109"/>
      <c r="X1616" s="109"/>
      <c r="Y1616" s="110" t="s">
        <v>494</v>
      </c>
    </row>
    <row r="1617" spans="1:25" s="111" customFormat="1" x14ac:dyDescent="0.2">
      <c r="A1617" s="101">
        <v>46259</v>
      </c>
      <c r="B1617" s="91" t="s">
        <v>1886</v>
      </c>
      <c r="C1617" s="102" t="s">
        <v>1887</v>
      </c>
      <c r="D1617" s="103" t="s">
        <v>490</v>
      </c>
      <c r="E1617" s="91" t="s">
        <v>1888</v>
      </c>
      <c r="F1617" s="91" t="s">
        <v>1891</v>
      </c>
      <c r="G1617" s="91" t="s">
        <v>1892</v>
      </c>
      <c r="H1617" s="104" t="str">
        <f t="shared" si="98"/>
        <v>C4246J30</v>
      </c>
      <c r="I1617" s="104"/>
      <c r="J1617" s="105">
        <v>10.89</v>
      </c>
      <c r="K1617" s="106"/>
      <c r="L1617" s="106">
        <v>0</v>
      </c>
      <c r="M1617" s="106">
        <f t="shared" si="97"/>
        <v>0</v>
      </c>
      <c r="N1617" s="106">
        <v>19.3</v>
      </c>
      <c r="O1617" s="107">
        <v>210.13</v>
      </c>
      <c r="P1617" s="107">
        <v>25930</v>
      </c>
      <c r="Q1617" s="107">
        <v>5448671</v>
      </c>
      <c r="R1617" s="102" t="s">
        <v>30</v>
      </c>
      <c r="S1617" s="108"/>
      <c r="T1617" s="109"/>
      <c r="U1617" s="109"/>
      <c r="V1617" s="102"/>
      <c r="W1617" s="109"/>
      <c r="X1617" s="109"/>
      <c r="Y1617" s="110" t="s">
        <v>494</v>
      </c>
    </row>
    <row r="1618" spans="1:25" s="111" customFormat="1" x14ac:dyDescent="0.2">
      <c r="A1618" s="101">
        <v>46259</v>
      </c>
      <c r="B1618" s="91" t="s">
        <v>1886</v>
      </c>
      <c r="C1618" s="102" t="s">
        <v>1887</v>
      </c>
      <c r="D1618" s="103" t="s">
        <v>490</v>
      </c>
      <c r="E1618" s="91" t="s">
        <v>1888</v>
      </c>
      <c r="F1618" s="91" t="s">
        <v>1891</v>
      </c>
      <c r="G1618" s="91" t="s">
        <v>1892</v>
      </c>
      <c r="H1618" s="104" t="str">
        <f t="shared" si="98"/>
        <v>C4246J30</v>
      </c>
      <c r="I1618" s="104"/>
      <c r="J1618" s="105">
        <v>10.89</v>
      </c>
      <c r="K1618" s="106"/>
      <c r="L1618" s="106">
        <v>0</v>
      </c>
      <c r="M1618" s="106">
        <f t="shared" si="97"/>
        <v>0</v>
      </c>
      <c r="N1618" s="106">
        <v>19.3</v>
      </c>
      <c r="O1618" s="107">
        <v>210.13</v>
      </c>
      <c r="P1618" s="107">
        <v>25930</v>
      </c>
      <c r="Q1618" s="107">
        <v>5448671</v>
      </c>
      <c r="R1618" s="102" t="s">
        <v>30</v>
      </c>
      <c r="S1618" s="108"/>
      <c r="T1618" s="109"/>
      <c r="U1618" s="109"/>
      <c r="V1618" s="102"/>
      <c r="W1618" s="109"/>
      <c r="X1618" s="109"/>
      <c r="Y1618" s="110" t="s">
        <v>494</v>
      </c>
    </row>
    <row r="1619" spans="1:25" s="111" customFormat="1" x14ac:dyDescent="0.2">
      <c r="A1619" s="101">
        <v>46259</v>
      </c>
      <c r="B1619" s="91" t="s">
        <v>1886</v>
      </c>
      <c r="C1619" s="102" t="s">
        <v>1887</v>
      </c>
      <c r="D1619" s="103" t="s">
        <v>490</v>
      </c>
      <c r="E1619" s="91" t="s">
        <v>1888</v>
      </c>
      <c r="F1619" s="91" t="s">
        <v>1893</v>
      </c>
      <c r="G1619" s="91" t="s">
        <v>1892</v>
      </c>
      <c r="H1619" s="104" t="str">
        <f t="shared" si="98"/>
        <v>C4246J30</v>
      </c>
      <c r="I1619" s="104"/>
      <c r="J1619" s="105">
        <v>5.45</v>
      </c>
      <c r="K1619" s="106"/>
      <c r="L1619" s="106">
        <v>0</v>
      </c>
      <c r="M1619" s="106">
        <f t="shared" si="97"/>
        <v>0</v>
      </c>
      <c r="N1619" s="106">
        <v>19.3</v>
      </c>
      <c r="O1619" s="107">
        <v>105.16</v>
      </c>
      <c r="P1619" s="107">
        <v>25930</v>
      </c>
      <c r="Q1619" s="107">
        <v>2726799</v>
      </c>
      <c r="R1619" s="102" t="s">
        <v>30</v>
      </c>
      <c r="S1619" s="108"/>
      <c r="T1619" s="109"/>
      <c r="U1619" s="109"/>
      <c r="V1619" s="102"/>
      <c r="W1619" s="109"/>
      <c r="X1619" s="109"/>
      <c r="Y1619" s="110" t="s">
        <v>494</v>
      </c>
    </row>
    <row r="1620" spans="1:25" s="111" customFormat="1" x14ac:dyDescent="0.2">
      <c r="A1620" s="101">
        <v>46259</v>
      </c>
      <c r="B1620" s="91" t="s">
        <v>1886</v>
      </c>
      <c r="C1620" s="102" t="s">
        <v>1887</v>
      </c>
      <c r="D1620" s="103" t="s">
        <v>490</v>
      </c>
      <c r="E1620" s="91" t="s">
        <v>1888</v>
      </c>
      <c r="F1620" s="91" t="s">
        <v>1893</v>
      </c>
      <c r="G1620" s="91" t="s">
        <v>1892</v>
      </c>
      <c r="H1620" s="104" t="str">
        <f t="shared" si="98"/>
        <v>C4246J30</v>
      </c>
      <c r="I1620" s="104"/>
      <c r="J1620" s="105">
        <v>16.329999999999998</v>
      </c>
      <c r="K1620" s="106"/>
      <c r="L1620" s="106">
        <v>0</v>
      </c>
      <c r="M1620" s="106">
        <f t="shared" si="97"/>
        <v>0</v>
      </c>
      <c r="N1620" s="106">
        <v>19.3</v>
      </c>
      <c r="O1620" s="107">
        <v>315.11</v>
      </c>
      <c r="P1620" s="107">
        <v>25930</v>
      </c>
      <c r="Q1620" s="107">
        <v>8170802</v>
      </c>
      <c r="R1620" s="102" t="s">
        <v>30</v>
      </c>
      <c r="S1620" s="108"/>
      <c r="T1620" s="109"/>
      <c r="U1620" s="109"/>
      <c r="V1620" s="102"/>
      <c r="W1620" s="109"/>
      <c r="X1620" s="109"/>
      <c r="Y1620" s="110" t="s">
        <v>494</v>
      </c>
    </row>
    <row r="1621" spans="1:25" s="111" customFormat="1" x14ac:dyDescent="0.2">
      <c r="A1621" s="101">
        <v>46259</v>
      </c>
      <c r="B1621" s="91" t="s">
        <v>1886</v>
      </c>
      <c r="C1621" s="102" t="s">
        <v>1887</v>
      </c>
      <c r="D1621" s="103" t="s">
        <v>490</v>
      </c>
      <c r="E1621" s="91" t="s">
        <v>1888</v>
      </c>
      <c r="F1621" s="91" t="s">
        <v>1894</v>
      </c>
      <c r="G1621" s="91" t="s">
        <v>1892</v>
      </c>
      <c r="H1621" s="104" t="str">
        <f t="shared" si="98"/>
        <v>C4246J30</v>
      </c>
      <c r="I1621" s="104"/>
      <c r="J1621" s="105">
        <v>27.23</v>
      </c>
      <c r="K1621" s="106"/>
      <c r="L1621" s="106">
        <v>0</v>
      </c>
      <c r="M1621" s="106">
        <f t="shared" si="97"/>
        <v>0</v>
      </c>
      <c r="N1621" s="106">
        <v>19.3</v>
      </c>
      <c r="O1621" s="107">
        <v>525.42999999999995</v>
      </c>
      <c r="P1621" s="107">
        <v>25930</v>
      </c>
      <c r="Q1621" s="107">
        <v>13624400</v>
      </c>
      <c r="R1621" s="102" t="s">
        <v>30</v>
      </c>
      <c r="S1621" s="108"/>
      <c r="T1621" s="109"/>
      <c r="U1621" s="109"/>
      <c r="V1621" s="102"/>
      <c r="W1621" s="109"/>
      <c r="X1621" s="109"/>
      <c r="Y1621" s="110" t="s">
        <v>494</v>
      </c>
    </row>
    <row r="1622" spans="1:25" s="111" customFormat="1" x14ac:dyDescent="0.2">
      <c r="A1622" s="101">
        <v>46259</v>
      </c>
      <c r="B1622" s="91" t="s">
        <v>1886</v>
      </c>
      <c r="C1622" s="102" t="s">
        <v>1887</v>
      </c>
      <c r="D1622" s="103" t="s">
        <v>490</v>
      </c>
      <c r="E1622" s="91" t="s">
        <v>1888</v>
      </c>
      <c r="F1622" s="91" t="s">
        <v>1894</v>
      </c>
      <c r="G1622" s="91" t="s">
        <v>1892</v>
      </c>
      <c r="H1622" s="104" t="str">
        <f t="shared" si="98"/>
        <v>C4246J30</v>
      </c>
      <c r="I1622" s="104"/>
      <c r="J1622" s="105">
        <v>10.89</v>
      </c>
      <c r="K1622" s="106"/>
      <c r="L1622" s="106">
        <v>0</v>
      </c>
      <c r="M1622" s="106">
        <f t="shared" si="97"/>
        <v>0</v>
      </c>
      <c r="N1622" s="106">
        <v>19.3</v>
      </c>
      <c r="O1622" s="107">
        <v>210.13</v>
      </c>
      <c r="P1622" s="107">
        <v>25930</v>
      </c>
      <c r="Q1622" s="107">
        <v>5448671</v>
      </c>
      <c r="R1622" s="102" t="s">
        <v>30</v>
      </c>
      <c r="S1622" s="108"/>
      <c r="T1622" s="109"/>
      <c r="U1622" s="109"/>
      <c r="V1622" s="102"/>
      <c r="W1622" s="109"/>
      <c r="X1622" s="109"/>
      <c r="Y1622" s="110" t="s">
        <v>494</v>
      </c>
    </row>
    <row r="1623" spans="1:25" s="111" customFormat="1" x14ac:dyDescent="0.2">
      <c r="A1623" s="101">
        <v>46259</v>
      </c>
      <c r="B1623" s="91" t="s">
        <v>1886</v>
      </c>
      <c r="C1623" s="102" t="s">
        <v>1887</v>
      </c>
      <c r="D1623" s="103" t="s">
        <v>490</v>
      </c>
      <c r="E1623" s="91" t="s">
        <v>1888</v>
      </c>
      <c r="F1623" s="91" t="s">
        <v>1895</v>
      </c>
      <c r="G1623" s="91" t="s">
        <v>1896</v>
      </c>
      <c r="H1623" s="104" t="str">
        <f t="shared" si="98"/>
        <v>C4255J30</v>
      </c>
      <c r="I1623" s="104"/>
      <c r="J1623" s="105">
        <v>76.23</v>
      </c>
      <c r="K1623" s="106"/>
      <c r="L1623" s="106">
        <v>0</v>
      </c>
      <c r="M1623" s="106">
        <f t="shared" si="97"/>
        <v>0</v>
      </c>
      <c r="N1623" s="106">
        <v>19.3</v>
      </c>
      <c r="O1623" s="107">
        <v>1470.93</v>
      </c>
      <c r="P1623" s="107">
        <v>25930</v>
      </c>
      <c r="Q1623" s="107">
        <v>38141215</v>
      </c>
      <c r="R1623" s="102" t="s">
        <v>30</v>
      </c>
      <c r="S1623" s="108"/>
      <c r="T1623" s="109"/>
      <c r="U1623" s="109"/>
      <c r="V1623" s="102"/>
      <c r="W1623" s="109"/>
      <c r="X1623" s="109"/>
      <c r="Y1623" s="110" t="s">
        <v>494</v>
      </c>
    </row>
    <row r="1624" spans="1:25" s="111" customFormat="1" x14ac:dyDescent="0.2">
      <c r="A1624" s="101">
        <v>46259</v>
      </c>
      <c r="B1624" s="91" t="s">
        <v>1886</v>
      </c>
      <c r="C1624" s="102" t="s">
        <v>1887</v>
      </c>
      <c r="D1624" s="103" t="s">
        <v>490</v>
      </c>
      <c r="E1624" s="91" t="s">
        <v>1888</v>
      </c>
      <c r="F1624" s="91" t="s">
        <v>1897</v>
      </c>
      <c r="G1624" s="91" t="s">
        <v>1898</v>
      </c>
      <c r="H1624" s="104" t="str">
        <f t="shared" si="98"/>
        <v>C5331J30</v>
      </c>
      <c r="I1624" s="104"/>
      <c r="J1624" s="105">
        <v>43.56</v>
      </c>
      <c r="K1624" s="106"/>
      <c r="L1624" s="106">
        <v>0</v>
      </c>
      <c r="M1624" s="106">
        <f t="shared" si="97"/>
        <v>0</v>
      </c>
      <c r="N1624" s="106">
        <v>19.3</v>
      </c>
      <c r="O1624" s="107">
        <v>840.53</v>
      </c>
      <c r="P1624" s="107">
        <v>25930</v>
      </c>
      <c r="Q1624" s="107">
        <v>21794943</v>
      </c>
      <c r="R1624" s="102" t="s">
        <v>30</v>
      </c>
      <c r="S1624" s="108"/>
      <c r="T1624" s="109"/>
      <c r="U1624" s="109"/>
      <c r="V1624" s="102"/>
      <c r="W1624" s="109"/>
      <c r="X1624" s="109"/>
      <c r="Y1624" s="110" t="s">
        <v>494</v>
      </c>
    </row>
    <row r="1625" spans="1:25" s="111" customFormat="1" x14ac:dyDescent="0.2">
      <c r="A1625" s="101">
        <v>46259</v>
      </c>
      <c r="B1625" s="91" t="s">
        <v>1886</v>
      </c>
      <c r="C1625" s="102" t="s">
        <v>1887</v>
      </c>
      <c r="D1625" s="103" t="s">
        <v>490</v>
      </c>
      <c r="E1625" s="91" t="s">
        <v>1888</v>
      </c>
      <c r="F1625" s="91" t="s">
        <v>1899</v>
      </c>
      <c r="G1625" s="91" t="s">
        <v>1900</v>
      </c>
      <c r="H1625" s="104" t="str">
        <f t="shared" si="98"/>
        <v>C5331J20</v>
      </c>
      <c r="I1625" s="104"/>
      <c r="J1625" s="105">
        <v>21.78</v>
      </c>
      <c r="K1625" s="106">
        <v>30</v>
      </c>
      <c r="L1625" s="106">
        <v>30</v>
      </c>
      <c r="M1625" s="106">
        <f t="shared" si="97"/>
        <v>0</v>
      </c>
      <c r="N1625" s="106">
        <v>19.3</v>
      </c>
      <c r="O1625" s="107">
        <v>420.27</v>
      </c>
      <c r="P1625" s="107">
        <v>25930</v>
      </c>
      <c r="Q1625" s="107">
        <v>10897601</v>
      </c>
      <c r="R1625" s="102" t="s">
        <v>30</v>
      </c>
      <c r="S1625" s="108"/>
      <c r="T1625" s="109"/>
      <c r="U1625" s="109"/>
      <c r="V1625" s="102"/>
      <c r="W1625" s="109"/>
      <c r="X1625" s="109"/>
      <c r="Y1625" s="110" t="s">
        <v>494</v>
      </c>
    </row>
    <row r="1626" spans="1:25" s="111" customFormat="1" x14ac:dyDescent="0.2">
      <c r="A1626" s="101">
        <v>46259</v>
      </c>
      <c r="B1626" s="91" t="s">
        <v>1886</v>
      </c>
      <c r="C1626" s="102" t="s">
        <v>1887</v>
      </c>
      <c r="D1626" s="103" t="s">
        <v>490</v>
      </c>
      <c r="E1626" s="91" t="s">
        <v>1888</v>
      </c>
      <c r="F1626" s="91" t="s">
        <v>1901</v>
      </c>
      <c r="G1626" s="91" t="s">
        <v>1902</v>
      </c>
      <c r="H1626" s="104" t="str">
        <f t="shared" si="98"/>
        <v>F5233J20</v>
      </c>
      <c r="I1626" s="104"/>
      <c r="J1626" s="105">
        <v>16.34</v>
      </c>
      <c r="K1626" s="106">
        <v>30</v>
      </c>
      <c r="L1626" s="106">
        <v>30</v>
      </c>
      <c r="M1626" s="106">
        <f t="shared" si="97"/>
        <v>0</v>
      </c>
      <c r="N1626" s="106">
        <v>19.3</v>
      </c>
      <c r="O1626" s="107">
        <v>315.3</v>
      </c>
      <c r="P1626" s="107">
        <v>25930</v>
      </c>
      <c r="Q1626" s="107">
        <v>8175729</v>
      </c>
      <c r="R1626" s="102" t="s">
        <v>30</v>
      </c>
      <c r="S1626" s="108"/>
      <c r="T1626" s="109"/>
      <c r="U1626" s="109"/>
      <c r="V1626" s="102"/>
      <c r="W1626" s="109"/>
      <c r="X1626" s="109"/>
      <c r="Y1626" s="110" t="s">
        <v>494</v>
      </c>
    </row>
    <row r="1627" spans="1:25" s="111" customFormat="1" x14ac:dyDescent="0.2">
      <c r="A1627" s="101">
        <v>46260</v>
      </c>
      <c r="B1627" s="91" t="s">
        <v>1903</v>
      </c>
      <c r="C1627" s="102" t="s">
        <v>1904</v>
      </c>
      <c r="D1627" s="103" t="s">
        <v>26</v>
      </c>
      <c r="E1627" s="91" t="s">
        <v>1905</v>
      </c>
      <c r="F1627" s="91" t="s">
        <v>77</v>
      </c>
      <c r="G1627" s="91" t="s">
        <v>78</v>
      </c>
      <c r="H1627" s="104" t="str">
        <f t="shared" si="98"/>
        <v>C5212J30</v>
      </c>
      <c r="I1627" s="104"/>
      <c r="J1627" s="105">
        <v>38.119999999999997</v>
      </c>
      <c r="K1627" s="106"/>
      <c r="L1627" s="106">
        <v>0</v>
      </c>
      <c r="M1627" s="106">
        <f t="shared" si="97"/>
        <v>0</v>
      </c>
      <c r="N1627" s="106">
        <v>77.39</v>
      </c>
      <c r="O1627" s="107">
        <v>2950.08</v>
      </c>
      <c r="P1627" s="107">
        <v>25930</v>
      </c>
      <c r="Q1627" s="107">
        <v>76495574</v>
      </c>
      <c r="R1627" s="102" t="s">
        <v>30</v>
      </c>
      <c r="S1627" s="108"/>
      <c r="T1627" s="109"/>
      <c r="U1627" s="109"/>
      <c r="V1627" s="102"/>
      <c r="W1627" s="109"/>
      <c r="X1627" s="109"/>
      <c r="Y1627" s="110" t="s">
        <v>31</v>
      </c>
    </row>
    <row r="1628" spans="1:25" s="111" customFormat="1" x14ac:dyDescent="0.2">
      <c r="A1628" s="101">
        <v>46260</v>
      </c>
      <c r="B1628" s="91" t="s">
        <v>1903</v>
      </c>
      <c r="C1628" s="102" t="s">
        <v>1904</v>
      </c>
      <c r="D1628" s="103" t="s">
        <v>26</v>
      </c>
      <c r="E1628" s="91" t="s">
        <v>1905</v>
      </c>
      <c r="F1628" s="91" t="s">
        <v>465</v>
      </c>
      <c r="G1628" s="91" t="s">
        <v>466</v>
      </c>
      <c r="H1628" s="104" t="str">
        <f t="shared" si="98"/>
        <v>F4011J20</v>
      </c>
      <c r="I1628" s="104"/>
      <c r="J1628" s="105">
        <v>108.9</v>
      </c>
      <c r="K1628" s="106"/>
      <c r="L1628" s="106">
        <v>0</v>
      </c>
      <c r="M1628" s="106">
        <f t="shared" si="97"/>
        <v>0</v>
      </c>
      <c r="N1628" s="106">
        <v>63</v>
      </c>
      <c r="O1628" s="107">
        <v>6860.8</v>
      </c>
      <c r="P1628" s="107">
        <v>25930</v>
      </c>
      <c r="Q1628" s="107">
        <v>177900544</v>
      </c>
      <c r="R1628" s="102" t="s">
        <v>30</v>
      </c>
      <c r="S1628" s="108"/>
      <c r="T1628" s="109"/>
      <c r="U1628" s="109"/>
      <c r="V1628" s="102"/>
      <c r="W1628" s="109"/>
      <c r="X1628" s="109"/>
      <c r="Y1628" s="110" t="s">
        <v>31</v>
      </c>
    </row>
    <row r="1629" spans="1:25" s="111" customFormat="1" x14ac:dyDescent="0.2">
      <c r="A1629" s="101">
        <v>46260</v>
      </c>
      <c r="B1629" s="91" t="s">
        <v>1903</v>
      </c>
      <c r="C1629" s="102" t="s">
        <v>1904</v>
      </c>
      <c r="D1629" s="103" t="s">
        <v>26</v>
      </c>
      <c r="E1629" s="91" t="s">
        <v>1905</v>
      </c>
      <c r="F1629" s="91" t="s">
        <v>205</v>
      </c>
      <c r="G1629" s="91" t="s">
        <v>206</v>
      </c>
      <c r="H1629" s="104" t="str">
        <f t="shared" si="98"/>
        <v>F5141J20</v>
      </c>
      <c r="I1629" s="104"/>
      <c r="J1629" s="105">
        <v>32.67</v>
      </c>
      <c r="K1629" s="106"/>
      <c r="L1629" s="106">
        <v>0</v>
      </c>
      <c r="M1629" s="106">
        <f t="shared" si="97"/>
        <v>0</v>
      </c>
      <c r="N1629" s="106">
        <v>60.9</v>
      </c>
      <c r="O1629" s="107">
        <v>1989.6</v>
      </c>
      <c r="P1629" s="107">
        <v>25930</v>
      </c>
      <c r="Q1629" s="107">
        <v>51590328</v>
      </c>
      <c r="R1629" s="102" t="s">
        <v>30</v>
      </c>
      <c r="S1629" s="108"/>
      <c r="T1629" s="109"/>
      <c r="U1629" s="109"/>
      <c r="V1629" s="102"/>
      <c r="W1629" s="109"/>
      <c r="X1629" s="109"/>
      <c r="Y1629" s="110" t="s">
        <v>31</v>
      </c>
    </row>
    <row r="1630" spans="1:25" s="111" customFormat="1" x14ac:dyDescent="0.2">
      <c r="A1630" s="101">
        <v>46260</v>
      </c>
      <c r="B1630" s="91" t="s">
        <v>1903</v>
      </c>
      <c r="C1630" s="102" t="s">
        <v>1904</v>
      </c>
      <c r="D1630" s="103" t="s">
        <v>26</v>
      </c>
      <c r="E1630" s="91" t="s">
        <v>1905</v>
      </c>
      <c r="F1630" s="91" t="s">
        <v>208</v>
      </c>
      <c r="G1630" s="91" t="s">
        <v>209</v>
      </c>
      <c r="H1630" s="104" t="str">
        <f t="shared" si="98"/>
        <v>F5151J30</v>
      </c>
      <c r="I1630" s="104"/>
      <c r="J1630" s="105">
        <v>38.119999999999997</v>
      </c>
      <c r="K1630" s="106"/>
      <c r="L1630" s="106">
        <v>0</v>
      </c>
      <c r="M1630" s="106">
        <f t="shared" si="97"/>
        <v>0</v>
      </c>
      <c r="N1630" s="106">
        <v>97.09</v>
      </c>
      <c r="O1630" s="107">
        <v>3700.97</v>
      </c>
      <c r="P1630" s="107">
        <v>25930</v>
      </c>
      <c r="Q1630" s="107">
        <v>95966152</v>
      </c>
      <c r="R1630" s="102" t="s">
        <v>30</v>
      </c>
      <c r="S1630" s="108"/>
      <c r="T1630" s="109"/>
      <c r="U1630" s="109"/>
      <c r="V1630" s="102"/>
      <c r="W1630" s="109"/>
      <c r="X1630" s="109"/>
      <c r="Y1630" s="110" t="s">
        <v>31</v>
      </c>
    </row>
    <row r="1631" spans="1:25" s="111" customFormat="1" x14ac:dyDescent="0.2">
      <c r="A1631" s="101">
        <v>46260</v>
      </c>
      <c r="B1631" s="91" t="s">
        <v>1903</v>
      </c>
      <c r="C1631" s="102" t="s">
        <v>1904</v>
      </c>
      <c r="D1631" s="103" t="s">
        <v>26</v>
      </c>
      <c r="E1631" s="91" t="s">
        <v>1905</v>
      </c>
      <c r="F1631" s="91" t="s">
        <v>1343</v>
      </c>
      <c r="G1631" s="91" t="s">
        <v>1344</v>
      </c>
      <c r="H1631" s="104" t="str">
        <f t="shared" si="98"/>
        <v>F6134J20</v>
      </c>
      <c r="I1631" s="104"/>
      <c r="J1631" s="105">
        <v>185.13</v>
      </c>
      <c r="K1631" s="106"/>
      <c r="L1631" s="106">
        <v>0</v>
      </c>
      <c r="M1631" s="106">
        <f t="shared" si="97"/>
        <v>0</v>
      </c>
      <c r="N1631" s="106">
        <v>65.099999999999994</v>
      </c>
      <c r="O1631" s="107">
        <v>12051.98</v>
      </c>
      <c r="P1631" s="107">
        <v>25930</v>
      </c>
      <c r="Q1631" s="107">
        <v>312507841</v>
      </c>
      <c r="R1631" s="102" t="s">
        <v>30</v>
      </c>
      <c r="S1631" s="108"/>
      <c r="T1631" s="109"/>
      <c r="U1631" s="109"/>
      <c r="V1631" s="102"/>
      <c r="W1631" s="109"/>
      <c r="X1631" s="109"/>
      <c r="Y1631" s="110" t="s">
        <v>31</v>
      </c>
    </row>
    <row r="1632" spans="1:25" s="111" customFormat="1" x14ac:dyDescent="0.2">
      <c r="A1632" s="101">
        <v>46260</v>
      </c>
      <c r="B1632" s="91" t="s">
        <v>1903</v>
      </c>
      <c r="C1632" s="102" t="s">
        <v>1904</v>
      </c>
      <c r="D1632" s="103" t="s">
        <v>26</v>
      </c>
      <c r="E1632" s="91" t="s">
        <v>1905</v>
      </c>
      <c r="F1632" s="91" t="s">
        <v>274</v>
      </c>
      <c r="G1632" s="91" t="s">
        <v>273</v>
      </c>
      <c r="H1632" s="104" t="str">
        <f t="shared" si="98"/>
        <v>F6313J20</v>
      </c>
      <c r="I1632" s="104"/>
      <c r="J1632" s="105">
        <v>54.45</v>
      </c>
      <c r="K1632" s="106"/>
      <c r="L1632" s="106">
        <v>0</v>
      </c>
      <c r="M1632" s="106">
        <f t="shared" si="97"/>
        <v>0</v>
      </c>
      <c r="N1632" s="106">
        <v>65.099999999999994</v>
      </c>
      <c r="O1632" s="107">
        <v>3544.7</v>
      </c>
      <c r="P1632" s="107">
        <v>25930</v>
      </c>
      <c r="Q1632" s="107">
        <v>91914071</v>
      </c>
      <c r="R1632" s="102" t="s">
        <v>30</v>
      </c>
      <c r="S1632" s="108"/>
      <c r="T1632" s="109"/>
      <c r="U1632" s="109"/>
      <c r="V1632" s="102"/>
      <c r="W1632" s="109"/>
      <c r="X1632" s="109"/>
      <c r="Y1632" s="110" t="s">
        <v>31</v>
      </c>
    </row>
    <row r="1633" spans="1:25" s="111" customFormat="1" x14ac:dyDescent="0.2">
      <c r="A1633" s="101">
        <v>46260</v>
      </c>
      <c r="B1633" s="91" t="s">
        <v>1906</v>
      </c>
      <c r="C1633" s="102" t="s">
        <v>1907</v>
      </c>
      <c r="D1633" s="103" t="s">
        <v>26</v>
      </c>
      <c r="E1633" s="91" t="s">
        <v>1908</v>
      </c>
      <c r="F1633" s="91" t="s">
        <v>841</v>
      </c>
      <c r="G1633" s="91" t="s">
        <v>842</v>
      </c>
      <c r="H1633" s="104" t="str">
        <f t="shared" si="98"/>
        <v>C5116J20</v>
      </c>
      <c r="I1633" s="104"/>
      <c r="J1633" s="105">
        <v>1.59</v>
      </c>
      <c r="K1633" s="106">
        <f>IF(D1633="CAESARSTONE LTD",VLOOKUP(H1633,'[2]GIA CA'!G:H,2,0),IF(OR(D1633="STONE FACINGS LIMITED",D1633="NORDIA SA",D1633="INVICTUS STONE COUNTERTOPS INC",D1633="QUARTZTOP LLC"),VLOOKUP(H1633,'[2] Giá ngoài Mỹ - SI-GR'!$B$5:$AZ$84,51,0),IF(OR(D1633="HYUNDAI L&amp;C CANADA INC",D1633="Hyundai L&amp; C USA LLC"),VLOOKUP(H1633,'[2]GIA HS'!A:D,4,0),IF(Y1633="Mỹ",VLOOKUP(H1633,'[2]giá mỹ từ 6.8.2025'!B:I,2,0),VLOOKUP(H1633,'[2]giá ngoài mỹ 6.8.2025 (final)'!B:BP,51,0)))))</f>
        <v>65</v>
      </c>
      <c r="L1633" s="106">
        <v>136.47999999999999</v>
      </c>
      <c r="M1633" s="106">
        <f t="shared" si="97"/>
        <v>71.47999999999999</v>
      </c>
      <c r="N1633" s="106">
        <v>136.47999999999999</v>
      </c>
      <c r="O1633" s="107">
        <v>217</v>
      </c>
      <c r="P1633" s="107">
        <v>25930</v>
      </c>
      <c r="Q1633" s="107">
        <v>5626810</v>
      </c>
      <c r="R1633" s="102"/>
      <c r="S1633" s="108"/>
      <c r="T1633" s="109" t="s">
        <v>30</v>
      </c>
      <c r="U1633" s="109"/>
      <c r="V1633" s="102"/>
      <c r="W1633" s="109"/>
      <c r="X1633" s="109"/>
      <c r="Y1633" s="110" t="s">
        <v>803</v>
      </c>
    </row>
    <row r="1634" spans="1:25" s="111" customFormat="1" x14ac:dyDescent="0.2">
      <c r="A1634" s="101">
        <v>46260</v>
      </c>
      <c r="B1634" s="91" t="s">
        <v>1906</v>
      </c>
      <c r="C1634" s="102" t="s">
        <v>1907</v>
      </c>
      <c r="D1634" s="103" t="s">
        <v>26</v>
      </c>
      <c r="E1634" s="91" t="s">
        <v>1908</v>
      </c>
      <c r="F1634" s="91" t="s">
        <v>1669</v>
      </c>
      <c r="G1634" s="91" t="s">
        <v>1670</v>
      </c>
      <c r="H1634" s="104" t="str">
        <f t="shared" si="98"/>
        <v>F4011J20</v>
      </c>
      <c r="I1634" s="104"/>
      <c r="J1634" s="105">
        <v>2.19</v>
      </c>
      <c r="K1634" s="106">
        <f>+L1634</f>
        <v>96.21</v>
      </c>
      <c r="L1634" s="106">
        <v>96.21</v>
      </c>
      <c r="M1634" s="106">
        <f t="shared" si="97"/>
        <v>0</v>
      </c>
      <c r="N1634" s="106">
        <v>96.21</v>
      </c>
      <c r="O1634" s="107">
        <v>210.7</v>
      </c>
      <c r="P1634" s="107">
        <v>25930</v>
      </c>
      <c r="Q1634" s="107">
        <v>5463451</v>
      </c>
      <c r="R1634" s="102"/>
      <c r="S1634" s="108"/>
      <c r="T1634" s="109" t="s">
        <v>30</v>
      </c>
      <c r="U1634" s="109"/>
      <c r="V1634" s="102"/>
      <c r="W1634" s="109"/>
      <c r="X1634" s="109"/>
      <c r="Y1634" s="110" t="s">
        <v>803</v>
      </c>
    </row>
    <row r="1635" spans="1:25" s="111" customFormat="1" x14ac:dyDescent="0.2">
      <c r="A1635" s="101">
        <v>46260</v>
      </c>
      <c r="B1635" s="91" t="s">
        <v>1906</v>
      </c>
      <c r="C1635" s="102" t="s">
        <v>1907</v>
      </c>
      <c r="D1635" s="103" t="s">
        <v>26</v>
      </c>
      <c r="E1635" s="91" t="s">
        <v>1908</v>
      </c>
      <c r="F1635" s="91" t="s">
        <v>306</v>
      </c>
      <c r="G1635" s="91" t="s">
        <v>307</v>
      </c>
      <c r="H1635" s="104" t="str">
        <f t="shared" si="98"/>
        <v>F5105J20</v>
      </c>
      <c r="I1635" s="104"/>
      <c r="J1635" s="105">
        <v>3.75</v>
      </c>
      <c r="K1635" s="106">
        <f>IF(D1635="CAESARSTONE LTD",VLOOKUP(H1635,'[2]GIA CA'!G:H,2,0),IF(OR(D1635="STONE FACINGS LIMITED",D1635="NORDIA SA",D1635="INVICTUS STONE COUNTERTOPS INC",D1635="QUARTZTOP LLC"),VLOOKUP(H1635,'[2] Giá ngoài Mỹ - SI-GR'!$B$5:$AZ$84,51,0),IF(OR(D1635="HYUNDAI L&amp;C CANADA INC",D1635="Hyundai L&amp; C USA LLC"),VLOOKUP(H1635,'[2]GIA HS'!A:D,4,0),IF(Y1635="Mỹ",VLOOKUP(H1635,'[2]giá mỹ từ 6.8.2025'!B:I,2,0),VLOOKUP(H1635,'[2]giá ngoài mỹ 6.8.2025 (final)'!B:BP,51,0)))))</f>
        <v>68</v>
      </c>
      <c r="L1635" s="106">
        <v>130.88</v>
      </c>
      <c r="M1635" s="106">
        <f t="shared" si="97"/>
        <v>62.879999999999995</v>
      </c>
      <c r="N1635" s="106">
        <v>130.88</v>
      </c>
      <c r="O1635" s="107">
        <v>490.8</v>
      </c>
      <c r="P1635" s="107">
        <v>25930</v>
      </c>
      <c r="Q1635" s="107">
        <v>12726444</v>
      </c>
      <c r="R1635" s="102"/>
      <c r="S1635" s="108"/>
      <c r="T1635" s="109" t="s">
        <v>30</v>
      </c>
      <c r="U1635" s="109"/>
      <c r="V1635" s="102"/>
      <c r="W1635" s="109"/>
      <c r="X1635" s="109"/>
      <c r="Y1635" s="110" t="s">
        <v>803</v>
      </c>
    </row>
    <row r="1636" spans="1:25" s="111" customFormat="1" x14ac:dyDescent="0.2">
      <c r="A1636" s="101">
        <v>46260</v>
      </c>
      <c r="B1636" s="91" t="s">
        <v>1906</v>
      </c>
      <c r="C1636" s="102" t="s">
        <v>1907</v>
      </c>
      <c r="D1636" s="103" t="s">
        <v>26</v>
      </c>
      <c r="E1636" s="91" t="s">
        <v>1908</v>
      </c>
      <c r="F1636" s="91" t="s">
        <v>651</v>
      </c>
      <c r="G1636" s="91" t="s">
        <v>652</v>
      </c>
      <c r="H1636" s="104" t="str">
        <f t="shared" si="98"/>
        <v>F5144J20</v>
      </c>
      <c r="I1636" s="104"/>
      <c r="J1636" s="105">
        <v>1.47</v>
      </c>
      <c r="K1636" s="106">
        <f>IF(D1636="CAESARSTONE LTD",VLOOKUP(H1636,'[2]GIA CA'!G:H,2,0),IF(OR(D1636="STONE FACINGS LIMITED",D1636="NORDIA SA",D1636="INVICTUS STONE COUNTERTOPS INC",D1636="QUARTZTOP LLC"),VLOOKUP(H1636,'[2] Giá ngoài Mỹ - SI-GR'!$B$5:$AZ$84,51,0),IF(OR(D1636="HYUNDAI L&amp;C CANADA INC",D1636="Hyundai L&amp; C USA LLC"),VLOOKUP(H1636,'[2]GIA HS'!A:D,4,0),IF(Y1636="Mỹ",VLOOKUP(H1636,'[2]giá mỹ từ 6.8.2025'!B:I,2,0),VLOOKUP(H1636,'[2]giá ngoài mỹ 6.8.2025 (final)'!B:BP,51,0)))))</f>
        <v>62</v>
      </c>
      <c r="L1636" s="106">
        <v>107.14</v>
      </c>
      <c r="M1636" s="106">
        <f t="shared" si="97"/>
        <v>45.14</v>
      </c>
      <c r="N1636" s="106">
        <v>107.14</v>
      </c>
      <c r="O1636" s="107">
        <v>157.5</v>
      </c>
      <c r="P1636" s="107">
        <v>25930</v>
      </c>
      <c r="Q1636" s="107">
        <v>4083975</v>
      </c>
      <c r="R1636" s="102"/>
      <c r="S1636" s="108"/>
      <c r="T1636" s="109" t="s">
        <v>30</v>
      </c>
      <c r="U1636" s="109"/>
      <c r="V1636" s="102"/>
      <c r="W1636" s="109"/>
      <c r="X1636" s="109"/>
      <c r="Y1636" s="110" t="s">
        <v>803</v>
      </c>
    </row>
    <row r="1637" spans="1:25" s="111" customFormat="1" x14ac:dyDescent="0.2">
      <c r="A1637" s="101">
        <v>46260</v>
      </c>
      <c r="B1637" s="91" t="s">
        <v>1906</v>
      </c>
      <c r="C1637" s="102" t="s">
        <v>1907</v>
      </c>
      <c r="D1637" s="103" t="s">
        <v>26</v>
      </c>
      <c r="E1637" s="91" t="s">
        <v>1908</v>
      </c>
      <c r="F1637" s="91" t="s">
        <v>1045</v>
      </c>
      <c r="G1637" s="91" t="s">
        <v>1046</v>
      </c>
      <c r="H1637" s="104" t="str">
        <f t="shared" si="98"/>
        <v>C6003J20</v>
      </c>
      <c r="I1637" s="104"/>
      <c r="J1637" s="105">
        <v>217.8</v>
      </c>
      <c r="K1637" s="106">
        <f>+L1637</f>
        <v>59.9</v>
      </c>
      <c r="L1637" s="106">
        <v>59.9</v>
      </c>
      <c r="M1637" s="106">
        <f t="shared" si="97"/>
        <v>0</v>
      </c>
      <c r="N1637" s="106">
        <v>59.9</v>
      </c>
      <c r="O1637" s="107">
        <v>13046.4</v>
      </c>
      <c r="P1637" s="107">
        <v>25930</v>
      </c>
      <c r="Q1637" s="107">
        <v>338293152</v>
      </c>
      <c r="R1637" s="102" t="s">
        <v>30</v>
      </c>
      <c r="S1637" s="108"/>
      <c r="T1637" s="109"/>
      <c r="U1637" s="109"/>
      <c r="V1637" s="102"/>
      <c r="W1637" s="109"/>
      <c r="X1637" s="109"/>
      <c r="Y1637" s="110" t="s">
        <v>803</v>
      </c>
    </row>
    <row r="1638" spans="1:25" s="111" customFormat="1" x14ac:dyDescent="0.2">
      <c r="A1638" s="101">
        <v>46260</v>
      </c>
      <c r="B1638" s="91" t="s">
        <v>1906</v>
      </c>
      <c r="C1638" s="102" t="s">
        <v>1907</v>
      </c>
      <c r="D1638" s="103" t="s">
        <v>26</v>
      </c>
      <c r="E1638" s="91" t="s">
        <v>1908</v>
      </c>
      <c r="F1638" s="91" t="s">
        <v>1909</v>
      </c>
      <c r="G1638" s="91" t="s">
        <v>1910</v>
      </c>
      <c r="H1638" s="104" t="str">
        <f t="shared" si="98"/>
        <v>F5115J20</v>
      </c>
      <c r="I1638" s="104"/>
      <c r="J1638" s="105">
        <v>223.25</v>
      </c>
      <c r="K1638" s="106">
        <f>IF(D1638="CAESARSTONE LTD",VLOOKUP(H1638,'[2]GIA CA'!G:H,2,0),IF(OR(D1638="STONE FACINGS LIMITED",D1638="NORDIA SA",D1638="INVICTUS STONE COUNTERTOPS INC",D1638="QUARTZTOP LLC"),VLOOKUP(H1638,'[2] Giá ngoài Mỹ - SI-GR'!$B$5:$AZ$84,51,0),IF(OR(D1638="HYUNDAI L&amp;C CANADA INC",D1638="Hyundai L&amp; C USA LLC"),VLOOKUP(H1638,'[2]GIA HS'!A:D,4,0),IF(Y1638="Mỹ",VLOOKUP(H1638,'[2]giá mỹ từ 6.8.2025'!B:I,2,0),VLOOKUP(H1638,'[2]giá ngoài mỹ 6.8.2025 (final)'!B:BP,51,0)))))</f>
        <v>68</v>
      </c>
      <c r="L1638" s="106">
        <v>71.400000000000006</v>
      </c>
      <c r="M1638" s="106">
        <f t="shared" si="97"/>
        <v>3.4000000000000057</v>
      </c>
      <c r="N1638" s="106">
        <v>71.400000000000006</v>
      </c>
      <c r="O1638" s="107">
        <v>15939.57</v>
      </c>
      <c r="P1638" s="107">
        <v>25930</v>
      </c>
      <c r="Q1638" s="107">
        <v>413313050</v>
      </c>
      <c r="R1638" s="102" t="s">
        <v>30</v>
      </c>
      <c r="S1638" s="108"/>
      <c r="T1638" s="109"/>
      <c r="U1638" s="109"/>
      <c r="V1638" s="102"/>
      <c r="W1638" s="109"/>
      <c r="X1638" s="109"/>
      <c r="Y1638" s="110" t="s">
        <v>803</v>
      </c>
    </row>
    <row r="1639" spans="1:25" s="111" customFormat="1" x14ac:dyDescent="0.2">
      <c r="A1639" s="101">
        <v>46260</v>
      </c>
      <c r="B1639" s="91" t="s">
        <v>1911</v>
      </c>
      <c r="C1639" s="102" t="s">
        <v>1912</v>
      </c>
      <c r="D1639" s="103" t="s">
        <v>26</v>
      </c>
      <c r="E1639" s="91" t="s">
        <v>1913</v>
      </c>
      <c r="F1639" s="91" t="s">
        <v>284</v>
      </c>
      <c r="G1639" s="91" t="s">
        <v>283</v>
      </c>
      <c r="H1639" s="104" t="str">
        <f t="shared" si="98"/>
        <v>F5100J20</v>
      </c>
      <c r="I1639" s="104"/>
      <c r="J1639" s="105">
        <v>217.8</v>
      </c>
      <c r="K1639" s="106"/>
      <c r="L1639" s="106">
        <v>0</v>
      </c>
      <c r="M1639" s="106">
        <f t="shared" si="97"/>
        <v>0</v>
      </c>
      <c r="N1639" s="106">
        <v>65.099999999999994</v>
      </c>
      <c r="O1639" s="107">
        <v>14178.8</v>
      </c>
      <c r="P1639" s="107">
        <v>25930</v>
      </c>
      <c r="Q1639" s="107">
        <v>367656284</v>
      </c>
      <c r="R1639" s="102" t="s">
        <v>30</v>
      </c>
      <c r="S1639" s="108"/>
      <c r="T1639" s="109"/>
      <c r="U1639" s="109"/>
      <c r="V1639" s="102"/>
      <c r="W1639" s="109"/>
      <c r="X1639" s="109"/>
      <c r="Y1639" s="110" t="s">
        <v>803</v>
      </c>
    </row>
    <row r="1640" spans="1:25" s="111" customFormat="1" x14ac:dyDescent="0.2">
      <c r="A1640" s="101">
        <v>46260</v>
      </c>
      <c r="B1640" s="91" t="s">
        <v>1911</v>
      </c>
      <c r="C1640" s="102" t="s">
        <v>1912</v>
      </c>
      <c r="D1640" s="103" t="s">
        <v>26</v>
      </c>
      <c r="E1640" s="91" t="s">
        <v>1913</v>
      </c>
      <c r="F1640" s="91" t="s">
        <v>1766</v>
      </c>
      <c r="G1640" s="91" t="s">
        <v>1767</v>
      </c>
      <c r="H1640" s="104" t="str">
        <f t="shared" si="98"/>
        <v>F5112J30</v>
      </c>
      <c r="I1640" s="104"/>
      <c r="J1640" s="105">
        <v>114.35</v>
      </c>
      <c r="K1640" s="106"/>
      <c r="L1640" s="106">
        <v>0</v>
      </c>
      <c r="M1640" s="106">
        <f t="shared" si="97"/>
        <v>0</v>
      </c>
      <c r="N1640" s="106">
        <v>78.790000000000006</v>
      </c>
      <c r="O1640" s="107">
        <v>9010.4699999999993</v>
      </c>
      <c r="P1640" s="107">
        <v>25930</v>
      </c>
      <c r="Q1640" s="107">
        <v>233641487</v>
      </c>
      <c r="R1640" s="102" t="s">
        <v>30</v>
      </c>
      <c r="S1640" s="108"/>
      <c r="T1640" s="109"/>
      <c r="U1640" s="109"/>
      <c r="V1640" s="102"/>
      <c r="W1640" s="109"/>
      <c r="X1640" s="109"/>
      <c r="Y1640" s="110" t="s">
        <v>803</v>
      </c>
    </row>
    <row r="1641" spans="1:25" s="111" customFormat="1" x14ac:dyDescent="0.2">
      <c r="A1641" s="101">
        <v>46260</v>
      </c>
      <c r="B1641" s="91" t="s">
        <v>1911</v>
      </c>
      <c r="C1641" s="102" t="s">
        <v>1912</v>
      </c>
      <c r="D1641" s="103" t="s">
        <v>26</v>
      </c>
      <c r="E1641" s="91" t="s">
        <v>1913</v>
      </c>
      <c r="F1641" s="91" t="s">
        <v>88</v>
      </c>
      <c r="G1641" s="91" t="s">
        <v>89</v>
      </c>
      <c r="H1641" s="104" t="str">
        <f t="shared" si="98"/>
        <v>F5131J20</v>
      </c>
      <c r="I1641" s="104"/>
      <c r="J1641" s="105">
        <v>54.45</v>
      </c>
      <c r="K1641" s="106"/>
      <c r="L1641" s="106">
        <v>0</v>
      </c>
      <c r="M1641" s="106">
        <f t="shared" si="97"/>
        <v>0</v>
      </c>
      <c r="N1641" s="106">
        <v>63</v>
      </c>
      <c r="O1641" s="107">
        <v>3430.4</v>
      </c>
      <c r="P1641" s="107">
        <v>25930</v>
      </c>
      <c r="Q1641" s="107">
        <v>88950272</v>
      </c>
      <c r="R1641" s="102" t="s">
        <v>30</v>
      </c>
      <c r="S1641" s="108"/>
      <c r="T1641" s="109"/>
      <c r="U1641" s="109"/>
      <c r="V1641" s="102"/>
      <c r="W1641" s="109"/>
      <c r="X1641" s="109"/>
      <c r="Y1641" s="110" t="s">
        <v>803</v>
      </c>
    </row>
    <row r="1642" spans="1:25" s="111" customFormat="1" x14ac:dyDescent="0.2">
      <c r="A1642" s="101">
        <v>46260</v>
      </c>
      <c r="B1642" s="91" t="s">
        <v>1914</v>
      </c>
      <c r="C1642" s="102" t="s">
        <v>1915</v>
      </c>
      <c r="D1642" s="103" t="s">
        <v>26</v>
      </c>
      <c r="E1642" s="91" t="s">
        <v>1916</v>
      </c>
      <c r="F1642" s="91" t="s">
        <v>1917</v>
      </c>
      <c r="G1642" s="91" t="s">
        <v>1678</v>
      </c>
      <c r="H1642" s="104" t="str">
        <f t="shared" si="98"/>
        <v>C0406J30</v>
      </c>
      <c r="I1642" s="104"/>
      <c r="J1642" s="105">
        <v>10.89</v>
      </c>
      <c r="K1642" s="106"/>
      <c r="L1642" s="106">
        <v>0</v>
      </c>
      <c r="M1642" s="106">
        <f t="shared" si="97"/>
        <v>0</v>
      </c>
      <c r="N1642" s="106">
        <v>18.37</v>
      </c>
      <c r="O1642" s="107">
        <v>200</v>
      </c>
      <c r="P1642" s="107">
        <v>25930</v>
      </c>
      <c r="Q1642" s="107">
        <v>5186000</v>
      </c>
      <c r="R1642" s="102" t="s">
        <v>30</v>
      </c>
      <c r="S1642" s="108"/>
      <c r="T1642" s="109"/>
      <c r="U1642" s="109"/>
      <c r="V1642" s="102"/>
      <c r="W1642" s="109"/>
      <c r="X1642" s="109"/>
      <c r="Y1642" s="110" t="s">
        <v>358</v>
      </c>
    </row>
    <row r="1643" spans="1:25" s="111" customFormat="1" x14ac:dyDescent="0.2">
      <c r="A1643" s="101">
        <v>46260</v>
      </c>
      <c r="B1643" s="91" t="s">
        <v>1914</v>
      </c>
      <c r="C1643" s="102" t="s">
        <v>1915</v>
      </c>
      <c r="D1643" s="103" t="s">
        <v>26</v>
      </c>
      <c r="E1643" s="91" t="s">
        <v>1916</v>
      </c>
      <c r="F1643" s="91" t="s">
        <v>725</v>
      </c>
      <c r="G1643" s="91" t="s">
        <v>726</v>
      </c>
      <c r="H1643" s="104" t="str">
        <f t="shared" si="98"/>
        <v>C5151J13</v>
      </c>
      <c r="I1643" s="104"/>
      <c r="J1643" s="105">
        <v>10.89</v>
      </c>
      <c r="K1643" s="106"/>
      <c r="L1643" s="106">
        <v>0</v>
      </c>
      <c r="M1643" s="106">
        <f t="shared" si="97"/>
        <v>0</v>
      </c>
      <c r="N1643" s="106">
        <v>58.01</v>
      </c>
      <c r="O1643" s="107">
        <v>631.72</v>
      </c>
      <c r="P1643" s="107">
        <v>25930</v>
      </c>
      <c r="Q1643" s="107">
        <v>16380500</v>
      </c>
      <c r="R1643" s="102" t="s">
        <v>30</v>
      </c>
      <c r="S1643" s="108"/>
      <c r="T1643" s="109"/>
      <c r="U1643" s="109"/>
      <c r="V1643" s="102"/>
      <c r="W1643" s="109"/>
      <c r="X1643" s="109"/>
      <c r="Y1643" s="110" t="s">
        <v>358</v>
      </c>
    </row>
    <row r="1644" spans="1:25" s="111" customFormat="1" x14ac:dyDescent="0.2">
      <c r="A1644" s="101">
        <v>46260</v>
      </c>
      <c r="B1644" s="91" t="s">
        <v>1914</v>
      </c>
      <c r="C1644" s="102" t="s">
        <v>1915</v>
      </c>
      <c r="D1644" s="103" t="s">
        <v>26</v>
      </c>
      <c r="E1644" s="91" t="s">
        <v>1916</v>
      </c>
      <c r="F1644" s="91" t="s">
        <v>1918</v>
      </c>
      <c r="G1644" s="91" t="s">
        <v>374</v>
      </c>
      <c r="H1644" s="104" t="str">
        <f t="shared" si="98"/>
        <v>C5212J13</v>
      </c>
      <c r="I1644" s="104"/>
      <c r="J1644" s="105">
        <v>43.55</v>
      </c>
      <c r="K1644" s="106"/>
      <c r="L1644" s="106">
        <v>0</v>
      </c>
      <c r="M1644" s="106">
        <f t="shared" si="97"/>
        <v>0</v>
      </c>
      <c r="N1644" s="106">
        <v>52.7</v>
      </c>
      <c r="O1644" s="107">
        <v>2295.0700000000002</v>
      </c>
      <c r="P1644" s="107">
        <v>25930</v>
      </c>
      <c r="Q1644" s="107">
        <v>59511165</v>
      </c>
      <c r="R1644" s="102" t="s">
        <v>30</v>
      </c>
      <c r="S1644" s="108"/>
      <c r="T1644" s="109"/>
      <c r="U1644" s="109"/>
      <c r="V1644" s="102"/>
      <c r="W1644" s="109"/>
      <c r="X1644" s="109"/>
      <c r="Y1644" s="110" t="s">
        <v>358</v>
      </c>
    </row>
    <row r="1645" spans="1:25" s="111" customFormat="1" x14ac:dyDescent="0.2">
      <c r="A1645" s="101">
        <v>46260</v>
      </c>
      <c r="B1645" s="91" t="s">
        <v>1914</v>
      </c>
      <c r="C1645" s="102" t="s">
        <v>1915</v>
      </c>
      <c r="D1645" s="103" t="s">
        <v>26</v>
      </c>
      <c r="E1645" s="91" t="s">
        <v>1916</v>
      </c>
      <c r="F1645" s="91" t="s">
        <v>373</v>
      </c>
      <c r="G1645" s="91" t="s">
        <v>374</v>
      </c>
      <c r="H1645" s="104" t="str">
        <f t="shared" si="98"/>
        <v>C5212J13</v>
      </c>
      <c r="I1645" s="104"/>
      <c r="J1645" s="105">
        <v>5.45</v>
      </c>
      <c r="K1645" s="106"/>
      <c r="L1645" s="106">
        <v>0</v>
      </c>
      <c r="M1645" s="106">
        <f t="shared" si="97"/>
        <v>0</v>
      </c>
      <c r="N1645" s="106">
        <v>52.7</v>
      </c>
      <c r="O1645" s="107">
        <v>287.22000000000003</v>
      </c>
      <c r="P1645" s="107">
        <v>25930</v>
      </c>
      <c r="Q1645" s="107">
        <v>7447615</v>
      </c>
      <c r="R1645" s="102" t="s">
        <v>30</v>
      </c>
      <c r="S1645" s="108"/>
      <c r="T1645" s="109"/>
      <c r="U1645" s="109"/>
      <c r="V1645" s="102"/>
      <c r="W1645" s="109"/>
      <c r="X1645" s="109"/>
      <c r="Y1645" s="110" t="s">
        <v>358</v>
      </c>
    </row>
    <row r="1646" spans="1:25" s="111" customFormat="1" x14ac:dyDescent="0.2">
      <c r="A1646" s="101">
        <v>46260</v>
      </c>
      <c r="B1646" s="91" t="s">
        <v>1914</v>
      </c>
      <c r="C1646" s="102" t="s">
        <v>1915</v>
      </c>
      <c r="D1646" s="103" t="s">
        <v>26</v>
      </c>
      <c r="E1646" s="91" t="s">
        <v>1916</v>
      </c>
      <c r="F1646" s="91" t="s">
        <v>373</v>
      </c>
      <c r="G1646" s="91" t="s">
        <v>374</v>
      </c>
      <c r="H1646" s="104" t="str">
        <f t="shared" si="98"/>
        <v>C5212J13</v>
      </c>
      <c r="I1646" s="104"/>
      <c r="J1646" s="105">
        <v>397.49</v>
      </c>
      <c r="K1646" s="106"/>
      <c r="L1646" s="106">
        <v>0</v>
      </c>
      <c r="M1646" s="106">
        <f t="shared" si="97"/>
        <v>0</v>
      </c>
      <c r="N1646" s="106">
        <v>52.7</v>
      </c>
      <c r="O1646" s="107">
        <v>20947.61</v>
      </c>
      <c r="P1646" s="107">
        <v>25930</v>
      </c>
      <c r="Q1646" s="107">
        <v>543171527</v>
      </c>
      <c r="R1646" s="102" t="s">
        <v>30</v>
      </c>
      <c r="S1646" s="108"/>
      <c r="T1646" s="109"/>
      <c r="U1646" s="109"/>
      <c r="V1646" s="102"/>
      <c r="W1646" s="109"/>
      <c r="X1646" s="109"/>
      <c r="Y1646" s="110" t="s">
        <v>358</v>
      </c>
    </row>
    <row r="1647" spans="1:25" s="111" customFormat="1" x14ac:dyDescent="0.2">
      <c r="A1647" s="101">
        <v>46260</v>
      </c>
      <c r="B1647" s="91" t="s">
        <v>1914</v>
      </c>
      <c r="C1647" s="102" t="s">
        <v>1915</v>
      </c>
      <c r="D1647" s="103" t="s">
        <v>26</v>
      </c>
      <c r="E1647" s="91" t="s">
        <v>1916</v>
      </c>
      <c r="F1647" s="91" t="s">
        <v>373</v>
      </c>
      <c r="G1647" s="91" t="s">
        <v>374</v>
      </c>
      <c r="H1647" s="104" t="str">
        <f t="shared" si="98"/>
        <v>C5212J13</v>
      </c>
      <c r="I1647" s="104"/>
      <c r="J1647" s="105">
        <v>228.69</v>
      </c>
      <c r="K1647" s="106"/>
      <c r="L1647" s="106">
        <v>0</v>
      </c>
      <c r="M1647" s="106">
        <f t="shared" si="97"/>
        <v>0</v>
      </c>
      <c r="N1647" s="106">
        <v>52.7</v>
      </c>
      <c r="O1647" s="107">
        <v>12051.9</v>
      </c>
      <c r="P1647" s="107">
        <v>25930</v>
      </c>
      <c r="Q1647" s="107">
        <v>312505767</v>
      </c>
      <c r="R1647" s="102" t="s">
        <v>30</v>
      </c>
      <c r="S1647" s="108"/>
      <c r="T1647" s="109"/>
      <c r="U1647" s="109"/>
      <c r="V1647" s="102"/>
      <c r="W1647" s="109"/>
      <c r="X1647" s="109"/>
      <c r="Y1647" s="110" t="s">
        <v>358</v>
      </c>
    </row>
    <row r="1648" spans="1:25" s="111" customFormat="1" x14ac:dyDescent="0.2">
      <c r="A1648" s="101">
        <v>46260</v>
      </c>
      <c r="B1648" s="91" t="s">
        <v>1919</v>
      </c>
      <c r="C1648" s="102" t="s">
        <v>1920</v>
      </c>
      <c r="D1648" s="103" t="s">
        <v>26</v>
      </c>
      <c r="E1648" s="91" t="s">
        <v>1921</v>
      </c>
      <c r="F1648" s="91" t="s">
        <v>1784</v>
      </c>
      <c r="G1648" s="91" t="s">
        <v>1782</v>
      </c>
      <c r="H1648" s="104" t="str">
        <f t="shared" si="98"/>
        <v>C5133J20</v>
      </c>
      <c r="I1648" s="104"/>
      <c r="J1648" s="105">
        <v>54.45</v>
      </c>
      <c r="K1648" s="106"/>
      <c r="L1648" s="106">
        <v>0</v>
      </c>
      <c r="M1648" s="106">
        <f t="shared" si="97"/>
        <v>0</v>
      </c>
      <c r="N1648" s="106">
        <v>62</v>
      </c>
      <c r="O1648" s="107">
        <v>3375.9</v>
      </c>
      <c r="P1648" s="107">
        <v>25930</v>
      </c>
      <c r="Q1648" s="107">
        <v>87537087</v>
      </c>
      <c r="R1648" s="102" t="s">
        <v>30</v>
      </c>
      <c r="S1648" s="108"/>
      <c r="T1648" s="109"/>
      <c r="U1648" s="109"/>
      <c r="V1648" s="102"/>
      <c r="W1648" s="109"/>
      <c r="X1648" s="109"/>
      <c r="Y1648" s="110" t="s">
        <v>358</v>
      </c>
    </row>
    <row r="1649" spans="1:25" s="111" customFormat="1" x14ac:dyDescent="0.2">
      <c r="A1649" s="101">
        <v>46260</v>
      </c>
      <c r="B1649" s="91" t="s">
        <v>1919</v>
      </c>
      <c r="C1649" s="102" t="s">
        <v>1920</v>
      </c>
      <c r="D1649" s="103" t="s">
        <v>26</v>
      </c>
      <c r="E1649" s="91" t="s">
        <v>1921</v>
      </c>
      <c r="F1649" s="91" t="s">
        <v>112</v>
      </c>
      <c r="G1649" s="91" t="s">
        <v>113</v>
      </c>
      <c r="H1649" s="104" t="str">
        <f t="shared" si="98"/>
        <v>C5212J20</v>
      </c>
      <c r="I1649" s="104"/>
      <c r="J1649" s="105">
        <v>21.78</v>
      </c>
      <c r="K1649" s="106"/>
      <c r="L1649" s="106">
        <v>0</v>
      </c>
      <c r="M1649" s="106">
        <f t="shared" si="97"/>
        <v>0</v>
      </c>
      <c r="N1649" s="106">
        <v>62</v>
      </c>
      <c r="O1649" s="107">
        <v>1350.36</v>
      </c>
      <c r="P1649" s="107">
        <v>25930</v>
      </c>
      <c r="Q1649" s="107">
        <v>35014835</v>
      </c>
      <c r="R1649" s="102" t="s">
        <v>30</v>
      </c>
      <c r="S1649" s="108"/>
      <c r="T1649" s="109"/>
      <c r="U1649" s="109"/>
      <c r="V1649" s="102"/>
      <c r="W1649" s="109"/>
      <c r="X1649" s="109"/>
      <c r="Y1649" s="110" t="s">
        <v>358</v>
      </c>
    </row>
    <row r="1650" spans="1:25" s="111" customFormat="1" x14ac:dyDescent="0.2">
      <c r="A1650" s="101">
        <v>46260</v>
      </c>
      <c r="B1650" s="91" t="s">
        <v>1919</v>
      </c>
      <c r="C1650" s="102" t="s">
        <v>1920</v>
      </c>
      <c r="D1650" s="103" t="s">
        <v>26</v>
      </c>
      <c r="E1650" s="91" t="s">
        <v>1921</v>
      </c>
      <c r="F1650" s="91" t="s">
        <v>124</v>
      </c>
      <c r="G1650" s="91" t="s">
        <v>113</v>
      </c>
      <c r="H1650" s="104" t="str">
        <f t="shared" si="98"/>
        <v>C5212J20</v>
      </c>
      <c r="I1650" s="104"/>
      <c r="J1650" s="105">
        <v>359.37</v>
      </c>
      <c r="K1650" s="106"/>
      <c r="L1650" s="106">
        <v>0</v>
      </c>
      <c r="M1650" s="106">
        <f t="shared" si="97"/>
        <v>0</v>
      </c>
      <c r="N1650" s="106">
        <v>62</v>
      </c>
      <c r="O1650" s="107">
        <v>22280.94</v>
      </c>
      <c r="P1650" s="107">
        <v>25930</v>
      </c>
      <c r="Q1650" s="107">
        <v>577744774</v>
      </c>
      <c r="R1650" s="102" t="s">
        <v>30</v>
      </c>
      <c r="S1650" s="108"/>
      <c r="T1650" s="109"/>
      <c r="U1650" s="109"/>
      <c r="V1650" s="102"/>
      <c r="W1650" s="109"/>
      <c r="X1650" s="109"/>
      <c r="Y1650" s="110" t="s">
        <v>358</v>
      </c>
    </row>
    <row r="1651" spans="1:25" s="111" customFormat="1" x14ac:dyDescent="0.2">
      <c r="A1651" s="101">
        <v>46260</v>
      </c>
      <c r="B1651" s="91" t="s">
        <v>1919</v>
      </c>
      <c r="C1651" s="102" t="s">
        <v>1920</v>
      </c>
      <c r="D1651" s="103" t="s">
        <v>26</v>
      </c>
      <c r="E1651" s="91" t="s">
        <v>1921</v>
      </c>
      <c r="F1651" s="91" t="s">
        <v>1922</v>
      </c>
      <c r="G1651" s="91" t="s">
        <v>1923</v>
      </c>
      <c r="H1651" s="104" t="str">
        <f t="shared" si="98"/>
        <v>F5171J20</v>
      </c>
      <c r="I1651" s="104"/>
      <c r="J1651" s="105">
        <v>54.45</v>
      </c>
      <c r="K1651" s="106"/>
      <c r="L1651" s="106">
        <v>0</v>
      </c>
      <c r="M1651" s="106">
        <f t="shared" si="97"/>
        <v>0</v>
      </c>
      <c r="N1651" s="106">
        <v>65.099999999999994</v>
      </c>
      <c r="O1651" s="107">
        <v>3544.7</v>
      </c>
      <c r="P1651" s="107">
        <v>25930</v>
      </c>
      <c r="Q1651" s="107">
        <v>91914071</v>
      </c>
      <c r="R1651" s="102" t="s">
        <v>30</v>
      </c>
      <c r="S1651" s="108"/>
      <c r="T1651" s="109"/>
      <c r="U1651" s="109"/>
      <c r="V1651" s="102"/>
      <c r="W1651" s="109"/>
      <c r="X1651" s="109"/>
      <c r="Y1651" s="110" t="s">
        <v>358</v>
      </c>
    </row>
    <row r="1652" spans="1:25" s="111" customFormat="1" x14ac:dyDescent="0.2">
      <c r="A1652" s="101">
        <v>46260</v>
      </c>
      <c r="B1652" s="91" t="s">
        <v>1924</v>
      </c>
      <c r="C1652" s="102" t="s">
        <v>1925</v>
      </c>
      <c r="D1652" s="103" t="s">
        <v>26</v>
      </c>
      <c r="E1652" s="91" t="s">
        <v>1926</v>
      </c>
      <c r="F1652" s="91" t="s">
        <v>1063</v>
      </c>
      <c r="G1652" s="91" t="s">
        <v>1064</v>
      </c>
      <c r="H1652" s="104" t="str">
        <f t="shared" si="98"/>
        <v>C4023J13</v>
      </c>
      <c r="I1652" s="104"/>
      <c r="J1652" s="105">
        <v>152.46</v>
      </c>
      <c r="K1652" s="106"/>
      <c r="L1652" s="106">
        <v>0</v>
      </c>
      <c r="M1652" s="106">
        <f t="shared" si="97"/>
        <v>0</v>
      </c>
      <c r="N1652" s="106">
        <v>50.9</v>
      </c>
      <c r="O1652" s="107">
        <v>7760.2</v>
      </c>
      <c r="P1652" s="107">
        <v>25930</v>
      </c>
      <c r="Q1652" s="107">
        <v>201221986</v>
      </c>
      <c r="R1652" s="102" t="s">
        <v>30</v>
      </c>
      <c r="S1652" s="108"/>
      <c r="T1652" s="109"/>
      <c r="U1652" s="109"/>
      <c r="V1652" s="102"/>
      <c r="W1652" s="109"/>
      <c r="X1652" s="109"/>
      <c r="Y1652" s="110" t="s">
        <v>358</v>
      </c>
    </row>
    <row r="1653" spans="1:25" s="111" customFormat="1" x14ac:dyDescent="0.2">
      <c r="A1653" s="101">
        <v>46260</v>
      </c>
      <c r="B1653" s="91" t="s">
        <v>1924</v>
      </c>
      <c r="C1653" s="102" t="s">
        <v>1925</v>
      </c>
      <c r="D1653" s="103" t="s">
        <v>26</v>
      </c>
      <c r="E1653" s="91" t="s">
        <v>1926</v>
      </c>
      <c r="F1653" s="91" t="s">
        <v>1835</v>
      </c>
      <c r="G1653" s="91" t="s">
        <v>1836</v>
      </c>
      <c r="H1653" s="104" t="str">
        <f t="shared" si="98"/>
        <v>C4043J20</v>
      </c>
      <c r="I1653" s="104"/>
      <c r="J1653" s="105">
        <v>108.9</v>
      </c>
      <c r="K1653" s="106"/>
      <c r="L1653" s="106">
        <v>0</v>
      </c>
      <c r="M1653" s="106">
        <f t="shared" si="97"/>
        <v>0</v>
      </c>
      <c r="N1653" s="106">
        <v>62</v>
      </c>
      <c r="O1653" s="107">
        <v>6751.8</v>
      </c>
      <c r="P1653" s="107">
        <v>25930</v>
      </c>
      <c r="Q1653" s="107">
        <v>175074174</v>
      </c>
      <c r="R1653" s="102" t="s">
        <v>30</v>
      </c>
      <c r="S1653" s="108"/>
      <c r="T1653" s="109"/>
      <c r="U1653" s="109"/>
      <c r="V1653" s="102"/>
      <c r="W1653" s="109"/>
      <c r="X1653" s="109"/>
      <c r="Y1653" s="110" t="s">
        <v>358</v>
      </c>
    </row>
    <row r="1654" spans="1:25" s="111" customFormat="1" x14ac:dyDescent="0.2">
      <c r="A1654" s="101">
        <v>46260</v>
      </c>
      <c r="B1654" s="91" t="s">
        <v>1924</v>
      </c>
      <c r="C1654" s="102" t="s">
        <v>1925</v>
      </c>
      <c r="D1654" s="103" t="s">
        <v>26</v>
      </c>
      <c r="E1654" s="91" t="s">
        <v>1926</v>
      </c>
      <c r="F1654" s="91" t="s">
        <v>1927</v>
      </c>
      <c r="G1654" s="91" t="s">
        <v>1928</v>
      </c>
      <c r="H1654" s="104" t="str">
        <f t="shared" si="98"/>
        <v>C5000J20</v>
      </c>
      <c r="I1654" s="104"/>
      <c r="J1654" s="105">
        <v>54.45</v>
      </c>
      <c r="K1654" s="106"/>
      <c r="L1654" s="106">
        <v>0</v>
      </c>
      <c r="M1654" s="106">
        <f t="shared" si="97"/>
        <v>0</v>
      </c>
      <c r="N1654" s="106">
        <v>59.9</v>
      </c>
      <c r="O1654" s="107">
        <v>3261.6</v>
      </c>
      <c r="P1654" s="107">
        <v>25930</v>
      </c>
      <c r="Q1654" s="107">
        <v>84573288</v>
      </c>
      <c r="R1654" s="102" t="s">
        <v>30</v>
      </c>
      <c r="S1654" s="108"/>
      <c r="T1654" s="109"/>
      <c r="U1654" s="109"/>
      <c r="V1654" s="102"/>
      <c r="W1654" s="109"/>
      <c r="X1654" s="109"/>
      <c r="Y1654" s="110" t="s">
        <v>358</v>
      </c>
    </row>
    <row r="1655" spans="1:25" s="111" customFormat="1" x14ac:dyDescent="0.2">
      <c r="A1655" s="101">
        <v>46260</v>
      </c>
      <c r="B1655" s="91" t="s">
        <v>1924</v>
      </c>
      <c r="C1655" s="102" t="s">
        <v>1925</v>
      </c>
      <c r="D1655" s="103" t="s">
        <v>26</v>
      </c>
      <c r="E1655" s="91" t="s">
        <v>1926</v>
      </c>
      <c r="F1655" s="91" t="s">
        <v>975</v>
      </c>
      <c r="G1655" s="91" t="s">
        <v>976</v>
      </c>
      <c r="H1655" s="104" t="str">
        <f t="shared" si="98"/>
        <v>C5000J20</v>
      </c>
      <c r="I1655" s="104"/>
      <c r="J1655" s="105">
        <v>163.35</v>
      </c>
      <c r="K1655" s="106"/>
      <c r="L1655" s="106">
        <v>0</v>
      </c>
      <c r="M1655" s="106">
        <f t="shared" si="97"/>
        <v>0</v>
      </c>
      <c r="N1655" s="106">
        <v>59.9</v>
      </c>
      <c r="O1655" s="107">
        <v>9784.7999999999993</v>
      </c>
      <c r="P1655" s="107">
        <v>25930</v>
      </c>
      <c r="Q1655" s="107">
        <v>253719864</v>
      </c>
      <c r="R1655" s="102" t="s">
        <v>30</v>
      </c>
      <c r="S1655" s="108"/>
      <c r="T1655" s="109"/>
      <c r="U1655" s="109"/>
      <c r="V1655" s="102"/>
      <c r="W1655" s="109"/>
      <c r="X1655" s="109"/>
      <c r="Y1655" s="110" t="s">
        <v>358</v>
      </c>
    </row>
    <row r="1656" spans="1:25" s="111" customFormat="1" x14ac:dyDescent="0.2">
      <c r="A1656" s="101">
        <v>46260</v>
      </c>
      <c r="B1656" s="91" t="s">
        <v>1924</v>
      </c>
      <c r="C1656" s="102" t="s">
        <v>1925</v>
      </c>
      <c r="D1656" s="103" t="s">
        <v>26</v>
      </c>
      <c r="E1656" s="91" t="s">
        <v>1926</v>
      </c>
      <c r="F1656" s="91" t="s">
        <v>778</v>
      </c>
      <c r="G1656" s="91" t="s">
        <v>779</v>
      </c>
      <c r="H1656" s="104" t="str">
        <f t="shared" si="98"/>
        <v>C6131J20</v>
      </c>
      <c r="I1656" s="104"/>
      <c r="J1656" s="105">
        <v>54.45</v>
      </c>
      <c r="K1656" s="106"/>
      <c r="L1656" s="106">
        <v>0</v>
      </c>
      <c r="M1656" s="106">
        <f t="shared" si="97"/>
        <v>0</v>
      </c>
      <c r="N1656" s="106">
        <v>62</v>
      </c>
      <c r="O1656" s="107">
        <v>3375.9</v>
      </c>
      <c r="P1656" s="107">
        <v>25930</v>
      </c>
      <c r="Q1656" s="107">
        <v>87537087</v>
      </c>
      <c r="R1656" s="102" t="s">
        <v>30</v>
      </c>
      <c r="S1656" s="108"/>
      <c r="T1656" s="109"/>
      <c r="U1656" s="109"/>
      <c r="V1656" s="102"/>
      <c r="W1656" s="109"/>
      <c r="X1656" s="109"/>
      <c r="Y1656" s="110" t="s">
        <v>358</v>
      </c>
    </row>
    <row r="1657" spans="1:25" s="111" customFormat="1" x14ac:dyDescent="0.2">
      <c r="A1657" s="101">
        <v>46260</v>
      </c>
      <c r="B1657" s="91" t="s">
        <v>1929</v>
      </c>
      <c r="C1657" s="102" t="s">
        <v>1930</v>
      </c>
      <c r="D1657" s="103" t="s">
        <v>26</v>
      </c>
      <c r="E1657" s="91" t="s">
        <v>1931</v>
      </c>
      <c r="F1657" s="91" t="s">
        <v>108</v>
      </c>
      <c r="G1657" s="91" t="s">
        <v>109</v>
      </c>
      <c r="H1657" s="104" t="str">
        <f t="shared" si="98"/>
        <v>C4011J20</v>
      </c>
      <c r="I1657" s="104"/>
      <c r="J1657" s="105">
        <v>54.45</v>
      </c>
      <c r="K1657" s="106"/>
      <c r="L1657" s="106">
        <v>0</v>
      </c>
      <c r="M1657" s="106">
        <f t="shared" si="97"/>
        <v>0</v>
      </c>
      <c r="N1657" s="106">
        <v>59.9</v>
      </c>
      <c r="O1657" s="107">
        <v>3261.6</v>
      </c>
      <c r="P1657" s="107">
        <v>25930</v>
      </c>
      <c r="Q1657" s="107">
        <v>84573288</v>
      </c>
      <c r="R1657" s="102" t="s">
        <v>30</v>
      </c>
      <c r="S1657" s="108"/>
      <c r="T1657" s="109"/>
      <c r="U1657" s="109"/>
      <c r="V1657" s="102"/>
      <c r="W1657" s="109"/>
      <c r="X1657" s="109"/>
      <c r="Y1657" s="110" t="s">
        <v>803</v>
      </c>
    </row>
    <row r="1658" spans="1:25" s="111" customFormat="1" x14ac:dyDescent="0.2">
      <c r="A1658" s="101">
        <v>46260</v>
      </c>
      <c r="B1658" s="91" t="s">
        <v>1929</v>
      </c>
      <c r="C1658" s="102" t="s">
        <v>1930</v>
      </c>
      <c r="D1658" s="103" t="s">
        <v>26</v>
      </c>
      <c r="E1658" s="91" t="s">
        <v>1931</v>
      </c>
      <c r="F1658" s="91" t="s">
        <v>867</v>
      </c>
      <c r="G1658" s="91" t="s">
        <v>868</v>
      </c>
      <c r="H1658" s="104" t="str">
        <f t="shared" si="98"/>
        <v>C5003J20</v>
      </c>
      <c r="I1658" s="104"/>
      <c r="J1658" s="105">
        <v>217.8</v>
      </c>
      <c r="K1658" s="106"/>
      <c r="L1658" s="106">
        <v>0</v>
      </c>
      <c r="M1658" s="106">
        <f t="shared" si="97"/>
        <v>0</v>
      </c>
      <c r="N1658" s="106">
        <v>59.9</v>
      </c>
      <c r="O1658" s="107">
        <v>13046.4</v>
      </c>
      <c r="P1658" s="107">
        <v>25930</v>
      </c>
      <c r="Q1658" s="107">
        <v>338293152</v>
      </c>
      <c r="R1658" s="102" t="s">
        <v>30</v>
      </c>
      <c r="S1658" s="108"/>
      <c r="T1658" s="109"/>
      <c r="U1658" s="109"/>
      <c r="V1658" s="102"/>
      <c r="W1658" s="109"/>
      <c r="X1658" s="109"/>
      <c r="Y1658" s="110" t="s">
        <v>803</v>
      </c>
    </row>
    <row r="1659" spans="1:25" s="111" customFormat="1" x14ac:dyDescent="0.2">
      <c r="A1659" s="101">
        <v>46260</v>
      </c>
      <c r="B1659" s="91" t="s">
        <v>1929</v>
      </c>
      <c r="C1659" s="102" t="s">
        <v>1930</v>
      </c>
      <c r="D1659" s="103" t="s">
        <v>26</v>
      </c>
      <c r="E1659" s="91" t="s">
        <v>1931</v>
      </c>
      <c r="F1659" s="91" t="s">
        <v>28</v>
      </c>
      <c r="G1659" s="91" t="s">
        <v>29</v>
      </c>
      <c r="H1659" s="104" t="str">
        <f t="shared" si="98"/>
        <v>F4001J20</v>
      </c>
      <c r="I1659" s="104"/>
      <c r="J1659" s="105">
        <v>108.9</v>
      </c>
      <c r="K1659" s="106"/>
      <c r="L1659" s="106">
        <v>0</v>
      </c>
      <c r="M1659" s="106">
        <f t="shared" si="97"/>
        <v>0</v>
      </c>
      <c r="N1659" s="106">
        <v>60.9</v>
      </c>
      <c r="O1659" s="107">
        <v>6632</v>
      </c>
      <c r="P1659" s="107">
        <v>25930</v>
      </c>
      <c r="Q1659" s="107">
        <v>171967760</v>
      </c>
      <c r="R1659" s="102" t="s">
        <v>30</v>
      </c>
      <c r="S1659" s="108"/>
      <c r="T1659" s="109"/>
      <c r="U1659" s="109"/>
      <c r="V1659" s="102"/>
      <c r="W1659" s="109"/>
      <c r="X1659" s="109"/>
      <c r="Y1659" s="110" t="s">
        <v>803</v>
      </c>
    </row>
    <row r="1660" spans="1:25" s="111" customFormat="1" x14ac:dyDescent="0.2">
      <c r="A1660" s="101">
        <v>46260</v>
      </c>
      <c r="B1660" s="91" t="s">
        <v>1929</v>
      </c>
      <c r="C1660" s="102" t="s">
        <v>1930</v>
      </c>
      <c r="D1660" s="103" t="s">
        <v>26</v>
      </c>
      <c r="E1660" s="91" t="s">
        <v>1931</v>
      </c>
      <c r="F1660" s="91" t="s">
        <v>1343</v>
      </c>
      <c r="G1660" s="91" t="s">
        <v>1344</v>
      </c>
      <c r="H1660" s="104" t="str">
        <f t="shared" si="98"/>
        <v>F6134J20</v>
      </c>
      <c r="I1660" s="104"/>
      <c r="J1660" s="105">
        <v>65.34</v>
      </c>
      <c r="K1660" s="106"/>
      <c r="L1660" s="106">
        <v>0</v>
      </c>
      <c r="M1660" s="106">
        <f t="shared" si="97"/>
        <v>0</v>
      </c>
      <c r="N1660" s="106">
        <v>65.099999999999994</v>
      </c>
      <c r="O1660" s="107">
        <v>4253.6400000000003</v>
      </c>
      <c r="P1660" s="107">
        <v>25930</v>
      </c>
      <c r="Q1660" s="107">
        <v>110296885</v>
      </c>
      <c r="R1660" s="102" t="s">
        <v>30</v>
      </c>
      <c r="S1660" s="108"/>
      <c r="T1660" s="109"/>
      <c r="U1660" s="109"/>
      <c r="V1660" s="102"/>
      <c r="W1660" s="109"/>
      <c r="X1660" s="109"/>
      <c r="Y1660" s="110" t="s">
        <v>803</v>
      </c>
    </row>
    <row r="1661" spans="1:25" s="111" customFormat="1" x14ac:dyDescent="0.2">
      <c r="A1661" s="101">
        <v>46260</v>
      </c>
      <c r="B1661" s="91" t="s">
        <v>1932</v>
      </c>
      <c r="C1661" s="102" t="s">
        <v>1933</v>
      </c>
      <c r="D1661" s="103" t="s">
        <v>26</v>
      </c>
      <c r="E1661" s="91" t="s">
        <v>1934</v>
      </c>
      <c r="F1661" s="91" t="s">
        <v>895</v>
      </c>
      <c r="G1661" s="91" t="s">
        <v>896</v>
      </c>
      <c r="H1661" s="104" t="str">
        <f t="shared" si="98"/>
        <v>C4143J30</v>
      </c>
      <c r="I1661" s="104"/>
      <c r="J1661" s="105">
        <v>38.119999999999997</v>
      </c>
      <c r="K1661" s="106"/>
      <c r="L1661" s="106">
        <v>0</v>
      </c>
      <c r="M1661" s="106">
        <f t="shared" si="97"/>
        <v>0</v>
      </c>
      <c r="N1661" s="106">
        <v>74.790000000000006</v>
      </c>
      <c r="O1661" s="107">
        <v>2851.03</v>
      </c>
      <c r="P1661" s="107">
        <v>25930</v>
      </c>
      <c r="Q1661" s="107">
        <v>73927208</v>
      </c>
      <c r="R1661" s="102" t="s">
        <v>30</v>
      </c>
      <c r="S1661" s="108"/>
      <c r="T1661" s="109"/>
      <c r="U1661" s="109"/>
      <c r="V1661" s="102"/>
      <c r="W1661" s="109"/>
      <c r="X1661" s="109"/>
      <c r="Y1661" s="110" t="s">
        <v>803</v>
      </c>
    </row>
    <row r="1662" spans="1:25" s="111" customFormat="1" x14ac:dyDescent="0.2">
      <c r="A1662" s="101">
        <v>46260</v>
      </c>
      <c r="B1662" s="91" t="s">
        <v>1932</v>
      </c>
      <c r="C1662" s="102" t="s">
        <v>1933</v>
      </c>
      <c r="D1662" s="103" t="s">
        <v>26</v>
      </c>
      <c r="E1662" s="91" t="s">
        <v>1934</v>
      </c>
      <c r="F1662" s="91" t="s">
        <v>741</v>
      </c>
      <c r="G1662" s="91" t="s">
        <v>262</v>
      </c>
      <c r="H1662" s="104" t="str">
        <f t="shared" si="98"/>
        <v>F5100J30</v>
      </c>
      <c r="I1662" s="104"/>
      <c r="J1662" s="105">
        <v>163.35</v>
      </c>
      <c r="K1662" s="106"/>
      <c r="L1662" s="106">
        <v>0</v>
      </c>
      <c r="M1662" s="106">
        <f t="shared" si="97"/>
        <v>0</v>
      </c>
      <c r="N1662" s="106">
        <v>81.400000000000006</v>
      </c>
      <c r="O1662" s="107">
        <v>13296.35</v>
      </c>
      <c r="P1662" s="107">
        <v>25930</v>
      </c>
      <c r="Q1662" s="107">
        <v>344774356</v>
      </c>
      <c r="R1662" s="102" t="s">
        <v>30</v>
      </c>
      <c r="S1662" s="108"/>
      <c r="T1662" s="109"/>
      <c r="U1662" s="109"/>
      <c r="V1662" s="102"/>
      <c r="W1662" s="109"/>
      <c r="X1662" s="109"/>
      <c r="Y1662" s="110" t="s">
        <v>803</v>
      </c>
    </row>
    <row r="1663" spans="1:25" s="111" customFormat="1" x14ac:dyDescent="0.2">
      <c r="A1663" s="101">
        <v>46260</v>
      </c>
      <c r="B1663" s="91" t="s">
        <v>1932</v>
      </c>
      <c r="C1663" s="102" t="s">
        <v>1933</v>
      </c>
      <c r="D1663" s="103" t="s">
        <v>26</v>
      </c>
      <c r="E1663" s="91" t="s">
        <v>1934</v>
      </c>
      <c r="F1663" s="91" t="s">
        <v>780</v>
      </c>
      <c r="G1663" s="91" t="s">
        <v>262</v>
      </c>
      <c r="H1663" s="104" t="str">
        <f t="shared" si="98"/>
        <v>F5100J30</v>
      </c>
      <c r="I1663" s="104"/>
      <c r="J1663" s="105">
        <v>103.46</v>
      </c>
      <c r="K1663" s="106"/>
      <c r="L1663" s="106">
        <v>0</v>
      </c>
      <c r="M1663" s="106">
        <f t="shared" si="97"/>
        <v>0</v>
      </c>
      <c r="N1663" s="106">
        <v>81.400000000000006</v>
      </c>
      <c r="O1663" s="107">
        <v>8421.43</v>
      </c>
      <c r="P1663" s="107">
        <v>25930</v>
      </c>
      <c r="Q1663" s="107">
        <v>218367680</v>
      </c>
      <c r="R1663" s="102" t="s">
        <v>30</v>
      </c>
      <c r="S1663" s="108"/>
      <c r="T1663" s="109"/>
      <c r="U1663" s="109"/>
      <c r="V1663" s="102"/>
      <c r="W1663" s="109"/>
      <c r="X1663" s="109"/>
      <c r="Y1663" s="110" t="s">
        <v>803</v>
      </c>
    </row>
    <row r="1664" spans="1:25" s="111" customFormat="1" x14ac:dyDescent="0.2">
      <c r="A1664" s="101">
        <v>46260</v>
      </c>
      <c r="B1664" s="91" t="s">
        <v>1935</v>
      </c>
      <c r="C1664" s="102" t="s">
        <v>1936</v>
      </c>
      <c r="D1664" s="103" t="s">
        <v>1937</v>
      </c>
      <c r="E1664" s="91" t="s">
        <v>1938</v>
      </c>
      <c r="F1664" s="91" t="s">
        <v>1939</v>
      </c>
      <c r="G1664" s="91" t="s">
        <v>1940</v>
      </c>
      <c r="H1664" s="104" t="str">
        <f t="shared" si="98"/>
        <v>F3146J20</v>
      </c>
      <c r="I1664" s="104"/>
      <c r="J1664" s="105">
        <v>3.6</v>
      </c>
      <c r="K1664" s="106"/>
      <c r="L1664" s="106">
        <v>0</v>
      </c>
      <c r="M1664" s="106">
        <f t="shared" si="97"/>
        <v>0</v>
      </c>
      <c r="N1664" s="106">
        <v>64</v>
      </c>
      <c r="O1664" s="107">
        <v>230.4</v>
      </c>
      <c r="P1664" s="107">
        <v>25930</v>
      </c>
      <c r="Q1664" s="107">
        <v>5974272</v>
      </c>
      <c r="R1664" s="102"/>
      <c r="S1664" s="108"/>
      <c r="T1664" s="109"/>
      <c r="U1664" s="109" t="s">
        <v>30</v>
      </c>
      <c r="V1664" s="102"/>
      <c r="W1664" s="109"/>
      <c r="X1664" s="109"/>
      <c r="Y1664" s="110" t="s">
        <v>932</v>
      </c>
    </row>
    <row r="1665" spans="1:25" s="111" customFormat="1" x14ac:dyDescent="0.2">
      <c r="A1665" s="101">
        <v>46260</v>
      </c>
      <c r="B1665" s="91" t="s">
        <v>1935</v>
      </c>
      <c r="C1665" s="102" t="s">
        <v>1936</v>
      </c>
      <c r="D1665" s="103" t="s">
        <v>1937</v>
      </c>
      <c r="E1665" s="91" t="s">
        <v>1938</v>
      </c>
      <c r="F1665" s="91" t="s">
        <v>1941</v>
      </c>
      <c r="G1665" s="91" t="s">
        <v>1942</v>
      </c>
      <c r="H1665" s="104" t="str">
        <f t="shared" si="98"/>
        <v>F3146J20</v>
      </c>
      <c r="I1665" s="104"/>
      <c r="J1665" s="105">
        <v>1</v>
      </c>
      <c r="K1665" s="106"/>
      <c r="L1665" s="106">
        <v>0</v>
      </c>
      <c r="M1665" s="106">
        <f t="shared" si="97"/>
        <v>0</v>
      </c>
      <c r="N1665" s="106">
        <v>64</v>
      </c>
      <c r="O1665" s="107">
        <v>64</v>
      </c>
      <c r="P1665" s="107">
        <v>25930</v>
      </c>
      <c r="Q1665" s="107">
        <v>1659520</v>
      </c>
      <c r="R1665" s="102"/>
      <c r="S1665" s="108"/>
      <c r="T1665" s="109"/>
      <c r="U1665" s="109" t="s">
        <v>30</v>
      </c>
      <c r="V1665" s="102"/>
      <c r="W1665" s="109"/>
      <c r="X1665" s="109"/>
      <c r="Y1665" s="110" t="s">
        <v>932</v>
      </c>
    </row>
    <row r="1666" spans="1:25" s="111" customFormat="1" x14ac:dyDescent="0.2">
      <c r="A1666" s="101">
        <v>46260</v>
      </c>
      <c r="B1666" s="91" t="s">
        <v>1935</v>
      </c>
      <c r="C1666" s="102" t="s">
        <v>1936</v>
      </c>
      <c r="D1666" s="103" t="s">
        <v>1937</v>
      </c>
      <c r="E1666" s="91" t="s">
        <v>1938</v>
      </c>
      <c r="F1666" s="91" t="s">
        <v>1939</v>
      </c>
      <c r="G1666" s="91" t="s">
        <v>1940</v>
      </c>
      <c r="H1666" s="104" t="str">
        <f t="shared" si="98"/>
        <v>F3146J20</v>
      </c>
      <c r="I1666" s="104"/>
      <c r="J1666" s="105">
        <v>1.8</v>
      </c>
      <c r="K1666" s="106"/>
      <c r="L1666" s="106">
        <v>0</v>
      </c>
      <c r="M1666" s="106">
        <f t="shared" si="97"/>
        <v>0</v>
      </c>
      <c r="N1666" s="106">
        <v>64</v>
      </c>
      <c r="O1666" s="107">
        <v>115.2</v>
      </c>
      <c r="P1666" s="107">
        <v>25930</v>
      </c>
      <c r="Q1666" s="107">
        <v>2987136</v>
      </c>
      <c r="R1666" s="102"/>
      <c r="S1666" s="108"/>
      <c r="T1666" s="109"/>
      <c r="U1666" s="109" t="s">
        <v>30</v>
      </c>
      <c r="V1666" s="102"/>
      <c r="W1666" s="109"/>
      <c r="X1666" s="109"/>
      <c r="Y1666" s="110" t="s">
        <v>932</v>
      </c>
    </row>
    <row r="1667" spans="1:25" s="111" customFormat="1" x14ac:dyDescent="0.2">
      <c r="A1667" s="101">
        <v>46260</v>
      </c>
      <c r="B1667" s="91" t="s">
        <v>1935</v>
      </c>
      <c r="C1667" s="102" t="s">
        <v>1936</v>
      </c>
      <c r="D1667" s="103" t="s">
        <v>1937</v>
      </c>
      <c r="E1667" s="91" t="s">
        <v>1938</v>
      </c>
      <c r="F1667" s="91" t="s">
        <v>1941</v>
      </c>
      <c r="G1667" s="91" t="s">
        <v>1942</v>
      </c>
      <c r="H1667" s="104" t="str">
        <f t="shared" si="98"/>
        <v>F3146J20</v>
      </c>
      <c r="I1667" s="104"/>
      <c r="J1667" s="105">
        <v>0.3</v>
      </c>
      <c r="K1667" s="106"/>
      <c r="L1667" s="106">
        <v>0</v>
      </c>
      <c r="M1667" s="106">
        <f t="shared" si="97"/>
        <v>0</v>
      </c>
      <c r="N1667" s="106">
        <v>64</v>
      </c>
      <c r="O1667" s="107">
        <v>19.2</v>
      </c>
      <c r="P1667" s="107">
        <v>25930</v>
      </c>
      <c r="Q1667" s="107">
        <v>497856</v>
      </c>
      <c r="R1667" s="102"/>
      <c r="S1667" s="108"/>
      <c r="T1667" s="109"/>
      <c r="U1667" s="109" t="s">
        <v>30</v>
      </c>
      <c r="V1667" s="102"/>
      <c r="W1667" s="109"/>
      <c r="X1667" s="109"/>
      <c r="Y1667" s="110" t="s">
        <v>932</v>
      </c>
    </row>
    <row r="1668" spans="1:25" s="111" customFormat="1" x14ac:dyDescent="0.2">
      <c r="A1668" s="101">
        <v>46260</v>
      </c>
      <c r="B1668" s="91" t="s">
        <v>1935</v>
      </c>
      <c r="C1668" s="102" t="s">
        <v>1936</v>
      </c>
      <c r="D1668" s="103" t="s">
        <v>1937</v>
      </c>
      <c r="E1668" s="91" t="s">
        <v>1938</v>
      </c>
      <c r="F1668" s="91" t="s">
        <v>1943</v>
      </c>
      <c r="G1668" s="91" t="s">
        <v>1944</v>
      </c>
      <c r="H1668" s="104" t="str">
        <f t="shared" si="98"/>
        <v>F3146J20</v>
      </c>
      <c r="I1668" s="104"/>
      <c r="J1668" s="105">
        <v>462.83</v>
      </c>
      <c r="K1668" s="106"/>
      <c r="L1668" s="106">
        <v>0</v>
      </c>
      <c r="M1668" s="106">
        <f t="shared" si="97"/>
        <v>0</v>
      </c>
      <c r="N1668" s="106">
        <v>63.13</v>
      </c>
      <c r="O1668" s="107">
        <v>29220.59</v>
      </c>
      <c r="P1668" s="107">
        <v>25930</v>
      </c>
      <c r="Q1668" s="107">
        <v>757689899</v>
      </c>
      <c r="R1668" s="102" t="s">
        <v>30</v>
      </c>
      <c r="S1668" s="108"/>
      <c r="T1668" s="109"/>
      <c r="U1668" s="109"/>
      <c r="V1668" s="102"/>
      <c r="W1668" s="109"/>
      <c r="X1668" s="109"/>
      <c r="Y1668" s="110" t="s">
        <v>932</v>
      </c>
    </row>
    <row r="1669" spans="1:25" s="111" customFormat="1" x14ac:dyDescent="0.2">
      <c r="A1669" s="101">
        <v>46260</v>
      </c>
      <c r="B1669" s="91" t="s">
        <v>1935</v>
      </c>
      <c r="C1669" s="102" t="s">
        <v>1936</v>
      </c>
      <c r="D1669" s="103" t="s">
        <v>1937</v>
      </c>
      <c r="E1669" s="91" t="s">
        <v>1938</v>
      </c>
      <c r="F1669" s="91" t="s">
        <v>1945</v>
      </c>
      <c r="G1669" s="91" t="s">
        <v>1944</v>
      </c>
      <c r="H1669" s="104" t="str">
        <f t="shared" si="98"/>
        <v>F3146J20</v>
      </c>
      <c r="I1669" s="104"/>
      <c r="J1669" s="105">
        <v>32.67</v>
      </c>
      <c r="K1669" s="106"/>
      <c r="L1669" s="106">
        <v>0</v>
      </c>
      <c r="M1669" s="106">
        <f t="shared" si="97"/>
        <v>0</v>
      </c>
      <c r="N1669" s="106">
        <v>63.13</v>
      </c>
      <c r="O1669" s="107">
        <v>2062.61</v>
      </c>
      <c r="P1669" s="107">
        <v>25930</v>
      </c>
      <c r="Q1669" s="107">
        <v>53483477</v>
      </c>
      <c r="R1669" s="102" t="s">
        <v>30</v>
      </c>
      <c r="S1669" s="108"/>
      <c r="T1669" s="109"/>
      <c r="U1669" s="109"/>
      <c r="V1669" s="102"/>
      <c r="W1669" s="109"/>
      <c r="X1669" s="109"/>
      <c r="Y1669" s="110" t="s">
        <v>932</v>
      </c>
    </row>
    <row r="1670" spans="1:25" s="111" customFormat="1" x14ac:dyDescent="0.2">
      <c r="A1670" s="101">
        <v>46260</v>
      </c>
      <c r="B1670" s="91" t="s">
        <v>1935</v>
      </c>
      <c r="C1670" s="102" t="s">
        <v>1936</v>
      </c>
      <c r="D1670" s="103" t="s">
        <v>1937</v>
      </c>
      <c r="E1670" s="91" t="s">
        <v>1938</v>
      </c>
      <c r="F1670" s="91" t="s">
        <v>1946</v>
      </c>
      <c r="G1670" s="91" t="s">
        <v>1947</v>
      </c>
      <c r="H1670" s="104" t="str">
        <f t="shared" si="98"/>
        <v>F3146J30</v>
      </c>
      <c r="I1670" s="104"/>
      <c r="J1670" s="105">
        <v>337.59</v>
      </c>
      <c r="K1670" s="106"/>
      <c r="L1670" s="106">
        <v>0</v>
      </c>
      <c r="M1670" s="106">
        <f t="shared" si="97"/>
        <v>0</v>
      </c>
      <c r="N1670" s="106">
        <v>81</v>
      </c>
      <c r="O1670" s="107">
        <v>27344.79</v>
      </c>
      <c r="P1670" s="107">
        <v>25930</v>
      </c>
      <c r="Q1670" s="107">
        <v>709050405</v>
      </c>
      <c r="R1670" s="102" t="s">
        <v>30</v>
      </c>
      <c r="S1670" s="108"/>
      <c r="T1670" s="109"/>
      <c r="U1670" s="109"/>
      <c r="V1670" s="102"/>
      <c r="W1670" s="109"/>
      <c r="X1670" s="109"/>
      <c r="Y1670" s="110" t="s">
        <v>932</v>
      </c>
    </row>
    <row r="1671" spans="1:25" s="111" customFormat="1" x14ac:dyDescent="0.2">
      <c r="A1671" s="101">
        <v>46260</v>
      </c>
      <c r="B1671" s="91" t="s">
        <v>1948</v>
      </c>
      <c r="C1671" s="102" t="s">
        <v>1949</v>
      </c>
      <c r="D1671" s="103" t="s">
        <v>1160</v>
      </c>
      <c r="E1671" s="91" t="s">
        <v>1950</v>
      </c>
      <c r="F1671" s="91" t="s">
        <v>1951</v>
      </c>
      <c r="G1671" s="91" t="s">
        <v>1952</v>
      </c>
      <c r="H1671" s="104" t="str">
        <f t="shared" si="98"/>
        <v>C4143J20</v>
      </c>
      <c r="I1671" s="104"/>
      <c r="J1671" s="105">
        <v>0.94</v>
      </c>
      <c r="K1671" s="106"/>
      <c r="L1671" s="106">
        <v>0</v>
      </c>
      <c r="M1671" s="106">
        <f t="shared" si="97"/>
        <v>0</v>
      </c>
      <c r="N1671" s="106">
        <v>60</v>
      </c>
      <c r="O1671" s="107">
        <v>56.4</v>
      </c>
      <c r="P1671" s="107">
        <v>25930</v>
      </c>
      <c r="Q1671" s="107">
        <v>1462452</v>
      </c>
      <c r="R1671" s="102"/>
      <c r="S1671" s="108"/>
      <c r="T1671" s="109"/>
      <c r="U1671" s="109" t="s">
        <v>30</v>
      </c>
      <c r="V1671" s="102"/>
      <c r="W1671" s="109"/>
      <c r="X1671" s="109"/>
      <c r="Y1671" s="110" t="s">
        <v>31</v>
      </c>
    </row>
    <row r="1672" spans="1:25" s="111" customFormat="1" x14ac:dyDescent="0.2">
      <c r="A1672" s="101">
        <v>46260</v>
      </c>
      <c r="B1672" s="91" t="s">
        <v>1948</v>
      </c>
      <c r="C1672" s="102" t="s">
        <v>1949</v>
      </c>
      <c r="D1672" s="103" t="s">
        <v>1160</v>
      </c>
      <c r="E1672" s="91" t="s">
        <v>1950</v>
      </c>
      <c r="F1672" s="91" t="s">
        <v>1951</v>
      </c>
      <c r="G1672" s="91" t="s">
        <v>1952</v>
      </c>
      <c r="H1672" s="104" t="str">
        <f t="shared" si="98"/>
        <v>C4143J20</v>
      </c>
      <c r="I1672" s="104"/>
      <c r="J1672" s="105">
        <v>0.9</v>
      </c>
      <c r="K1672" s="106"/>
      <c r="L1672" s="106">
        <v>0</v>
      </c>
      <c r="M1672" s="106">
        <f t="shared" si="97"/>
        <v>0</v>
      </c>
      <c r="N1672" s="106">
        <v>60</v>
      </c>
      <c r="O1672" s="107">
        <v>54</v>
      </c>
      <c r="P1672" s="107">
        <v>25930</v>
      </c>
      <c r="Q1672" s="107">
        <v>1400220</v>
      </c>
      <c r="R1672" s="102"/>
      <c r="S1672" s="108"/>
      <c r="T1672" s="109"/>
      <c r="U1672" s="109" t="s">
        <v>30</v>
      </c>
      <c r="V1672" s="102"/>
      <c r="W1672" s="109"/>
      <c r="X1672" s="109"/>
      <c r="Y1672" s="110" t="s">
        <v>31</v>
      </c>
    </row>
    <row r="1673" spans="1:25" s="111" customFormat="1" x14ac:dyDescent="0.2">
      <c r="A1673" s="101">
        <v>46260</v>
      </c>
      <c r="B1673" s="91" t="s">
        <v>1948</v>
      </c>
      <c r="C1673" s="102" t="s">
        <v>1949</v>
      </c>
      <c r="D1673" s="103" t="s">
        <v>1160</v>
      </c>
      <c r="E1673" s="91" t="s">
        <v>1950</v>
      </c>
      <c r="F1673" s="91" t="s">
        <v>895</v>
      </c>
      <c r="G1673" s="91" t="s">
        <v>896</v>
      </c>
      <c r="H1673" s="104" t="str">
        <f t="shared" si="98"/>
        <v>C4143J30</v>
      </c>
      <c r="I1673" s="104"/>
      <c r="J1673" s="105">
        <v>381.16</v>
      </c>
      <c r="K1673" s="106"/>
      <c r="L1673" s="106">
        <v>0</v>
      </c>
      <c r="M1673" s="106">
        <f t="shared" si="97"/>
        <v>0</v>
      </c>
      <c r="N1673" s="106">
        <v>75.31</v>
      </c>
      <c r="O1673" s="107">
        <v>28705.3</v>
      </c>
      <c r="P1673" s="107">
        <v>25930</v>
      </c>
      <c r="Q1673" s="107">
        <v>744328429</v>
      </c>
      <c r="R1673" s="102" t="s">
        <v>30</v>
      </c>
      <c r="S1673" s="108"/>
      <c r="T1673" s="109"/>
      <c r="U1673" s="109"/>
      <c r="V1673" s="102"/>
      <c r="W1673" s="109"/>
      <c r="X1673" s="109"/>
      <c r="Y1673" s="110" t="s">
        <v>31</v>
      </c>
    </row>
    <row r="1674" spans="1:25" s="111" customFormat="1" x14ac:dyDescent="0.2">
      <c r="A1674" s="101">
        <v>46260</v>
      </c>
      <c r="B1674" s="91" t="s">
        <v>1953</v>
      </c>
      <c r="C1674" s="102" t="s">
        <v>1954</v>
      </c>
      <c r="D1674" s="103" t="s">
        <v>196</v>
      </c>
      <c r="E1674" s="91" t="s">
        <v>1955</v>
      </c>
      <c r="F1674" s="91" t="s">
        <v>1956</v>
      </c>
      <c r="G1674" s="91" t="s">
        <v>1957</v>
      </c>
      <c r="H1674" s="104" t="str">
        <f t="shared" si="98"/>
        <v>F5033J20</v>
      </c>
      <c r="I1674" s="104"/>
      <c r="J1674" s="105">
        <v>87.12</v>
      </c>
      <c r="K1674" s="106"/>
      <c r="L1674" s="106">
        <v>0</v>
      </c>
      <c r="M1674" s="106">
        <f t="shared" si="97"/>
        <v>0</v>
      </c>
      <c r="N1674" s="106">
        <v>83.31</v>
      </c>
      <c r="O1674" s="107">
        <v>7257.76</v>
      </c>
      <c r="P1674" s="107">
        <v>25930</v>
      </c>
      <c r="Q1674" s="107">
        <v>188193717</v>
      </c>
      <c r="R1674" s="102" t="s">
        <v>30</v>
      </c>
      <c r="S1674" s="108"/>
      <c r="T1674" s="109"/>
      <c r="U1674" s="109"/>
      <c r="V1674" s="102"/>
      <c r="W1674" s="109"/>
      <c r="X1674" s="109"/>
      <c r="Y1674" s="110" t="s">
        <v>31</v>
      </c>
    </row>
    <row r="1675" spans="1:25" s="111" customFormat="1" x14ac:dyDescent="0.2">
      <c r="A1675" s="101">
        <v>46260</v>
      </c>
      <c r="B1675" s="91" t="s">
        <v>1953</v>
      </c>
      <c r="C1675" s="102" t="s">
        <v>1954</v>
      </c>
      <c r="D1675" s="103" t="s">
        <v>196</v>
      </c>
      <c r="E1675" s="91" t="s">
        <v>1955</v>
      </c>
      <c r="F1675" s="91" t="s">
        <v>1822</v>
      </c>
      <c r="G1675" s="91" t="s">
        <v>1823</v>
      </c>
      <c r="H1675" s="104" t="str">
        <f t="shared" si="98"/>
        <v>F5033J30</v>
      </c>
      <c r="I1675" s="104"/>
      <c r="J1675" s="105">
        <v>272.25</v>
      </c>
      <c r="K1675" s="106"/>
      <c r="L1675" s="106">
        <v>0</v>
      </c>
      <c r="M1675" s="106">
        <f t="shared" si="97"/>
        <v>0</v>
      </c>
      <c r="N1675" s="106">
        <v>98.36</v>
      </c>
      <c r="O1675" s="107">
        <v>26779.5</v>
      </c>
      <c r="P1675" s="107">
        <v>25930</v>
      </c>
      <c r="Q1675" s="107">
        <v>694392435</v>
      </c>
      <c r="R1675" s="102" t="s">
        <v>30</v>
      </c>
      <c r="S1675" s="108"/>
      <c r="T1675" s="109"/>
      <c r="U1675" s="109"/>
      <c r="V1675" s="102"/>
      <c r="W1675" s="109"/>
      <c r="X1675" s="109"/>
      <c r="Y1675" s="110" t="s">
        <v>31</v>
      </c>
    </row>
    <row r="1676" spans="1:25" s="111" customFormat="1" x14ac:dyDescent="0.2">
      <c r="A1676" s="101">
        <v>46260</v>
      </c>
      <c r="B1676" s="91" t="s">
        <v>1958</v>
      </c>
      <c r="C1676" s="102" t="s">
        <v>1959</v>
      </c>
      <c r="D1676" s="103" t="s">
        <v>427</v>
      </c>
      <c r="E1676" s="91" t="s">
        <v>1960</v>
      </c>
      <c r="F1676" s="91" t="s">
        <v>1961</v>
      </c>
      <c r="G1676" s="91" t="s">
        <v>1962</v>
      </c>
      <c r="H1676" s="104" t="str">
        <f t="shared" si="98"/>
        <v>C4348J20</v>
      </c>
      <c r="I1676" s="104"/>
      <c r="J1676" s="105">
        <v>2.9</v>
      </c>
      <c r="K1676" s="106"/>
      <c r="L1676" s="106">
        <v>0</v>
      </c>
      <c r="M1676" s="106">
        <f t="shared" si="97"/>
        <v>0</v>
      </c>
      <c r="N1676" s="106">
        <v>65</v>
      </c>
      <c r="O1676" s="107">
        <v>188.5</v>
      </c>
      <c r="P1676" s="107">
        <v>25930</v>
      </c>
      <c r="Q1676" s="107">
        <v>4887805</v>
      </c>
      <c r="R1676" s="102"/>
      <c r="S1676" s="108"/>
      <c r="T1676" s="109"/>
      <c r="U1676" s="109" t="s">
        <v>30</v>
      </c>
      <c r="V1676" s="102"/>
      <c r="W1676" s="109"/>
      <c r="X1676" s="109"/>
      <c r="Y1676" s="110" t="s">
        <v>31</v>
      </c>
    </row>
    <row r="1677" spans="1:25" s="111" customFormat="1" x14ac:dyDescent="0.2">
      <c r="A1677" s="101">
        <v>46260</v>
      </c>
      <c r="B1677" s="91" t="s">
        <v>1958</v>
      </c>
      <c r="C1677" s="102" t="s">
        <v>1959</v>
      </c>
      <c r="D1677" s="103" t="s">
        <v>427</v>
      </c>
      <c r="E1677" s="91" t="s">
        <v>1960</v>
      </c>
      <c r="F1677" s="91" t="s">
        <v>554</v>
      </c>
      <c r="G1677" s="91" t="s">
        <v>555</v>
      </c>
      <c r="H1677" s="104" t="str">
        <f t="shared" si="98"/>
        <v>C4145J30</v>
      </c>
      <c r="I1677" s="104"/>
      <c r="J1677" s="105">
        <v>147.02000000000001</v>
      </c>
      <c r="K1677" s="106"/>
      <c r="L1677" s="106">
        <v>0</v>
      </c>
      <c r="M1677" s="106">
        <f t="shared" ref="M1677:M1740" si="99">L1677-K1677</f>
        <v>0</v>
      </c>
      <c r="N1677" s="106">
        <v>77.47</v>
      </c>
      <c r="O1677" s="107">
        <v>11389.33</v>
      </c>
      <c r="P1677" s="107">
        <v>25930</v>
      </c>
      <c r="Q1677" s="107">
        <v>295325327</v>
      </c>
      <c r="R1677" s="102" t="s">
        <v>30</v>
      </c>
      <c r="S1677" s="108"/>
      <c r="T1677" s="109"/>
      <c r="U1677" s="109"/>
      <c r="V1677" s="102"/>
      <c r="W1677" s="109"/>
      <c r="X1677" s="109"/>
      <c r="Y1677" s="110" t="s">
        <v>31</v>
      </c>
    </row>
    <row r="1678" spans="1:25" s="111" customFormat="1" x14ac:dyDescent="0.2">
      <c r="A1678" s="101">
        <v>46260</v>
      </c>
      <c r="B1678" s="91" t="s">
        <v>1958</v>
      </c>
      <c r="C1678" s="102" t="s">
        <v>1959</v>
      </c>
      <c r="D1678" s="103" t="s">
        <v>427</v>
      </c>
      <c r="E1678" s="91" t="s">
        <v>1960</v>
      </c>
      <c r="F1678" s="91" t="s">
        <v>1871</v>
      </c>
      <c r="G1678" s="91" t="s">
        <v>1872</v>
      </c>
      <c r="H1678" s="104" t="str">
        <f t="shared" ref="H1678:H1741" si="100">IF(LEN(G1678)=13,LEFT(G1678,5)&amp;MID(G1678,SEARCH("-J",G1678)+1,3),LEFT(G1678,5)&amp;"J20")</f>
        <v>C5445J30</v>
      </c>
      <c r="I1678" s="104"/>
      <c r="J1678" s="105">
        <v>147.02000000000001</v>
      </c>
      <c r="K1678" s="106"/>
      <c r="L1678" s="106">
        <v>0</v>
      </c>
      <c r="M1678" s="106">
        <f t="shared" si="99"/>
        <v>0</v>
      </c>
      <c r="N1678" s="106">
        <v>80.849999999999994</v>
      </c>
      <c r="O1678" s="107">
        <v>11886.57</v>
      </c>
      <c r="P1678" s="107">
        <v>25930</v>
      </c>
      <c r="Q1678" s="107">
        <v>308218760</v>
      </c>
      <c r="R1678" s="102" t="s">
        <v>30</v>
      </c>
      <c r="S1678" s="108"/>
      <c r="T1678" s="109"/>
      <c r="U1678" s="109"/>
      <c r="V1678" s="102"/>
      <c r="W1678" s="109"/>
      <c r="X1678" s="109"/>
      <c r="Y1678" s="110" t="s">
        <v>31</v>
      </c>
    </row>
    <row r="1679" spans="1:25" s="111" customFormat="1" x14ac:dyDescent="0.2">
      <c r="A1679" s="101">
        <v>46260</v>
      </c>
      <c r="B1679" s="91" t="s">
        <v>1963</v>
      </c>
      <c r="C1679" s="102" t="s">
        <v>1964</v>
      </c>
      <c r="D1679" s="103" t="s">
        <v>427</v>
      </c>
      <c r="E1679" s="91" t="s">
        <v>1965</v>
      </c>
      <c r="F1679" s="91" t="s">
        <v>1966</v>
      </c>
      <c r="G1679" s="91" t="s">
        <v>1967</v>
      </c>
      <c r="H1679" s="104" t="str">
        <f t="shared" si="100"/>
        <v>C3105J20</v>
      </c>
      <c r="I1679" s="104"/>
      <c r="J1679" s="105">
        <v>2.9</v>
      </c>
      <c r="K1679" s="106"/>
      <c r="L1679" s="106">
        <v>0</v>
      </c>
      <c r="M1679" s="106">
        <f t="shared" si="99"/>
        <v>0</v>
      </c>
      <c r="N1679" s="106">
        <v>60</v>
      </c>
      <c r="O1679" s="107">
        <v>174</v>
      </c>
      <c r="P1679" s="107">
        <v>25930</v>
      </c>
      <c r="Q1679" s="107">
        <v>4511820</v>
      </c>
      <c r="R1679" s="102"/>
      <c r="S1679" s="108"/>
      <c r="T1679" s="109"/>
      <c r="U1679" s="109" t="s">
        <v>30</v>
      </c>
      <c r="V1679" s="102"/>
      <c r="W1679" s="109"/>
      <c r="X1679" s="109"/>
      <c r="Y1679" s="110" t="s">
        <v>31</v>
      </c>
    </row>
    <row r="1680" spans="1:25" s="111" customFormat="1" x14ac:dyDescent="0.2">
      <c r="A1680" s="101">
        <v>46260</v>
      </c>
      <c r="B1680" s="91" t="s">
        <v>1963</v>
      </c>
      <c r="C1680" s="102" t="s">
        <v>1964</v>
      </c>
      <c r="D1680" s="103" t="s">
        <v>427</v>
      </c>
      <c r="E1680" s="91" t="s">
        <v>1965</v>
      </c>
      <c r="F1680" s="91" t="s">
        <v>1871</v>
      </c>
      <c r="G1680" s="91" t="s">
        <v>1872</v>
      </c>
      <c r="H1680" s="104" t="str">
        <f t="shared" si="100"/>
        <v>C5445J30</v>
      </c>
      <c r="I1680" s="104"/>
      <c r="J1680" s="105">
        <v>294.02999999999997</v>
      </c>
      <c r="K1680" s="106"/>
      <c r="L1680" s="106">
        <v>0</v>
      </c>
      <c r="M1680" s="106">
        <f t="shared" si="99"/>
        <v>0</v>
      </c>
      <c r="N1680" s="106">
        <v>78.63</v>
      </c>
      <c r="O1680" s="107">
        <v>23119.17</v>
      </c>
      <c r="P1680" s="107">
        <v>25930</v>
      </c>
      <c r="Q1680" s="107">
        <v>599480078</v>
      </c>
      <c r="R1680" s="102" t="s">
        <v>30</v>
      </c>
      <c r="S1680" s="108"/>
      <c r="T1680" s="109"/>
      <c r="U1680" s="109"/>
      <c r="V1680" s="102"/>
      <c r="W1680" s="109"/>
      <c r="X1680" s="109"/>
      <c r="Y1680" s="110" t="s">
        <v>31</v>
      </c>
    </row>
    <row r="1681" spans="1:25" s="111" customFormat="1" x14ac:dyDescent="0.2">
      <c r="A1681" s="101">
        <v>46261</v>
      </c>
      <c r="B1681" s="91" t="s">
        <v>1968</v>
      </c>
      <c r="C1681" s="102" t="s">
        <v>1969</v>
      </c>
      <c r="D1681" s="103" t="s">
        <v>26</v>
      </c>
      <c r="E1681" s="91" t="s">
        <v>1970</v>
      </c>
      <c r="F1681" s="91" t="s">
        <v>186</v>
      </c>
      <c r="G1681" s="91" t="s">
        <v>187</v>
      </c>
      <c r="H1681" s="104" t="str">
        <f t="shared" si="100"/>
        <v>C6131J20</v>
      </c>
      <c r="I1681" s="104"/>
      <c r="J1681" s="105">
        <v>6.25</v>
      </c>
      <c r="K1681" s="106"/>
      <c r="L1681" s="106">
        <v>0</v>
      </c>
      <c r="M1681" s="106">
        <f t="shared" si="99"/>
        <v>0</v>
      </c>
      <c r="N1681" s="106">
        <v>94.72</v>
      </c>
      <c r="O1681" s="107">
        <v>592</v>
      </c>
      <c r="P1681" s="107">
        <v>25930</v>
      </c>
      <c r="Q1681" s="107">
        <v>15350560</v>
      </c>
      <c r="R1681" s="102"/>
      <c r="S1681" s="108"/>
      <c r="T1681" s="109"/>
      <c r="U1681" s="109" t="s">
        <v>30</v>
      </c>
      <c r="V1681" s="102"/>
      <c r="W1681" s="109"/>
      <c r="X1681" s="109"/>
      <c r="Y1681" s="110" t="s">
        <v>369</v>
      </c>
    </row>
    <row r="1682" spans="1:25" s="111" customFormat="1" x14ac:dyDescent="0.2">
      <c r="A1682" s="101">
        <v>46261</v>
      </c>
      <c r="B1682" s="91" t="s">
        <v>1968</v>
      </c>
      <c r="C1682" s="102" t="s">
        <v>1969</v>
      </c>
      <c r="D1682" s="103" t="s">
        <v>26</v>
      </c>
      <c r="E1682" s="91" t="s">
        <v>1970</v>
      </c>
      <c r="F1682" s="91" t="s">
        <v>1971</v>
      </c>
      <c r="G1682" s="91" t="s">
        <v>1928</v>
      </c>
      <c r="H1682" s="104" t="str">
        <f t="shared" si="100"/>
        <v>C5000J20</v>
      </c>
      <c r="I1682" s="104"/>
      <c r="J1682" s="105">
        <v>10.89</v>
      </c>
      <c r="K1682" s="106"/>
      <c r="L1682" s="106">
        <v>0</v>
      </c>
      <c r="M1682" s="106">
        <f t="shared" si="99"/>
        <v>0</v>
      </c>
      <c r="N1682" s="106">
        <v>59.9</v>
      </c>
      <c r="O1682" s="107">
        <v>652.32000000000005</v>
      </c>
      <c r="P1682" s="107">
        <v>25930</v>
      </c>
      <c r="Q1682" s="107">
        <v>16914658</v>
      </c>
      <c r="R1682" s="102" t="s">
        <v>30</v>
      </c>
      <c r="S1682" s="108"/>
      <c r="T1682" s="109"/>
      <c r="U1682" s="109"/>
      <c r="V1682" s="102"/>
      <c r="W1682" s="109"/>
      <c r="X1682" s="109"/>
      <c r="Y1682" s="110" t="s">
        <v>369</v>
      </c>
    </row>
    <row r="1683" spans="1:25" s="111" customFormat="1" x14ac:dyDescent="0.2">
      <c r="A1683" s="101">
        <v>46261</v>
      </c>
      <c r="B1683" s="91" t="s">
        <v>1968</v>
      </c>
      <c r="C1683" s="102" t="s">
        <v>1969</v>
      </c>
      <c r="D1683" s="103" t="s">
        <v>26</v>
      </c>
      <c r="E1683" s="91" t="s">
        <v>1970</v>
      </c>
      <c r="F1683" s="91" t="s">
        <v>1927</v>
      </c>
      <c r="G1683" s="91" t="s">
        <v>1928</v>
      </c>
      <c r="H1683" s="104" t="str">
        <f t="shared" si="100"/>
        <v>C5000J20</v>
      </c>
      <c r="I1683" s="104"/>
      <c r="J1683" s="105">
        <v>5.45</v>
      </c>
      <c r="K1683" s="106"/>
      <c r="L1683" s="106">
        <v>0</v>
      </c>
      <c r="M1683" s="106">
        <f t="shared" si="99"/>
        <v>0</v>
      </c>
      <c r="N1683" s="106">
        <v>59.9</v>
      </c>
      <c r="O1683" s="107">
        <v>326.45999999999998</v>
      </c>
      <c r="P1683" s="107">
        <v>25930</v>
      </c>
      <c r="Q1683" s="107">
        <v>8465108</v>
      </c>
      <c r="R1683" s="102" t="s">
        <v>30</v>
      </c>
      <c r="S1683" s="108"/>
      <c r="T1683" s="109"/>
      <c r="U1683" s="109"/>
      <c r="V1683" s="102"/>
      <c r="W1683" s="109"/>
      <c r="X1683" s="109"/>
      <c r="Y1683" s="110" t="s">
        <v>369</v>
      </c>
    </row>
    <row r="1684" spans="1:25" s="111" customFormat="1" x14ac:dyDescent="0.2">
      <c r="A1684" s="101">
        <v>46261</v>
      </c>
      <c r="B1684" s="91" t="s">
        <v>1968</v>
      </c>
      <c r="C1684" s="102" t="s">
        <v>1969</v>
      </c>
      <c r="D1684" s="103" t="s">
        <v>26</v>
      </c>
      <c r="E1684" s="91" t="s">
        <v>1970</v>
      </c>
      <c r="F1684" s="91" t="s">
        <v>1927</v>
      </c>
      <c r="G1684" s="91" t="s">
        <v>1928</v>
      </c>
      <c r="H1684" s="104" t="str">
        <f t="shared" si="100"/>
        <v>C5000J20</v>
      </c>
      <c r="I1684" s="104"/>
      <c r="J1684" s="105">
        <v>87.11</v>
      </c>
      <c r="K1684" s="106"/>
      <c r="L1684" s="106">
        <v>0</v>
      </c>
      <c r="M1684" s="106">
        <f t="shared" si="99"/>
        <v>0</v>
      </c>
      <c r="N1684" s="106">
        <v>59.9</v>
      </c>
      <c r="O1684" s="107">
        <v>5217.96</v>
      </c>
      <c r="P1684" s="107">
        <v>25930</v>
      </c>
      <c r="Q1684" s="107">
        <v>135301703</v>
      </c>
      <c r="R1684" s="102" t="s">
        <v>30</v>
      </c>
      <c r="S1684" s="108"/>
      <c r="T1684" s="109"/>
      <c r="U1684" s="109"/>
      <c r="V1684" s="102"/>
      <c r="W1684" s="109"/>
      <c r="X1684" s="109"/>
      <c r="Y1684" s="110" t="s">
        <v>369</v>
      </c>
    </row>
    <row r="1685" spans="1:25" s="111" customFormat="1" x14ac:dyDescent="0.2">
      <c r="A1685" s="101">
        <v>46261</v>
      </c>
      <c r="B1685" s="91" t="s">
        <v>1968</v>
      </c>
      <c r="C1685" s="102" t="s">
        <v>1969</v>
      </c>
      <c r="D1685" s="103" t="s">
        <v>26</v>
      </c>
      <c r="E1685" s="91" t="s">
        <v>1970</v>
      </c>
      <c r="F1685" s="91" t="s">
        <v>1972</v>
      </c>
      <c r="G1685" s="91" t="s">
        <v>1928</v>
      </c>
      <c r="H1685" s="104" t="str">
        <f t="shared" si="100"/>
        <v>C5000J20</v>
      </c>
      <c r="I1685" s="104"/>
      <c r="J1685" s="105">
        <v>5.45</v>
      </c>
      <c r="K1685" s="106"/>
      <c r="L1685" s="106">
        <v>0</v>
      </c>
      <c r="M1685" s="106">
        <f t="shared" si="99"/>
        <v>0</v>
      </c>
      <c r="N1685" s="106">
        <v>59.9</v>
      </c>
      <c r="O1685" s="107">
        <v>326.45999999999998</v>
      </c>
      <c r="P1685" s="107">
        <v>25930</v>
      </c>
      <c r="Q1685" s="107">
        <v>8465108</v>
      </c>
      <c r="R1685" s="102" t="s">
        <v>30</v>
      </c>
      <c r="S1685" s="108"/>
      <c r="T1685" s="109"/>
      <c r="U1685" s="109"/>
      <c r="V1685" s="102"/>
      <c r="W1685" s="109"/>
      <c r="X1685" s="109"/>
      <c r="Y1685" s="110" t="s">
        <v>369</v>
      </c>
    </row>
    <row r="1686" spans="1:25" s="111" customFormat="1" x14ac:dyDescent="0.2">
      <c r="A1686" s="101">
        <v>46261</v>
      </c>
      <c r="B1686" s="91" t="s">
        <v>1968</v>
      </c>
      <c r="C1686" s="102" t="s">
        <v>1969</v>
      </c>
      <c r="D1686" s="103" t="s">
        <v>26</v>
      </c>
      <c r="E1686" s="91" t="s">
        <v>1970</v>
      </c>
      <c r="F1686" s="91" t="s">
        <v>1045</v>
      </c>
      <c r="G1686" s="91" t="s">
        <v>1046</v>
      </c>
      <c r="H1686" s="104" t="str">
        <f t="shared" si="100"/>
        <v>C6003J20</v>
      </c>
      <c r="I1686" s="104"/>
      <c r="J1686" s="105">
        <v>108.9</v>
      </c>
      <c r="K1686" s="106"/>
      <c r="L1686" s="106">
        <v>0</v>
      </c>
      <c r="M1686" s="106">
        <f t="shared" si="99"/>
        <v>0</v>
      </c>
      <c r="N1686" s="106">
        <v>59.9</v>
      </c>
      <c r="O1686" s="107">
        <v>6523.2</v>
      </c>
      <c r="P1686" s="107">
        <v>25930</v>
      </c>
      <c r="Q1686" s="107">
        <v>169146576</v>
      </c>
      <c r="R1686" s="102" t="s">
        <v>30</v>
      </c>
      <c r="S1686" s="108"/>
      <c r="T1686" s="109"/>
      <c r="U1686" s="109"/>
      <c r="V1686" s="102"/>
      <c r="W1686" s="109"/>
      <c r="X1686" s="109"/>
      <c r="Y1686" s="110" t="s">
        <v>369</v>
      </c>
    </row>
    <row r="1687" spans="1:25" s="111" customFormat="1" x14ac:dyDescent="0.2">
      <c r="A1687" s="101">
        <v>46261</v>
      </c>
      <c r="B1687" s="91" t="s">
        <v>1968</v>
      </c>
      <c r="C1687" s="102" t="s">
        <v>1969</v>
      </c>
      <c r="D1687" s="103" t="s">
        <v>26</v>
      </c>
      <c r="E1687" s="91" t="s">
        <v>1970</v>
      </c>
      <c r="F1687" s="91" t="s">
        <v>1592</v>
      </c>
      <c r="G1687" s="91" t="s">
        <v>1514</v>
      </c>
      <c r="H1687" s="104" t="str">
        <f t="shared" si="100"/>
        <v>F8251J20</v>
      </c>
      <c r="I1687" s="104"/>
      <c r="J1687" s="105">
        <v>272.25</v>
      </c>
      <c r="K1687" s="106"/>
      <c r="L1687" s="106">
        <v>0</v>
      </c>
      <c r="M1687" s="106">
        <f t="shared" si="99"/>
        <v>0</v>
      </c>
      <c r="N1687" s="106">
        <v>77.7</v>
      </c>
      <c r="O1687" s="107">
        <v>21154</v>
      </c>
      <c r="P1687" s="107">
        <v>25930</v>
      </c>
      <c r="Q1687" s="107">
        <v>548523220</v>
      </c>
      <c r="R1687" s="102" t="s">
        <v>30</v>
      </c>
      <c r="S1687" s="108"/>
      <c r="T1687" s="109"/>
      <c r="U1687" s="109"/>
      <c r="V1687" s="102"/>
      <c r="W1687" s="109"/>
      <c r="X1687" s="109"/>
      <c r="Y1687" s="110" t="s">
        <v>369</v>
      </c>
    </row>
    <row r="1688" spans="1:25" s="111" customFormat="1" x14ac:dyDescent="0.2">
      <c r="A1688" s="101">
        <v>46261</v>
      </c>
      <c r="B1688" s="91" t="s">
        <v>1973</v>
      </c>
      <c r="C1688" s="102" t="s">
        <v>1974</v>
      </c>
      <c r="D1688" s="103" t="s">
        <v>26</v>
      </c>
      <c r="E1688" s="91" t="s">
        <v>1975</v>
      </c>
      <c r="F1688" s="91" t="s">
        <v>1976</v>
      </c>
      <c r="G1688" s="91" t="s">
        <v>1977</v>
      </c>
      <c r="H1688" s="104" t="str">
        <f t="shared" si="100"/>
        <v>M6313J20</v>
      </c>
      <c r="I1688" s="104"/>
      <c r="J1688" s="105">
        <v>0.2</v>
      </c>
      <c r="K1688" s="106"/>
      <c r="L1688" s="106">
        <v>0</v>
      </c>
      <c r="M1688" s="106">
        <f t="shared" si="99"/>
        <v>0</v>
      </c>
      <c r="N1688" s="106">
        <v>50</v>
      </c>
      <c r="O1688" s="107">
        <v>10</v>
      </c>
      <c r="P1688" s="107">
        <v>25930</v>
      </c>
      <c r="Q1688" s="107">
        <v>259300</v>
      </c>
      <c r="R1688" s="102"/>
      <c r="S1688" s="108"/>
      <c r="T1688" s="109"/>
      <c r="U1688" s="109"/>
      <c r="V1688" s="102"/>
      <c r="W1688" s="109" t="s">
        <v>30</v>
      </c>
      <c r="X1688" s="109"/>
      <c r="Y1688" s="110" t="s">
        <v>369</v>
      </c>
    </row>
    <row r="1689" spans="1:25" s="111" customFormat="1" x14ac:dyDescent="0.2">
      <c r="A1689" s="101">
        <v>46261</v>
      </c>
      <c r="B1689" s="91" t="s">
        <v>1978</v>
      </c>
      <c r="C1689" s="102" t="s">
        <v>1979</v>
      </c>
      <c r="D1689" s="103" t="s">
        <v>26</v>
      </c>
      <c r="E1689" s="91" t="s">
        <v>1980</v>
      </c>
      <c r="F1689" s="91" t="s">
        <v>778</v>
      </c>
      <c r="G1689" s="91" t="s">
        <v>779</v>
      </c>
      <c r="H1689" s="104" t="str">
        <f t="shared" si="100"/>
        <v>C6131J20</v>
      </c>
      <c r="I1689" s="104"/>
      <c r="J1689" s="105">
        <v>490.05</v>
      </c>
      <c r="K1689" s="106"/>
      <c r="L1689" s="106">
        <v>0</v>
      </c>
      <c r="M1689" s="106">
        <f t="shared" si="99"/>
        <v>0</v>
      </c>
      <c r="N1689" s="106">
        <v>62</v>
      </c>
      <c r="O1689" s="107">
        <v>30383.1</v>
      </c>
      <c r="P1689" s="107">
        <v>25930</v>
      </c>
      <c r="Q1689" s="107">
        <v>787833783</v>
      </c>
      <c r="R1689" s="102" t="s">
        <v>30</v>
      </c>
      <c r="S1689" s="108"/>
      <c r="T1689" s="109"/>
      <c r="U1689" s="109"/>
      <c r="V1689" s="102"/>
      <c r="W1689" s="109"/>
      <c r="X1689" s="109"/>
      <c r="Y1689" s="110" t="s">
        <v>369</v>
      </c>
    </row>
    <row r="1690" spans="1:25" s="111" customFormat="1" x14ac:dyDescent="0.2">
      <c r="A1690" s="101">
        <v>46261</v>
      </c>
      <c r="B1690" s="91" t="s">
        <v>1981</v>
      </c>
      <c r="C1690" s="102" t="s">
        <v>1982</v>
      </c>
      <c r="D1690" s="103" t="s">
        <v>26</v>
      </c>
      <c r="E1690" s="91" t="s">
        <v>1983</v>
      </c>
      <c r="F1690" s="91" t="s">
        <v>124</v>
      </c>
      <c r="G1690" s="91" t="s">
        <v>113</v>
      </c>
      <c r="H1690" s="104" t="str">
        <f t="shared" si="100"/>
        <v>C5212J20</v>
      </c>
      <c r="I1690" s="104"/>
      <c r="J1690" s="105">
        <v>54.45</v>
      </c>
      <c r="K1690" s="106"/>
      <c r="L1690" s="106">
        <v>0</v>
      </c>
      <c r="M1690" s="106">
        <f t="shared" si="99"/>
        <v>0</v>
      </c>
      <c r="N1690" s="106">
        <v>62</v>
      </c>
      <c r="O1690" s="107">
        <v>3375.9</v>
      </c>
      <c r="P1690" s="107">
        <v>25930</v>
      </c>
      <c r="Q1690" s="107">
        <v>87537087</v>
      </c>
      <c r="R1690" s="102" t="s">
        <v>30</v>
      </c>
      <c r="S1690" s="108"/>
      <c r="T1690" s="109"/>
      <c r="U1690" s="109"/>
      <c r="V1690" s="102"/>
      <c r="W1690" s="109"/>
      <c r="X1690" s="109"/>
      <c r="Y1690" s="110" t="s">
        <v>369</v>
      </c>
    </row>
    <row r="1691" spans="1:25" s="111" customFormat="1" x14ac:dyDescent="0.2">
      <c r="A1691" s="101">
        <v>46261</v>
      </c>
      <c r="B1691" s="91" t="s">
        <v>1981</v>
      </c>
      <c r="C1691" s="102" t="s">
        <v>1982</v>
      </c>
      <c r="D1691" s="103" t="s">
        <v>26</v>
      </c>
      <c r="E1691" s="91" t="s">
        <v>1983</v>
      </c>
      <c r="F1691" s="91" t="s">
        <v>1045</v>
      </c>
      <c r="G1691" s="91" t="s">
        <v>1046</v>
      </c>
      <c r="H1691" s="104" t="str">
        <f t="shared" si="100"/>
        <v>C6003J20</v>
      </c>
      <c r="I1691" s="104"/>
      <c r="J1691" s="105">
        <v>108.9</v>
      </c>
      <c r="K1691" s="106"/>
      <c r="L1691" s="106">
        <v>0</v>
      </c>
      <c r="M1691" s="106">
        <f t="shared" si="99"/>
        <v>0</v>
      </c>
      <c r="N1691" s="106">
        <v>59.9</v>
      </c>
      <c r="O1691" s="107">
        <v>6523.2</v>
      </c>
      <c r="P1691" s="107">
        <v>25930</v>
      </c>
      <c r="Q1691" s="107">
        <v>169146576</v>
      </c>
      <c r="R1691" s="102" t="s">
        <v>30</v>
      </c>
      <c r="S1691" s="108"/>
      <c r="T1691" s="109"/>
      <c r="U1691" s="109"/>
      <c r="V1691" s="102"/>
      <c r="W1691" s="109"/>
      <c r="X1691" s="109"/>
      <c r="Y1691" s="110" t="s">
        <v>369</v>
      </c>
    </row>
    <row r="1692" spans="1:25" s="111" customFormat="1" x14ac:dyDescent="0.2">
      <c r="A1692" s="101">
        <v>46261</v>
      </c>
      <c r="B1692" s="91" t="s">
        <v>1981</v>
      </c>
      <c r="C1692" s="102" t="s">
        <v>1982</v>
      </c>
      <c r="D1692" s="103" t="s">
        <v>26</v>
      </c>
      <c r="E1692" s="91" t="s">
        <v>1983</v>
      </c>
      <c r="F1692" s="91" t="s">
        <v>778</v>
      </c>
      <c r="G1692" s="91" t="s">
        <v>779</v>
      </c>
      <c r="H1692" s="104" t="str">
        <f t="shared" si="100"/>
        <v>C6131J20</v>
      </c>
      <c r="I1692" s="104"/>
      <c r="J1692" s="105">
        <v>326.7</v>
      </c>
      <c r="K1692" s="106"/>
      <c r="L1692" s="106">
        <v>0</v>
      </c>
      <c r="M1692" s="106">
        <f t="shared" si="99"/>
        <v>0</v>
      </c>
      <c r="N1692" s="106">
        <v>62</v>
      </c>
      <c r="O1692" s="107">
        <v>20255.400000000001</v>
      </c>
      <c r="P1692" s="107">
        <v>25930</v>
      </c>
      <c r="Q1692" s="107">
        <v>525222522</v>
      </c>
      <c r="R1692" s="102" t="s">
        <v>30</v>
      </c>
      <c r="S1692" s="108"/>
      <c r="T1692" s="109"/>
      <c r="U1692" s="109"/>
      <c r="V1692" s="102"/>
      <c r="W1692" s="109"/>
      <c r="X1692" s="109"/>
      <c r="Y1692" s="110" t="s">
        <v>369</v>
      </c>
    </row>
    <row r="1693" spans="1:25" s="111" customFormat="1" x14ac:dyDescent="0.2">
      <c r="A1693" s="101">
        <v>46261</v>
      </c>
      <c r="B1693" s="91" t="s">
        <v>1984</v>
      </c>
      <c r="C1693" s="102" t="s">
        <v>1985</v>
      </c>
      <c r="D1693" s="103" t="s">
        <v>26</v>
      </c>
      <c r="E1693" s="91" t="s">
        <v>1986</v>
      </c>
      <c r="F1693" s="91" t="s">
        <v>284</v>
      </c>
      <c r="G1693" s="91" t="s">
        <v>283</v>
      </c>
      <c r="H1693" s="104" t="str">
        <f t="shared" si="100"/>
        <v>F5100J20</v>
      </c>
      <c r="I1693" s="104"/>
      <c r="J1693" s="105">
        <v>54.45</v>
      </c>
      <c r="K1693" s="106"/>
      <c r="L1693" s="106">
        <v>0</v>
      </c>
      <c r="M1693" s="106">
        <f t="shared" si="99"/>
        <v>0</v>
      </c>
      <c r="N1693" s="106">
        <v>65.099999999999994</v>
      </c>
      <c r="O1693" s="107">
        <v>3544.7</v>
      </c>
      <c r="P1693" s="107">
        <v>25930</v>
      </c>
      <c r="Q1693" s="107">
        <v>91914071</v>
      </c>
      <c r="R1693" s="102" t="s">
        <v>30</v>
      </c>
      <c r="S1693" s="108"/>
      <c r="T1693" s="109"/>
      <c r="U1693" s="109"/>
      <c r="V1693" s="102"/>
      <c r="W1693" s="109"/>
      <c r="X1693" s="109"/>
      <c r="Y1693" s="110" t="s">
        <v>803</v>
      </c>
    </row>
    <row r="1694" spans="1:25" s="111" customFormat="1" x14ac:dyDescent="0.2">
      <c r="A1694" s="101">
        <v>46261</v>
      </c>
      <c r="B1694" s="91" t="s">
        <v>1984</v>
      </c>
      <c r="C1694" s="102" t="s">
        <v>1985</v>
      </c>
      <c r="D1694" s="103" t="s">
        <v>26</v>
      </c>
      <c r="E1694" s="91" t="s">
        <v>1986</v>
      </c>
      <c r="F1694" s="91" t="s">
        <v>780</v>
      </c>
      <c r="G1694" s="91" t="s">
        <v>262</v>
      </c>
      <c r="H1694" s="104" t="str">
        <f t="shared" si="100"/>
        <v>F5100J30</v>
      </c>
      <c r="I1694" s="104"/>
      <c r="J1694" s="105">
        <v>114.35</v>
      </c>
      <c r="K1694" s="106"/>
      <c r="L1694" s="106">
        <v>0</v>
      </c>
      <c r="M1694" s="106">
        <f t="shared" si="99"/>
        <v>0</v>
      </c>
      <c r="N1694" s="106">
        <v>81.400000000000006</v>
      </c>
      <c r="O1694" s="107">
        <v>9307.6200000000008</v>
      </c>
      <c r="P1694" s="107">
        <v>25930</v>
      </c>
      <c r="Q1694" s="107">
        <v>241346587</v>
      </c>
      <c r="R1694" s="102" t="s">
        <v>30</v>
      </c>
      <c r="S1694" s="108"/>
      <c r="T1694" s="109"/>
      <c r="U1694" s="109"/>
      <c r="V1694" s="102"/>
      <c r="W1694" s="109"/>
      <c r="X1694" s="109"/>
      <c r="Y1694" s="110" t="s">
        <v>803</v>
      </c>
    </row>
    <row r="1695" spans="1:25" s="111" customFormat="1" x14ac:dyDescent="0.2">
      <c r="A1695" s="101">
        <v>46261</v>
      </c>
      <c r="B1695" s="91" t="s">
        <v>1984</v>
      </c>
      <c r="C1695" s="102" t="s">
        <v>1985</v>
      </c>
      <c r="D1695" s="103" t="s">
        <v>26</v>
      </c>
      <c r="E1695" s="91" t="s">
        <v>1986</v>
      </c>
      <c r="F1695" s="91" t="s">
        <v>801</v>
      </c>
      <c r="G1695" s="91" t="s">
        <v>802</v>
      </c>
      <c r="H1695" s="104" t="str">
        <f t="shared" si="100"/>
        <v>F5130J30</v>
      </c>
      <c r="I1695" s="104"/>
      <c r="J1695" s="105">
        <v>76.23</v>
      </c>
      <c r="K1695" s="106"/>
      <c r="L1695" s="106">
        <v>0</v>
      </c>
      <c r="M1695" s="106">
        <f t="shared" si="99"/>
        <v>0</v>
      </c>
      <c r="N1695" s="106">
        <v>81.400000000000006</v>
      </c>
      <c r="O1695" s="107">
        <v>6205.08</v>
      </c>
      <c r="P1695" s="107">
        <v>25930</v>
      </c>
      <c r="Q1695" s="107">
        <v>160897724</v>
      </c>
      <c r="R1695" s="102" t="s">
        <v>30</v>
      </c>
      <c r="S1695" s="108"/>
      <c r="T1695" s="109"/>
      <c r="U1695" s="109"/>
      <c r="V1695" s="102"/>
      <c r="W1695" s="109"/>
      <c r="X1695" s="109"/>
      <c r="Y1695" s="110" t="s">
        <v>803</v>
      </c>
    </row>
    <row r="1696" spans="1:25" s="111" customFormat="1" x14ac:dyDescent="0.2">
      <c r="A1696" s="101">
        <v>46261</v>
      </c>
      <c r="B1696" s="91" t="s">
        <v>1984</v>
      </c>
      <c r="C1696" s="102" t="s">
        <v>1985</v>
      </c>
      <c r="D1696" s="103" t="s">
        <v>26</v>
      </c>
      <c r="E1696" s="91" t="s">
        <v>1986</v>
      </c>
      <c r="F1696" s="91" t="s">
        <v>90</v>
      </c>
      <c r="G1696" s="91" t="s">
        <v>91</v>
      </c>
      <c r="H1696" s="104" t="str">
        <f t="shared" si="100"/>
        <v>F6131J30</v>
      </c>
      <c r="I1696" s="104"/>
      <c r="J1696" s="105">
        <v>76.23</v>
      </c>
      <c r="K1696" s="106"/>
      <c r="L1696" s="106">
        <v>0</v>
      </c>
      <c r="M1696" s="106">
        <f t="shared" si="99"/>
        <v>0</v>
      </c>
      <c r="N1696" s="106">
        <v>81.400000000000006</v>
      </c>
      <c r="O1696" s="107">
        <v>6205.08</v>
      </c>
      <c r="P1696" s="107">
        <v>25930</v>
      </c>
      <c r="Q1696" s="107">
        <v>160897724</v>
      </c>
      <c r="R1696" s="102" t="s">
        <v>30</v>
      </c>
      <c r="S1696" s="108"/>
      <c r="T1696" s="109"/>
      <c r="U1696" s="109"/>
      <c r="V1696" s="102"/>
      <c r="W1696" s="109"/>
      <c r="X1696" s="109"/>
      <c r="Y1696" s="110" t="s">
        <v>803</v>
      </c>
    </row>
    <row r="1697" spans="1:25" s="111" customFormat="1" x14ac:dyDescent="0.2">
      <c r="A1697" s="101">
        <v>46261</v>
      </c>
      <c r="B1697" s="91" t="s">
        <v>1987</v>
      </c>
      <c r="C1697" s="102" t="s">
        <v>1988</v>
      </c>
      <c r="D1697" s="103" t="s">
        <v>26</v>
      </c>
      <c r="E1697" s="91" t="s">
        <v>1989</v>
      </c>
      <c r="F1697" s="91" t="s">
        <v>739</v>
      </c>
      <c r="G1697" s="91" t="s">
        <v>740</v>
      </c>
      <c r="H1697" s="104" t="str">
        <f t="shared" si="100"/>
        <v>C4011J30</v>
      </c>
      <c r="I1697" s="104"/>
      <c r="J1697" s="105">
        <v>38.119999999999997</v>
      </c>
      <c r="K1697" s="106"/>
      <c r="L1697" s="106">
        <v>0</v>
      </c>
      <c r="M1697" s="106">
        <f t="shared" si="99"/>
        <v>0</v>
      </c>
      <c r="N1697" s="106">
        <v>74.790000000000006</v>
      </c>
      <c r="O1697" s="107">
        <v>2851.03</v>
      </c>
      <c r="P1697" s="107">
        <v>25930</v>
      </c>
      <c r="Q1697" s="107">
        <v>73927208</v>
      </c>
      <c r="R1697" s="102" t="s">
        <v>30</v>
      </c>
      <c r="S1697" s="108"/>
      <c r="T1697" s="109"/>
      <c r="U1697" s="109"/>
      <c r="V1697" s="102"/>
      <c r="W1697" s="109"/>
      <c r="X1697" s="109"/>
      <c r="Y1697" s="110" t="s">
        <v>803</v>
      </c>
    </row>
    <row r="1698" spans="1:25" s="111" customFormat="1" x14ac:dyDescent="0.2">
      <c r="A1698" s="101">
        <v>46261</v>
      </c>
      <c r="B1698" s="91" t="s">
        <v>1987</v>
      </c>
      <c r="C1698" s="102" t="s">
        <v>1988</v>
      </c>
      <c r="D1698" s="103" t="s">
        <v>26</v>
      </c>
      <c r="E1698" s="91" t="s">
        <v>1989</v>
      </c>
      <c r="F1698" s="91" t="s">
        <v>1766</v>
      </c>
      <c r="G1698" s="91" t="s">
        <v>1767</v>
      </c>
      <c r="H1698" s="104" t="str">
        <f t="shared" si="100"/>
        <v>F5112J30</v>
      </c>
      <c r="I1698" s="104"/>
      <c r="J1698" s="105">
        <v>228.69</v>
      </c>
      <c r="K1698" s="106"/>
      <c r="L1698" s="106">
        <v>0</v>
      </c>
      <c r="M1698" s="106">
        <f t="shared" si="99"/>
        <v>0</v>
      </c>
      <c r="N1698" s="106">
        <v>78.8</v>
      </c>
      <c r="O1698" s="107">
        <v>18020.939999999999</v>
      </c>
      <c r="P1698" s="107">
        <v>25930</v>
      </c>
      <c r="Q1698" s="107">
        <v>467282974</v>
      </c>
      <c r="R1698" s="102" t="s">
        <v>30</v>
      </c>
      <c r="S1698" s="108"/>
      <c r="T1698" s="109"/>
      <c r="U1698" s="109"/>
      <c r="V1698" s="102"/>
      <c r="W1698" s="109"/>
      <c r="X1698" s="109"/>
      <c r="Y1698" s="110" t="s">
        <v>803</v>
      </c>
    </row>
    <row r="1699" spans="1:25" s="111" customFormat="1" x14ac:dyDescent="0.2">
      <c r="A1699" s="101">
        <v>46261</v>
      </c>
      <c r="B1699" s="91" t="s">
        <v>1987</v>
      </c>
      <c r="C1699" s="102" t="s">
        <v>1988</v>
      </c>
      <c r="D1699" s="103" t="s">
        <v>26</v>
      </c>
      <c r="E1699" s="91" t="s">
        <v>1989</v>
      </c>
      <c r="F1699" s="91" t="s">
        <v>241</v>
      </c>
      <c r="G1699" s="91" t="s">
        <v>242</v>
      </c>
      <c r="H1699" s="104" t="str">
        <f t="shared" si="100"/>
        <v>F8251J30</v>
      </c>
      <c r="I1699" s="104"/>
      <c r="J1699" s="105">
        <v>38.119999999999997</v>
      </c>
      <c r="K1699" s="106"/>
      <c r="L1699" s="106">
        <v>0</v>
      </c>
      <c r="M1699" s="106">
        <f t="shared" si="99"/>
        <v>0</v>
      </c>
      <c r="N1699" s="106">
        <v>97.09</v>
      </c>
      <c r="O1699" s="107">
        <v>3700.97</v>
      </c>
      <c r="P1699" s="107">
        <v>25930</v>
      </c>
      <c r="Q1699" s="107">
        <v>95966152</v>
      </c>
      <c r="R1699" s="102" t="s">
        <v>30</v>
      </c>
      <c r="S1699" s="108"/>
      <c r="T1699" s="109"/>
      <c r="U1699" s="109"/>
      <c r="V1699" s="102"/>
      <c r="W1699" s="109"/>
      <c r="X1699" s="109"/>
      <c r="Y1699" s="110" t="s">
        <v>803</v>
      </c>
    </row>
    <row r="1700" spans="1:25" s="111" customFormat="1" x14ac:dyDescent="0.2">
      <c r="A1700" s="101">
        <v>46261</v>
      </c>
      <c r="B1700" s="91" t="s">
        <v>1990</v>
      </c>
      <c r="C1700" s="102" t="s">
        <v>1991</v>
      </c>
      <c r="D1700" s="103" t="s">
        <v>26</v>
      </c>
      <c r="E1700" s="91" t="s">
        <v>1992</v>
      </c>
      <c r="F1700" s="91" t="s">
        <v>232</v>
      </c>
      <c r="G1700" s="91" t="s">
        <v>233</v>
      </c>
      <c r="H1700" s="104" t="str">
        <f t="shared" si="100"/>
        <v>C4003J30</v>
      </c>
      <c r="I1700" s="104"/>
      <c r="J1700" s="105">
        <v>152.46</v>
      </c>
      <c r="K1700" s="106"/>
      <c r="L1700" s="106">
        <v>0</v>
      </c>
      <c r="M1700" s="106">
        <f t="shared" si="99"/>
        <v>0</v>
      </c>
      <c r="N1700" s="106">
        <v>72.2</v>
      </c>
      <c r="O1700" s="107">
        <v>11007.64</v>
      </c>
      <c r="P1700" s="107">
        <v>25930</v>
      </c>
      <c r="Q1700" s="107">
        <v>285428105</v>
      </c>
      <c r="R1700" s="102" t="s">
        <v>30</v>
      </c>
      <c r="S1700" s="108"/>
      <c r="T1700" s="109"/>
      <c r="U1700" s="109"/>
      <c r="V1700" s="102"/>
      <c r="W1700" s="109"/>
      <c r="X1700" s="109"/>
      <c r="Y1700" s="110" t="s">
        <v>31</v>
      </c>
    </row>
    <row r="1701" spans="1:25" s="111" customFormat="1" x14ac:dyDescent="0.2">
      <c r="A1701" s="101">
        <v>46261</v>
      </c>
      <c r="B1701" s="91" t="s">
        <v>1990</v>
      </c>
      <c r="C1701" s="102" t="s">
        <v>1991</v>
      </c>
      <c r="D1701" s="103" t="s">
        <v>26</v>
      </c>
      <c r="E1701" s="91" t="s">
        <v>1992</v>
      </c>
      <c r="F1701" s="91" t="s">
        <v>77</v>
      </c>
      <c r="G1701" s="91" t="s">
        <v>78</v>
      </c>
      <c r="H1701" s="104" t="str">
        <f t="shared" si="100"/>
        <v>C5212J30</v>
      </c>
      <c r="I1701" s="104"/>
      <c r="J1701" s="105">
        <v>38.119999999999997</v>
      </c>
      <c r="K1701" s="106"/>
      <c r="L1701" s="106">
        <v>0</v>
      </c>
      <c r="M1701" s="106">
        <f t="shared" si="99"/>
        <v>0</v>
      </c>
      <c r="N1701" s="106">
        <v>77.39</v>
      </c>
      <c r="O1701" s="107">
        <v>2950.08</v>
      </c>
      <c r="P1701" s="107">
        <v>25930</v>
      </c>
      <c r="Q1701" s="107">
        <v>76495574</v>
      </c>
      <c r="R1701" s="102" t="s">
        <v>30</v>
      </c>
      <c r="S1701" s="108"/>
      <c r="T1701" s="109"/>
      <c r="U1701" s="109"/>
      <c r="V1701" s="102"/>
      <c r="W1701" s="109"/>
      <c r="X1701" s="109"/>
      <c r="Y1701" s="110" t="s">
        <v>31</v>
      </c>
    </row>
    <row r="1702" spans="1:25" s="111" customFormat="1" x14ac:dyDescent="0.2">
      <c r="A1702" s="101">
        <v>46261</v>
      </c>
      <c r="B1702" s="91" t="s">
        <v>1990</v>
      </c>
      <c r="C1702" s="102" t="s">
        <v>1991</v>
      </c>
      <c r="D1702" s="103" t="s">
        <v>26</v>
      </c>
      <c r="E1702" s="91" t="s">
        <v>1992</v>
      </c>
      <c r="F1702" s="91" t="s">
        <v>1518</v>
      </c>
      <c r="G1702" s="91" t="s">
        <v>1519</v>
      </c>
      <c r="H1702" s="104" t="str">
        <f t="shared" si="100"/>
        <v>F4044J30</v>
      </c>
      <c r="I1702" s="104"/>
      <c r="J1702" s="105">
        <v>76.23</v>
      </c>
      <c r="K1702" s="106"/>
      <c r="L1702" s="106">
        <v>0</v>
      </c>
      <c r="M1702" s="106">
        <f t="shared" si="99"/>
        <v>0</v>
      </c>
      <c r="N1702" s="106">
        <v>78.8</v>
      </c>
      <c r="O1702" s="107">
        <v>6006.98</v>
      </c>
      <c r="P1702" s="107">
        <v>25930</v>
      </c>
      <c r="Q1702" s="107">
        <v>155760991</v>
      </c>
      <c r="R1702" s="102" t="s">
        <v>30</v>
      </c>
      <c r="S1702" s="108"/>
      <c r="T1702" s="109"/>
      <c r="U1702" s="109"/>
      <c r="V1702" s="102"/>
      <c r="W1702" s="109"/>
      <c r="X1702" s="109"/>
      <c r="Y1702" s="110" t="s">
        <v>31</v>
      </c>
    </row>
    <row r="1703" spans="1:25" s="111" customFormat="1" x14ac:dyDescent="0.2">
      <c r="A1703" s="101">
        <v>46261</v>
      </c>
      <c r="B1703" s="91" t="s">
        <v>1990</v>
      </c>
      <c r="C1703" s="102" t="s">
        <v>1991</v>
      </c>
      <c r="D1703" s="103" t="s">
        <v>26</v>
      </c>
      <c r="E1703" s="91" t="s">
        <v>1992</v>
      </c>
      <c r="F1703" s="91" t="s">
        <v>1766</v>
      </c>
      <c r="G1703" s="91" t="s">
        <v>1767</v>
      </c>
      <c r="H1703" s="104" t="str">
        <f t="shared" si="100"/>
        <v>F5112J30</v>
      </c>
      <c r="I1703" s="104"/>
      <c r="J1703" s="105">
        <v>76.23</v>
      </c>
      <c r="K1703" s="106"/>
      <c r="L1703" s="106">
        <v>0</v>
      </c>
      <c r="M1703" s="106">
        <f t="shared" si="99"/>
        <v>0</v>
      </c>
      <c r="N1703" s="106">
        <v>78.8</v>
      </c>
      <c r="O1703" s="107">
        <v>6006.98</v>
      </c>
      <c r="P1703" s="107">
        <v>25930</v>
      </c>
      <c r="Q1703" s="107">
        <v>155760991</v>
      </c>
      <c r="R1703" s="102" t="s">
        <v>30</v>
      </c>
      <c r="S1703" s="108"/>
      <c r="T1703" s="109"/>
      <c r="U1703" s="109"/>
      <c r="V1703" s="102"/>
      <c r="W1703" s="109"/>
      <c r="X1703" s="109"/>
      <c r="Y1703" s="110" t="s">
        <v>31</v>
      </c>
    </row>
    <row r="1704" spans="1:25" s="111" customFormat="1" x14ac:dyDescent="0.2">
      <c r="A1704" s="101">
        <v>46261</v>
      </c>
      <c r="B1704" s="91" t="s">
        <v>1993</v>
      </c>
      <c r="C1704" s="102" t="s">
        <v>1994</v>
      </c>
      <c r="D1704" s="103" t="s">
        <v>26</v>
      </c>
      <c r="E1704" s="91" t="s">
        <v>1995</v>
      </c>
      <c r="F1704" s="91" t="s">
        <v>124</v>
      </c>
      <c r="G1704" s="91" t="s">
        <v>113</v>
      </c>
      <c r="H1704" s="104" t="str">
        <f t="shared" si="100"/>
        <v>C5212J20</v>
      </c>
      <c r="I1704" s="104"/>
      <c r="J1704" s="105">
        <v>490.06</v>
      </c>
      <c r="K1704" s="106"/>
      <c r="L1704" s="106">
        <v>0</v>
      </c>
      <c r="M1704" s="106">
        <f t="shared" si="99"/>
        <v>0</v>
      </c>
      <c r="N1704" s="106">
        <v>94.67</v>
      </c>
      <c r="O1704" s="107">
        <v>888</v>
      </c>
      <c r="P1704" s="107">
        <v>25930</v>
      </c>
      <c r="Q1704" s="107">
        <v>23025840</v>
      </c>
      <c r="R1704" s="102" t="s">
        <v>30</v>
      </c>
      <c r="S1704" s="108"/>
      <c r="T1704" s="109"/>
      <c r="U1704" s="109"/>
      <c r="V1704" s="102"/>
      <c r="W1704" s="109"/>
      <c r="X1704" s="109"/>
      <c r="Y1704" s="110" t="s">
        <v>1096</v>
      </c>
    </row>
    <row r="1705" spans="1:25" s="111" customFormat="1" x14ac:dyDescent="0.2">
      <c r="A1705" s="101">
        <v>46261</v>
      </c>
      <c r="B1705" s="91" t="s">
        <v>1993</v>
      </c>
      <c r="C1705" s="102" t="s">
        <v>1994</v>
      </c>
      <c r="D1705" s="103" t="s">
        <v>26</v>
      </c>
      <c r="E1705" s="91" t="s">
        <v>1995</v>
      </c>
      <c r="F1705" s="91" t="s">
        <v>330</v>
      </c>
      <c r="G1705" s="91" t="s">
        <v>331</v>
      </c>
      <c r="H1705" s="104" t="str">
        <f t="shared" si="100"/>
        <v>C4033J20</v>
      </c>
      <c r="I1705" s="104"/>
      <c r="J1705" s="105">
        <v>9.3800000000000008</v>
      </c>
      <c r="K1705" s="106"/>
      <c r="L1705" s="106">
        <v>0</v>
      </c>
      <c r="M1705" s="106">
        <f t="shared" si="99"/>
        <v>0</v>
      </c>
      <c r="N1705" s="106">
        <v>129.28</v>
      </c>
      <c r="O1705" s="107">
        <v>1292.8</v>
      </c>
      <c r="P1705" s="107">
        <v>25930</v>
      </c>
      <c r="Q1705" s="107">
        <v>33522304</v>
      </c>
      <c r="R1705" s="102"/>
      <c r="S1705" s="108"/>
      <c r="T1705" s="109"/>
      <c r="U1705" s="109" t="s">
        <v>30</v>
      </c>
      <c r="V1705" s="102"/>
      <c r="W1705" s="109"/>
      <c r="X1705" s="109"/>
      <c r="Y1705" s="110" t="s">
        <v>1096</v>
      </c>
    </row>
    <row r="1706" spans="1:25" s="111" customFormat="1" x14ac:dyDescent="0.2">
      <c r="A1706" s="101">
        <v>46261</v>
      </c>
      <c r="B1706" s="91" t="s">
        <v>1993</v>
      </c>
      <c r="C1706" s="102" t="s">
        <v>1994</v>
      </c>
      <c r="D1706" s="103" t="s">
        <v>26</v>
      </c>
      <c r="E1706" s="91" t="s">
        <v>1995</v>
      </c>
      <c r="F1706" s="91" t="s">
        <v>1996</v>
      </c>
      <c r="G1706" s="91" t="s">
        <v>1997</v>
      </c>
      <c r="H1706" s="104" t="str">
        <f t="shared" si="100"/>
        <v>C6313J20</v>
      </c>
      <c r="I1706" s="104"/>
      <c r="J1706" s="105">
        <v>10</v>
      </c>
      <c r="K1706" s="106"/>
      <c r="L1706" s="106">
        <v>0</v>
      </c>
      <c r="M1706" s="106">
        <f t="shared" si="99"/>
        <v>0</v>
      </c>
      <c r="N1706" s="106">
        <v>59.9</v>
      </c>
      <c r="O1706" s="107">
        <v>16308</v>
      </c>
      <c r="P1706" s="107">
        <v>25930</v>
      </c>
      <c r="Q1706" s="107">
        <v>422866440</v>
      </c>
      <c r="R1706" s="102"/>
      <c r="S1706" s="108"/>
      <c r="T1706" s="109"/>
      <c r="U1706" s="109" t="s">
        <v>30</v>
      </c>
      <c r="V1706" s="102"/>
      <c r="W1706" s="109"/>
      <c r="X1706" s="109"/>
      <c r="Y1706" s="110" t="s">
        <v>1096</v>
      </c>
    </row>
    <row r="1707" spans="1:25" s="111" customFormat="1" x14ac:dyDescent="0.2">
      <c r="A1707" s="101">
        <v>46261</v>
      </c>
      <c r="B1707" s="91" t="s">
        <v>1993</v>
      </c>
      <c r="C1707" s="102" t="s">
        <v>1994</v>
      </c>
      <c r="D1707" s="103" t="s">
        <v>26</v>
      </c>
      <c r="E1707" s="91" t="s">
        <v>1995</v>
      </c>
      <c r="F1707" s="91" t="s">
        <v>110</v>
      </c>
      <c r="G1707" s="91" t="s">
        <v>111</v>
      </c>
      <c r="H1707" s="104" t="str">
        <f t="shared" si="100"/>
        <v>C4023J20</v>
      </c>
      <c r="I1707" s="104"/>
      <c r="J1707" s="105">
        <v>272.25</v>
      </c>
      <c r="K1707" s="106"/>
      <c r="L1707" s="106">
        <v>0</v>
      </c>
      <c r="M1707" s="106">
        <f t="shared" si="99"/>
        <v>0</v>
      </c>
      <c r="N1707" s="106">
        <v>63.93</v>
      </c>
      <c r="O1707" s="107">
        <v>13923.6</v>
      </c>
      <c r="P1707" s="107">
        <v>25930</v>
      </c>
      <c r="Q1707" s="107">
        <v>361038948</v>
      </c>
      <c r="R1707" s="102" t="s">
        <v>30</v>
      </c>
      <c r="S1707" s="108"/>
      <c r="T1707" s="109"/>
      <c r="U1707" s="109"/>
      <c r="V1707" s="102"/>
      <c r="W1707" s="109"/>
      <c r="X1707" s="109"/>
      <c r="Y1707" s="110" t="s">
        <v>1096</v>
      </c>
    </row>
    <row r="1708" spans="1:25" s="111" customFormat="1" x14ac:dyDescent="0.2">
      <c r="A1708" s="101">
        <v>46261</v>
      </c>
      <c r="B1708" s="91" t="s">
        <v>1998</v>
      </c>
      <c r="C1708" s="102" t="s">
        <v>1999</v>
      </c>
      <c r="D1708" s="103" t="s">
        <v>26</v>
      </c>
      <c r="E1708" s="91" t="s">
        <v>2000</v>
      </c>
      <c r="F1708" s="91" t="s">
        <v>124</v>
      </c>
      <c r="G1708" s="91" t="s">
        <v>113</v>
      </c>
      <c r="H1708" s="104" t="str">
        <f t="shared" si="100"/>
        <v>C5212J20</v>
      </c>
      <c r="I1708" s="104"/>
      <c r="J1708" s="105">
        <v>217.8</v>
      </c>
      <c r="K1708" s="106"/>
      <c r="L1708" s="106">
        <v>0</v>
      </c>
      <c r="M1708" s="106">
        <f t="shared" si="99"/>
        <v>0</v>
      </c>
      <c r="N1708" s="106">
        <v>62</v>
      </c>
      <c r="O1708" s="107">
        <v>30383.96</v>
      </c>
      <c r="P1708" s="107">
        <v>25930</v>
      </c>
      <c r="Q1708" s="107">
        <v>787856083</v>
      </c>
      <c r="R1708" s="102" t="s">
        <v>30</v>
      </c>
      <c r="S1708" s="108"/>
      <c r="T1708" s="109"/>
      <c r="U1708" s="109"/>
      <c r="V1708" s="102"/>
      <c r="W1708" s="109"/>
      <c r="X1708" s="109"/>
      <c r="Y1708" s="110" t="s">
        <v>1096</v>
      </c>
    </row>
    <row r="1709" spans="1:25" s="111" customFormat="1" x14ac:dyDescent="0.2">
      <c r="A1709" s="101">
        <v>46261</v>
      </c>
      <c r="B1709" s="91" t="s">
        <v>2001</v>
      </c>
      <c r="C1709" s="102" t="s">
        <v>2002</v>
      </c>
      <c r="D1709" s="103" t="s">
        <v>26</v>
      </c>
      <c r="E1709" s="91" t="s">
        <v>2003</v>
      </c>
      <c r="F1709" s="91" t="s">
        <v>763</v>
      </c>
      <c r="G1709" s="91" t="s">
        <v>764</v>
      </c>
      <c r="H1709" s="104" t="str">
        <f t="shared" si="100"/>
        <v>M4043J20</v>
      </c>
      <c r="I1709" s="104"/>
      <c r="J1709" s="105">
        <v>2.17</v>
      </c>
      <c r="K1709" s="106"/>
      <c r="L1709" s="106">
        <v>0</v>
      </c>
      <c r="M1709" s="106">
        <f t="shared" si="99"/>
        <v>0</v>
      </c>
      <c r="N1709" s="106">
        <v>49.28</v>
      </c>
      <c r="O1709" s="107">
        <v>106.94</v>
      </c>
      <c r="P1709" s="107">
        <v>25930</v>
      </c>
      <c r="Q1709" s="107">
        <v>2772954</v>
      </c>
      <c r="R1709" s="102"/>
      <c r="S1709" s="108"/>
      <c r="T1709" s="109"/>
      <c r="U1709" s="109"/>
      <c r="V1709" s="102"/>
      <c r="W1709" s="109" t="s">
        <v>30</v>
      </c>
      <c r="X1709" s="109"/>
      <c r="Y1709" s="110" t="s">
        <v>1096</v>
      </c>
    </row>
    <row r="1710" spans="1:25" s="111" customFormat="1" x14ac:dyDescent="0.2">
      <c r="A1710" s="101">
        <v>46261</v>
      </c>
      <c r="B1710" s="91" t="s">
        <v>2004</v>
      </c>
      <c r="C1710" s="102" t="s">
        <v>2005</v>
      </c>
      <c r="D1710" s="103" t="s">
        <v>26</v>
      </c>
      <c r="E1710" s="91" t="s">
        <v>2006</v>
      </c>
      <c r="F1710" s="91" t="s">
        <v>110</v>
      </c>
      <c r="G1710" s="91" t="s">
        <v>111</v>
      </c>
      <c r="H1710" s="104" t="str">
        <f t="shared" si="100"/>
        <v>C4023J20</v>
      </c>
      <c r="I1710" s="104"/>
      <c r="J1710" s="105">
        <v>272.25</v>
      </c>
      <c r="K1710" s="106"/>
      <c r="L1710" s="106">
        <v>0</v>
      </c>
      <c r="M1710" s="106">
        <f t="shared" si="99"/>
        <v>0</v>
      </c>
      <c r="N1710" s="106">
        <v>59.9</v>
      </c>
      <c r="O1710" s="107">
        <v>16308</v>
      </c>
      <c r="P1710" s="107">
        <v>25930</v>
      </c>
      <c r="Q1710" s="107">
        <v>422866440</v>
      </c>
      <c r="R1710" s="102" t="s">
        <v>30</v>
      </c>
      <c r="S1710" s="108"/>
      <c r="T1710" s="109"/>
      <c r="U1710" s="109"/>
      <c r="V1710" s="102"/>
      <c r="W1710" s="109"/>
      <c r="X1710" s="109"/>
      <c r="Y1710" s="110" t="s">
        <v>1096</v>
      </c>
    </row>
    <row r="1711" spans="1:25" s="111" customFormat="1" x14ac:dyDescent="0.2">
      <c r="A1711" s="101">
        <v>46261</v>
      </c>
      <c r="B1711" s="91" t="s">
        <v>2004</v>
      </c>
      <c r="C1711" s="102" t="s">
        <v>2005</v>
      </c>
      <c r="D1711" s="103" t="s">
        <v>26</v>
      </c>
      <c r="E1711" s="91" t="s">
        <v>2006</v>
      </c>
      <c r="F1711" s="91" t="s">
        <v>122</v>
      </c>
      <c r="G1711" s="91" t="s">
        <v>123</v>
      </c>
      <c r="H1711" s="104" t="str">
        <f t="shared" si="100"/>
        <v>C5100J20</v>
      </c>
      <c r="I1711" s="104"/>
      <c r="J1711" s="105">
        <v>108.9</v>
      </c>
      <c r="K1711" s="106"/>
      <c r="L1711" s="106">
        <v>0</v>
      </c>
      <c r="M1711" s="106">
        <f t="shared" si="99"/>
        <v>0</v>
      </c>
      <c r="N1711" s="106">
        <v>62</v>
      </c>
      <c r="O1711" s="107">
        <v>6751.8</v>
      </c>
      <c r="P1711" s="107">
        <v>25930</v>
      </c>
      <c r="Q1711" s="107">
        <v>175074174</v>
      </c>
      <c r="R1711" s="102" t="s">
        <v>30</v>
      </c>
      <c r="S1711" s="108"/>
      <c r="T1711" s="109"/>
      <c r="U1711" s="109"/>
      <c r="V1711" s="102"/>
      <c r="W1711" s="109"/>
      <c r="X1711" s="109"/>
      <c r="Y1711" s="110" t="s">
        <v>1096</v>
      </c>
    </row>
    <row r="1712" spans="1:25" s="111" customFormat="1" x14ac:dyDescent="0.2">
      <c r="A1712" s="101">
        <v>46261</v>
      </c>
      <c r="B1712" s="91" t="s">
        <v>2004</v>
      </c>
      <c r="C1712" s="102" t="s">
        <v>2005</v>
      </c>
      <c r="D1712" s="103" t="s">
        <v>26</v>
      </c>
      <c r="E1712" s="91" t="s">
        <v>2006</v>
      </c>
      <c r="F1712" s="91" t="s">
        <v>2007</v>
      </c>
      <c r="G1712" s="91" t="s">
        <v>2008</v>
      </c>
      <c r="H1712" s="104" t="str">
        <f t="shared" si="100"/>
        <v>C5130J20</v>
      </c>
      <c r="I1712" s="104"/>
      <c r="J1712" s="105">
        <v>27.23</v>
      </c>
      <c r="K1712" s="106"/>
      <c r="L1712" s="106">
        <v>0</v>
      </c>
      <c r="M1712" s="106">
        <f t="shared" si="99"/>
        <v>0</v>
      </c>
      <c r="N1712" s="106">
        <v>62</v>
      </c>
      <c r="O1712" s="107">
        <v>1688.26</v>
      </c>
      <c r="P1712" s="107">
        <v>25930</v>
      </c>
      <c r="Q1712" s="107">
        <v>43776582</v>
      </c>
      <c r="R1712" s="102" t="s">
        <v>30</v>
      </c>
      <c r="S1712" s="108"/>
      <c r="T1712" s="109"/>
      <c r="U1712" s="109"/>
      <c r="V1712" s="102"/>
      <c r="W1712" s="109"/>
      <c r="X1712" s="109"/>
      <c r="Y1712" s="110" t="s">
        <v>1096</v>
      </c>
    </row>
    <row r="1713" spans="1:25" s="111" customFormat="1" x14ac:dyDescent="0.2">
      <c r="A1713" s="101">
        <v>46261</v>
      </c>
      <c r="B1713" s="91" t="s">
        <v>2004</v>
      </c>
      <c r="C1713" s="102" t="s">
        <v>2005</v>
      </c>
      <c r="D1713" s="103" t="s">
        <v>26</v>
      </c>
      <c r="E1713" s="91" t="s">
        <v>2006</v>
      </c>
      <c r="F1713" s="91" t="s">
        <v>2009</v>
      </c>
      <c r="G1713" s="91" t="s">
        <v>2008</v>
      </c>
      <c r="H1713" s="104" t="str">
        <f t="shared" si="100"/>
        <v>C5130J20</v>
      </c>
      <c r="I1713" s="104"/>
      <c r="J1713" s="105">
        <v>27.22</v>
      </c>
      <c r="K1713" s="106"/>
      <c r="L1713" s="106">
        <v>0</v>
      </c>
      <c r="M1713" s="106">
        <f t="shared" si="99"/>
        <v>0</v>
      </c>
      <c r="N1713" s="106">
        <v>62</v>
      </c>
      <c r="O1713" s="107">
        <v>1687.64</v>
      </c>
      <c r="P1713" s="107">
        <v>25930</v>
      </c>
      <c r="Q1713" s="107">
        <v>43760505</v>
      </c>
      <c r="R1713" s="102" t="s">
        <v>30</v>
      </c>
      <c r="S1713" s="108"/>
      <c r="T1713" s="109"/>
      <c r="U1713" s="109"/>
      <c r="V1713" s="102"/>
      <c r="W1713" s="109"/>
      <c r="X1713" s="109"/>
      <c r="Y1713" s="110" t="s">
        <v>1096</v>
      </c>
    </row>
    <row r="1714" spans="1:25" s="111" customFormat="1" x14ac:dyDescent="0.2">
      <c r="A1714" s="101">
        <v>46261</v>
      </c>
      <c r="B1714" s="91" t="s">
        <v>2004</v>
      </c>
      <c r="C1714" s="102" t="s">
        <v>2005</v>
      </c>
      <c r="D1714" s="103" t="s">
        <v>26</v>
      </c>
      <c r="E1714" s="91" t="s">
        <v>2006</v>
      </c>
      <c r="F1714" s="91" t="s">
        <v>259</v>
      </c>
      <c r="G1714" s="91" t="s">
        <v>260</v>
      </c>
      <c r="H1714" s="104" t="str">
        <f t="shared" si="100"/>
        <v>C5151J20</v>
      </c>
      <c r="I1714" s="104"/>
      <c r="J1714" s="105">
        <v>54.45</v>
      </c>
      <c r="K1714" s="106"/>
      <c r="L1714" s="106">
        <v>0</v>
      </c>
      <c r="M1714" s="106">
        <f t="shared" si="99"/>
        <v>0</v>
      </c>
      <c r="N1714" s="106">
        <v>68.25</v>
      </c>
      <c r="O1714" s="107">
        <v>3716.2</v>
      </c>
      <c r="P1714" s="107">
        <v>25930</v>
      </c>
      <c r="Q1714" s="107">
        <v>96361066</v>
      </c>
      <c r="R1714" s="102" t="s">
        <v>30</v>
      </c>
      <c r="S1714" s="108"/>
      <c r="T1714" s="109"/>
      <c r="U1714" s="109"/>
      <c r="V1714" s="102"/>
      <c r="W1714" s="109"/>
      <c r="X1714" s="109"/>
      <c r="Y1714" s="110" t="s">
        <v>1096</v>
      </c>
    </row>
    <row r="1715" spans="1:25" s="111" customFormat="1" x14ac:dyDescent="0.2">
      <c r="A1715" s="101">
        <v>46261</v>
      </c>
      <c r="B1715" s="91" t="s">
        <v>2010</v>
      </c>
      <c r="C1715" s="102" t="s">
        <v>2011</v>
      </c>
      <c r="D1715" s="103" t="s">
        <v>427</v>
      </c>
      <c r="E1715" s="91" t="s">
        <v>2012</v>
      </c>
      <c r="F1715" s="91" t="s">
        <v>1094</v>
      </c>
      <c r="G1715" s="91" t="s">
        <v>1095</v>
      </c>
      <c r="H1715" s="104" t="str">
        <f t="shared" si="100"/>
        <v>F5233J20</v>
      </c>
      <c r="I1715" s="104"/>
      <c r="J1715" s="105">
        <v>1.94</v>
      </c>
      <c r="K1715" s="106"/>
      <c r="L1715" s="106">
        <v>0</v>
      </c>
      <c r="M1715" s="106">
        <f t="shared" si="99"/>
        <v>0</v>
      </c>
      <c r="N1715" s="106">
        <v>86</v>
      </c>
      <c r="O1715" s="107">
        <v>166.84</v>
      </c>
      <c r="P1715" s="107">
        <v>25930</v>
      </c>
      <c r="Q1715" s="107">
        <v>4326161</v>
      </c>
      <c r="R1715" s="102"/>
      <c r="S1715" s="108"/>
      <c r="T1715" s="109"/>
      <c r="U1715" s="109" t="s">
        <v>30</v>
      </c>
      <c r="V1715" s="102"/>
      <c r="W1715" s="109"/>
      <c r="X1715" s="109"/>
      <c r="Y1715" s="110" t="s">
        <v>31</v>
      </c>
    </row>
    <row r="1716" spans="1:25" s="111" customFormat="1" x14ac:dyDescent="0.2">
      <c r="A1716" s="101">
        <v>46261</v>
      </c>
      <c r="B1716" s="91" t="s">
        <v>2010</v>
      </c>
      <c r="C1716" s="102" t="s">
        <v>2011</v>
      </c>
      <c r="D1716" s="103" t="s">
        <v>427</v>
      </c>
      <c r="E1716" s="91" t="s">
        <v>2012</v>
      </c>
      <c r="F1716" s="91" t="s">
        <v>2013</v>
      </c>
      <c r="G1716" s="91" t="s">
        <v>437</v>
      </c>
      <c r="H1716" s="104" t="str">
        <f t="shared" si="100"/>
        <v>F5233J30</v>
      </c>
      <c r="I1716" s="104"/>
      <c r="J1716" s="105">
        <v>32.659999999999997</v>
      </c>
      <c r="K1716" s="106"/>
      <c r="L1716" s="106">
        <v>0</v>
      </c>
      <c r="M1716" s="106">
        <f t="shared" si="99"/>
        <v>0</v>
      </c>
      <c r="N1716" s="106">
        <v>103.38</v>
      </c>
      <c r="O1716" s="107">
        <v>3376.47</v>
      </c>
      <c r="P1716" s="107">
        <v>25930</v>
      </c>
      <c r="Q1716" s="107">
        <v>87551867</v>
      </c>
      <c r="R1716" s="102" t="s">
        <v>30</v>
      </c>
      <c r="S1716" s="108"/>
      <c r="T1716" s="109"/>
      <c r="U1716" s="109"/>
      <c r="V1716" s="102"/>
      <c r="W1716" s="109"/>
      <c r="X1716" s="109"/>
      <c r="Y1716" s="110" t="s">
        <v>31</v>
      </c>
    </row>
    <row r="1717" spans="1:25" s="111" customFormat="1" x14ac:dyDescent="0.2">
      <c r="A1717" s="101">
        <v>46261</v>
      </c>
      <c r="B1717" s="91" t="s">
        <v>2010</v>
      </c>
      <c r="C1717" s="102" t="s">
        <v>2011</v>
      </c>
      <c r="D1717" s="103" t="s">
        <v>427</v>
      </c>
      <c r="E1717" s="91" t="s">
        <v>2012</v>
      </c>
      <c r="F1717" s="91" t="s">
        <v>445</v>
      </c>
      <c r="G1717" s="91" t="s">
        <v>437</v>
      </c>
      <c r="H1717" s="104" t="str">
        <f t="shared" si="100"/>
        <v>F5233J30</v>
      </c>
      <c r="I1717" s="104"/>
      <c r="J1717" s="105">
        <v>81.680000000000007</v>
      </c>
      <c r="K1717" s="106"/>
      <c r="L1717" s="106">
        <v>0</v>
      </c>
      <c r="M1717" s="106">
        <f t="shared" si="99"/>
        <v>0</v>
      </c>
      <c r="N1717" s="106">
        <v>103.38</v>
      </c>
      <c r="O1717" s="107">
        <v>8444.2900000000009</v>
      </c>
      <c r="P1717" s="107">
        <v>25930</v>
      </c>
      <c r="Q1717" s="107">
        <v>218960440</v>
      </c>
      <c r="R1717" s="102" t="s">
        <v>30</v>
      </c>
      <c r="S1717" s="108"/>
      <c r="T1717" s="109"/>
      <c r="U1717" s="109"/>
      <c r="V1717" s="102"/>
      <c r="W1717" s="109"/>
      <c r="X1717" s="109"/>
      <c r="Y1717" s="110" t="s">
        <v>31</v>
      </c>
    </row>
    <row r="1718" spans="1:25" s="111" customFormat="1" x14ac:dyDescent="0.2">
      <c r="A1718" s="101">
        <v>46261</v>
      </c>
      <c r="B1718" s="91" t="s">
        <v>2010</v>
      </c>
      <c r="C1718" s="102" t="s">
        <v>2011</v>
      </c>
      <c r="D1718" s="103" t="s">
        <v>427</v>
      </c>
      <c r="E1718" s="91" t="s">
        <v>2012</v>
      </c>
      <c r="F1718" s="91" t="s">
        <v>2014</v>
      </c>
      <c r="G1718" s="91" t="s">
        <v>437</v>
      </c>
      <c r="H1718" s="104" t="str">
        <f t="shared" si="100"/>
        <v>F5233J30</v>
      </c>
      <c r="I1718" s="104"/>
      <c r="J1718" s="105">
        <v>179.69</v>
      </c>
      <c r="K1718" s="106"/>
      <c r="L1718" s="106">
        <v>0</v>
      </c>
      <c r="M1718" s="106">
        <f t="shared" si="99"/>
        <v>0</v>
      </c>
      <c r="N1718" s="106">
        <v>103.38</v>
      </c>
      <c r="O1718" s="107">
        <v>18576.82</v>
      </c>
      <c r="P1718" s="107">
        <v>25930</v>
      </c>
      <c r="Q1718" s="107">
        <v>481696943</v>
      </c>
      <c r="R1718" s="102" t="s">
        <v>30</v>
      </c>
      <c r="S1718" s="108"/>
      <c r="T1718" s="109"/>
      <c r="U1718" s="109"/>
      <c r="V1718" s="102"/>
      <c r="W1718" s="109"/>
      <c r="X1718" s="109"/>
      <c r="Y1718" s="110" t="s">
        <v>31</v>
      </c>
    </row>
    <row r="1719" spans="1:25" s="111" customFormat="1" x14ac:dyDescent="0.2">
      <c r="A1719" s="101">
        <v>46261</v>
      </c>
      <c r="B1719" s="91" t="s">
        <v>2015</v>
      </c>
      <c r="C1719" s="102" t="s">
        <v>2016</v>
      </c>
      <c r="D1719" s="103" t="s">
        <v>2017</v>
      </c>
      <c r="E1719" s="91" t="s">
        <v>2018</v>
      </c>
      <c r="F1719" s="91" t="s">
        <v>2019</v>
      </c>
      <c r="G1719" s="91" t="s">
        <v>2020</v>
      </c>
      <c r="H1719" s="104" t="str">
        <f t="shared" si="100"/>
        <v>F2262J20</v>
      </c>
      <c r="I1719" s="104"/>
      <c r="J1719" s="105">
        <v>1</v>
      </c>
      <c r="K1719" s="106"/>
      <c r="L1719" s="106">
        <v>0</v>
      </c>
      <c r="M1719" s="106">
        <f t="shared" si="99"/>
        <v>0</v>
      </c>
      <c r="N1719" s="106">
        <v>70.349999999999994</v>
      </c>
      <c r="O1719" s="107">
        <v>70.349999999999994</v>
      </c>
      <c r="P1719" s="107">
        <v>25930</v>
      </c>
      <c r="Q1719" s="107">
        <v>1824176</v>
      </c>
      <c r="R1719" s="102"/>
      <c r="S1719" s="108"/>
      <c r="T1719" s="109"/>
      <c r="U1719" s="109" t="s">
        <v>30</v>
      </c>
      <c r="V1719" s="102"/>
      <c r="W1719" s="109"/>
      <c r="X1719" s="109"/>
      <c r="Y1719" s="110" t="s">
        <v>31</v>
      </c>
    </row>
    <row r="1720" spans="1:25" s="111" customFormat="1" x14ac:dyDescent="0.2">
      <c r="A1720" s="101">
        <v>46261</v>
      </c>
      <c r="B1720" s="91" t="s">
        <v>2015</v>
      </c>
      <c r="C1720" s="102" t="s">
        <v>2016</v>
      </c>
      <c r="D1720" s="103" t="s">
        <v>2017</v>
      </c>
      <c r="E1720" s="91" t="s">
        <v>2018</v>
      </c>
      <c r="F1720" s="91" t="s">
        <v>2021</v>
      </c>
      <c r="G1720" s="91" t="s">
        <v>2022</v>
      </c>
      <c r="H1720" s="104" t="str">
        <f t="shared" si="100"/>
        <v>C4246J20</v>
      </c>
      <c r="I1720" s="104"/>
      <c r="J1720" s="105">
        <v>2</v>
      </c>
      <c r="K1720" s="106"/>
      <c r="L1720" s="106">
        <v>0</v>
      </c>
      <c r="M1720" s="106">
        <f t="shared" si="99"/>
        <v>0</v>
      </c>
      <c r="N1720" s="106">
        <v>61.95</v>
      </c>
      <c r="O1720" s="107">
        <v>123.9</v>
      </c>
      <c r="P1720" s="107">
        <v>25930</v>
      </c>
      <c r="Q1720" s="107">
        <v>3212727</v>
      </c>
      <c r="R1720" s="102"/>
      <c r="S1720" s="108"/>
      <c r="T1720" s="109"/>
      <c r="U1720" s="109" t="s">
        <v>30</v>
      </c>
      <c r="V1720" s="102"/>
      <c r="W1720" s="109"/>
      <c r="X1720" s="109"/>
      <c r="Y1720" s="110" t="s">
        <v>31</v>
      </c>
    </row>
    <row r="1721" spans="1:25" s="111" customFormat="1" x14ac:dyDescent="0.2">
      <c r="A1721" s="101">
        <v>46261</v>
      </c>
      <c r="B1721" s="91" t="s">
        <v>2015</v>
      </c>
      <c r="C1721" s="102" t="s">
        <v>2016</v>
      </c>
      <c r="D1721" s="103" t="s">
        <v>2017</v>
      </c>
      <c r="E1721" s="91" t="s">
        <v>2018</v>
      </c>
      <c r="F1721" s="91" t="s">
        <v>49</v>
      </c>
      <c r="G1721" s="91" t="s">
        <v>50</v>
      </c>
      <c r="H1721" s="104" t="str">
        <f t="shared" si="100"/>
        <v>C4246J30</v>
      </c>
      <c r="I1721" s="104"/>
      <c r="J1721" s="105">
        <v>10.89</v>
      </c>
      <c r="K1721" s="106"/>
      <c r="L1721" s="106">
        <v>0</v>
      </c>
      <c r="M1721" s="106">
        <f t="shared" si="99"/>
        <v>0</v>
      </c>
      <c r="N1721" s="106">
        <v>77.7</v>
      </c>
      <c r="O1721" s="107">
        <v>846.16</v>
      </c>
      <c r="P1721" s="107">
        <v>25930</v>
      </c>
      <c r="Q1721" s="107">
        <v>21940929</v>
      </c>
      <c r="R1721" s="102" t="s">
        <v>30</v>
      </c>
      <c r="S1721" s="108"/>
      <c r="T1721" s="109"/>
      <c r="U1721" s="109"/>
      <c r="V1721" s="102"/>
      <c r="W1721" s="109"/>
      <c r="X1721" s="109"/>
      <c r="Y1721" s="110" t="s">
        <v>31</v>
      </c>
    </row>
    <row r="1722" spans="1:25" s="111" customFormat="1" x14ac:dyDescent="0.2">
      <c r="A1722" s="101">
        <v>46261</v>
      </c>
      <c r="B1722" s="91" t="s">
        <v>2015</v>
      </c>
      <c r="C1722" s="102" t="s">
        <v>2016</v>
      </c>
      <c r="D1722" s="103" t="s">
        <v>2017</v>
      </c>
      <c r="E1722" s="91" t="s">
        <v>2018</v>
      </c>
      <c r="F1722" s="91" t="s">
        <v>51</v>
      </c>
      <c r="G1722" s="91" t="s">
        <v>50</v>
      </c>
      <c r="H1722" s="104" t="str">
        <f t="shared" si="100"/>
        <v>C4246J30</v>
      </c>
      <c r="I1722" s="104"/>
      <c r="J1722" s="105">
        <v>108.9</v>
      </c>
      <c r="K1722" s="106"/>
      <c r="L1722" s="106">
        <v>0</v>
      </c>
      <c r="M1722" s="106">
        <f t="shared" si="99"/>
        <v>0</v>
      </c>
      <c r="N1722" s="106">
        <v>77.7</v>
      </c>
      <c r="O1722" s="107">
        <v>8461.5300000000007</v>
      </c>
      <c r="P1722" s="107">
        <v>25930</v>
      </c>
      <c r="Q1722" s="107">
        <v>219407473</v>
      </c>
      <c r="R1722" s="102" t="s">
        <v>30</v>
      </c>
      <c r="S1722" s="108"/>
      <c r="T1722" s="109"/>
      <c r="U1722" s="109"/>
      <c r="V1722" s="102"/>
      <c r="W1722" s="109"/>
      <c r="X1722" s="109"/>
      <c r="Y1722" s="110" t="s">
        <v>31</v>
      </c>
    </row>
    <row r="1723" spans="1:25" s="111" customFormat="1" x14ac:dyDescent="0.2">
      <c r="A1723" s="101">
        <v>46261</v>
      </c>
      <c r="B1723" s="91" t="s">
        <v>2015</v>
      </c>
      <c r="C1723" s="102" t="s">
        <v>2016</v>
      </c>
      <c r="D1723" s="103" t="s">
        <v>2017</v>
      </c>
      <c r="E1723" s="91" t="s">
        <v>2018</v>
      </c>
      <c r="F1723" s="91" t="s">
        <v>52</v>
      </c>
      <c r="G1723" s="91" t="s">
        <v>50</v>
      </c>
      <c r="H1723" s="104" t="str">
        <f t="shared" si="100"/>
        <v>C4246J30</v>
      </c>
      <c r="I1723" s="104"/>
      <c r="J1723" s="105">
        <v>87.12</v>
      </c>
      <c r="K1723" s="106"/>
      <c r="L1723" s="106">
        <v>0</v>
      </c>
      <c r="M1723" s="106">
        <f t="shared" si="99"/>
        <v>0</v>
      </c>
      <c r="N1723" s="106">
        <v>77.7</v>
      </c>
      <c r="O1723" s="107">
        <v>6769.22</v>
      </c>
      <c r="P1723" s="107">
        <v>25930</v>
      </c>
      <c r="Q1723" s="107">
        <v>175525875</v>
      </c>
      <c r="R1723" s="102" t="s">
        <v>30</v>
      </c>
      <c r="S1723" s="108"/>
      <c r="T1723" s="109"/>
      <c r="U1723" s="109"/>
      <c r="V1723" s="102"/>
      <c r="W1723" s="109"/>
      <c r="X1723" s="109"/>
      <c r="Y1723" s="110" t="s">
        <v>31</v>
      </c>
    </row>
    <row r="1724" spans="1:25" s="111" customFormat="1" x14ac:dyDescent="0.2">
      <c r="A1724" s="101">
        <v>46261</v>
      </c>
      <c r="B1724" s="91" t="s">
        <v>2015</v>
      </c>
      <c r="C1724" s="102" t="s">
        <v>2016</v>
      </c>
      <c r="D1724" s="103" t="s">
        <v>2017</v>
      </c>
      <c r="E1724" s="91" t="s">
        <v>2018</v>
      </c>
      <c r="F1724" s="91" t="s">
        <v>2023</v>
      </c>
      <c r="G1724" s="91" t="s">
        <v>2024</v>
      </c>
      <c r="H1724" s="104" t="str">
        <f t="shared" si="100"/>
        <v>F2262J30</v>
      </c>
      <c r="I1724" s="104"/>
      <c r="J1724" s="105">
        <v>103.45</v>
      </c>
      <c r="K1724" s="106"/>
      <c r="L1724" s="106">
        <v>0</v>
      </c>
      <c r="M1724" s="106">
        <f t="shared" si="99"/>
        <v>0</v>
      </c>
      <c r="N1724" s="106">
        <v>85.53</v>
      </c>
      <c r="O1724" s="107">
        <v>8847.92</v>
      </c>
      <c r="P1724" s="107">
        <v>25930</v>
      </c>
      <c r="Q1724" s="107">
        <v>229426566</v>
      </c>
      <c r="R1724" s="102" t="s">
        <v>30</v>
      </c>
      <c r="S1724" s="108"/>
      <c r="T1724" s="109"/>
      <c r="U1724" s="109"/>
      <c r="V1724" s="102"/>
      <c r="W1724" s="109"/>
      <c r="X1724" s="109"/>
      <c r="Y1724" s="110" t="s">
        <v>31</v>
      </c>
    </row>
    <row r="1725" spans="1:25" s="111" customFormat="1" x14ac:dyDescent="0.2">
      <c r="A1725" s="101">
        <v>46261</v>
      </c>
      <c r="B1725" s="91" t="s">
        <v>2015</v>
      </c>
      <c r="C1725" s="102" t="s">
        <v>2016</v>
      </c>
      <c r="D1725" s="103" t="s">
        <v>2017</v>
      </c>
      <c r="E1725" s="91" t="s">
        <v>2018</v>
      </c>
      <c r="F1725" s="91" t="s">
        <v>2025</v>
      </c>
      <c r="G1725" s="91" t="s">
        <v>2024</v>
      </c>
      <c r="H1725" s="104" t="str">
        <f t="shared" si="100"/>
        <v>F2262J30</v>
      </c>
      <c r="I1725" s="104"/>
      <c r="J1725" s="105">
        <v>16.34</v>
      </c>
      <c r="K1725" s="106"/>
      <c r="L1725" s="106">
        <v>0</v>
      </c>
      <c r="M1725" s="106">
        <f t="shared" si="99"/>
        <v>0</v>
      </c>
      <c r="N1725" s="106">
        <v>85.53</v>
      </c>
      <c r="O1725" s="107">
        <v>1397.53</v>
      </c>
      <c r="P1725" s="107">
        <v>25930</v>
      </c>
      <c r="Q1725" s="107">
        <v>36237953</v>
      </c>
      <c r="R1725" s="102" t="s">
        <v>30</v>
      </c>
      <c r="S1725" s="108"/>
      <c r="T1725" s="109"/>
      <c r="U1725" s="109"/>
      <c r="V1725" s="102"/>
      <c r="W1725" s="109"/>
      <c r="X1725" s="109"/>
      <c r="Y1725" s="110" t="s">
        <v>31</v>
      </c>
    </row>
    <row r="1726" spans="1:25" s="111" customFormat="1" x14ac:dyDescent="0.2">
      <c r="A1726" s="101">
        <v>46261</v>
      </c>
      <c r="B1726" s="91" t="s">
        <v>2026</v>
      </c>
      <c r="C1726" s="102" t="s">
        <v>2027</v>
      </c>
      <c r="D1726" s="103" t="s">
        <v>26</v>
      </c>
      <c r="E1726" s="91" t="s">
        <v>2028</v>
      </c>
      <c r="F1726" s="91" t="s">
        <v>895</v>
      </c>
      <c r="G1726" s="91" t="s">
        <v>896</v>
      </c>
      <c r="H1726" s="104" t="str">
        <f t="shared" si="100"/>
        <v>C4143J30</v>
      </c>
      <c r="I1726" s="104"/>
      <c r="J1726" s="105">
        <v>190.58</v>
      </c>
      <c r="K1726" s="106"/>
      <c r="L1726" s="106">
        <v>0</v>
      </c>
      <c r="M1726" s="106">
        <f t="shared" si="99"/>
        <v>0</v>
      </c>
      <c r="N1726" s="106">
        <v>73</v>
      </c>
      <c r="O1726" s="107">
        <v>13912.34</v>
      </c>
      <c r="P1726" s="107">
        <v>25930</v>
      </c>
      <c r="Q1726" s="107">
        <v>360746976</v>
      </c>
      <c r="R1726" s="102" t="s">
        <v>30</v>
      </c>
      <c r="S1726" s="108"/>
      <c r="T1726" s="109"/>
      <c r="U1726" s="109"/>
      <c r="V1726" s="102"/>
      <c r="W1726" s="109"/>
      <c r="X1726" s="109"/>
      <c r="Y1726" s="110" t="s">
        <v>31</v>
      </c>
    </row>
    <row r="1727" spans="1:25" s="111" customFormat="1" x14ac:dyDescent="0.2">
      <c r="A1727" s="101">
        <v>46261</v>
      </c>
      <c r="B1727" s="91" t="s">
        <v>2026</v>
      </c>
      <c r="C1727" s="102" t="s">
        <v>2027</v>
      </c>
      <c r="D1727" s="103" t="s">
        <v>26</v>
      </c>
      <c r="E1727" s="91" t="s">
        <v>2028</v>
      </c>
      <c r="F1727" s="91" t="s">
        <v>1766</v>
      </c>
      <c r="G1727" s="91" t="s">
        <v>1767</v>
      </c>
      <c r="H1727" s="104" t="str">
        <f t="shared" si="100"/>
        <v>F5112J30</v>
      </c>
      <c r="I1727" s="104"/>
      <c r="J1727" s="105">
        <v>54.46</v>
      </c>
      <c r="K1727" s="106"/>
      <c r="L1727" s="106">
        <v>0</v>
      </c>
      <c r="M1727" s="106">
        <f t="shared" si="99"/>
        <v>0</v>
      </c>
      <c r="N1727" s="106">
        <v>77</v>
      </c>
      <c r="O1727" s="107">
        <v>4193.42</v>
      </c>
      <c r="P1727" s="107">
        <v>25930</v>
      </c>
      <c r="Q1727" s="107">
        <v>108735381</v>
      </c>
      <c r="R1727" s="102" t="s">
        <v>30</v>
      </c>
      <c r="S1727" s="108"/>
      <c r="T1727" s="109"/>
      <c r="U1727" s="109"/>
      <c r="V1727" s="102"/>
      <c r="W1727" s="109"/>
      <c r="X1727" s="109"/>
      <c r="Y1727" s="110" t="s">
        <v>31</v>
      </c>
    </row>
    <row r="1728" spans="1:25" s="111" customFormat="1" x14ac:dyDescent="0.2">
      <c r="A1728" s="101">
        <v>46261</v>
      </c>
      <c r="B1728" s="91" t="s">
        <v>2026</v>
      </c>
      <c r="C1728" s="102" t="s">
        <v>2027</v>
      </c>
      <c r="D1728" s="103" t="s">
        <v>26</v>
      </c>
      <c r="E1728" s="91" t="s">
        <v>2028</v>
      </c>
      <c r="F1728" s="91" t="s">
        <v>2029</v>
      </c>
      <c r="G1728" s="91" t="s">
        <v>2030</v>
      </c>
      <c r="H1728" s="104" t="str">
        <f t="shared" si="100"/>
        <v>F5112J30</v>
      </c>
      <c r="I1728" s="104"/>
      <c r="J1728" s="105">
        <v>21.78</v>
      </c>
      <c r="K1728" s="106"/>
      <c r="L1728" s="106">
        <v>0</v>
      </c>
      <c r="M1728" s="106">
        <f t="shared" si="99"/>
        <v>0</v>
      </c>
      <c r="N1728" s="106">
        <v>39.39</v>
      </c>
      <c r="O1728" s="107">
        <v>858.12</v>
      </c>
      <c r="P1728" s="107">
        <v>25930</v>
      </c>
      <c r="Q1728" s="107">
        <v>22251052</v>
      </c>
      <c r="R1728" s="102" t="s">
        <v>30</v>
      </c>
      <c r="S1728" s="108"/>
      <c r="T1728" s="109"/>
      <c r="U1728" s="109"/>
      <c r="V1728" s="102"/>
      <c r="W1728" s="109"/>
      <c r="X1728" s="109"/>
      <c r="Y1728" s="110" t="s">
        <v>31</v>
      </c>
    </row>
    <row r="1729" spans="1:25" s="111" customFormat="1" x14ac:dyDescent="0.2">
      <c r="A1729" s="101">
        <v>46261</v>
      </c>
      <c r="B1729" s="91" t="s">
        <v>2026</v>
      </c>
      <c r="C1729" s="102" t="s">
        <v>2027</v>
      </c>
      <c r="D1729" s="103" t="s">
        <v>26</v>
      </c>
      <c r="E1729" s="91" t="s">
        <v>2028</v>
      </c>
      <c r="F1729" s="91" t="s">
        <v>241</v>
      </c>
      <c r="G1729" s="91" t="s">
        <v>242</v>
      </c>
      <c r="H1729" s="104" t="str">
        <f t="shared" si="100"/>
        <v>F8251J30</v>
      </c>
      <c r="I1729" s="104"/>
      <c r="J1729" s="105">
        <v>38.119999999999997</v>
      </c>
      <c r="K1729" s="106"/>
      <c r="L1729" s="106">
        <v>0</v>
      </c>
      <c r="M1729" s="106">
        <f t="shared" si="99"/>
        <v>0</v>
      </c>
      <c r="N1729" s="106">
        <v>96.36</v>
      </c>
      <c r="O1729" s="107">
        <v>3673.06</v>
      </c>
      <c r="P1729" s="107">
        <v>25930</v>
      </c>
      <c r="Q1729" s="107">
        <v>95242446</v>
      </c>
      <c r="R1729" s="102" t="s">
        <v>30</v>
      </c>
      <c r="S1729" s="108"/>
      <c r="T1729" s="109"/>
      <c r="U1729" s="109"/>
      <c r="V1729" s="102"/>
      <c r="W1729" s="109"/>
      <c r="X1729" s="109"/>
      <c r="Y1729" s="110" t="s">
        <v>31</v>
      </c>
    </row>
    <row r="1730" spans="1:25" s="111" customFormat="1" x14ac:dyDescent="0.2">
      <c r="A1730" s="101">
        <v>46262</v>
      </c>
      <c r="B1730" s="91" t="s">
        <v>2031</v>
      </c>
      <c r="C1730" s="102" t="s">
        <v>2032</v>
      </c>
      <c r="D1730" s="103" t="s">
        <v>196</v>
      </c>
      <c r="E1730" s="91" t="s">
        <v>2033</v>
      </c>
      <c r="F1730" s="91" t="s">
        <v>2034</v>
      </c>
      <c r="G1730" s="91" t="s">
        <v>2035</v>
      </c>
      <c r="H1730" s="104" t="str">
        <f t="shared" si="100"/>
        <v>F4035J20</v>
      </c>
      <c r="I1730" s="104"/>
      <c r="J1730" s="105">
        <v>2.72</v>
      </c>
      <c r="K1730" s="106"/>
      <c r="L1730" s="106">
        <v>0</v>
      </c>
      <c r="M1730" s="106">
        <f t="shared" si="99"/>
        <v>0</v>
      </c>
      <c r="N1730" s="106">
        <v>0</v>
      </c>
      <c r="O1730" s="107">
        <v>0</v>
      </c>
      <c r="P1730" s="107">
        <v>25930</v>
      </c>
      <c r="Q1730" s="107">
        <v>0</v>
      </c>
      <c r="R1730" s="102"/>
      <c r="S1730" s="108"/>
      <c r="T1730" s="109"/>
      <c r="U1730" s="109"/>
      <c r="V1730" s="102" t="s">
        <v>30</v>
      </c>
      <c r="W1730" s="109"/>
      <c r="X1730" s="109"/>
      <c r="Y1730" s="110" t="s">
        <v>31</v>
      </c>
    </row>
    <row r="1731" spans="1:25" s="111" customFormat="1" x14ac:dyDescent="0.2">
      <c r="A1731" s="101">
        <v>46262</v>
      </c>
      <c r="B1731" s="91" t="s">
        <v>2036</v>
      </c>
      <c r="C1731" s="102" t="s">
        <v>2037</v>
      </c>
      <c r="D1731" s="103" t="s">
        <v>26</v>
      </c>
      <c r="E1731" s="91" t="s">
        <v>2038</v>
      </c>
      <c r="F1731" s="91" t="s">
        <v>112</v>
      </c>
      <c r="G1731" s="91" t="s">
        <v>113</v>
      </c>
      <c r="H1731" s="104" t="str">
        <f t="shared" si="100"/>
        <v>C5212J20</v>
      </c>
      <c r="I1731" s="104"/>
      <c r="J1731" s="105">
        <v>81.67</v>
      </c>
      <c r="K1731" s="106"/>
      <c r="L1731" s="106">
        <v>0</v>
      </c>
      <c r="M1731" s="106">
        <f t="shared" si="99"/>
        <v>0</v>
      </c>
      <c r="N1731" s="106">
        <v>62</v>
      </c>
      <c r="O1731" s="107">
        <v>5063.54</v>
      </c>
      <c r="P1731" s="107">
        <v>25930</v>
      </c>
      <c r="Q1731" s="107">
        <v>131297592</v>
      </c>
      <c r="R1731" s="102" t="s">
        <v>30</v>
      </c>
      <c r="S1731" s="108"/>
      <c r="T1731" s="109"/>
      <c r="U1731" s="109"/>
      <c r="V1731" s="102"/>
      <c r="W1731" s="109"/>
      <c r="X1731" s="109"/>
      <c r="Y1731" s="110" t="s">
        <v>358</v>
      </c>
    </row>
    <row r="1732" spans="1:25" s="111" customFormat="1" x14ac:dyDescent="0.2">
      <c r="A1732" s="101">
        <v>46262</v>
      </c>
      <c r="B1732" s="91" t="s">
        <v>2036</v>
      </c>
      <c r="C1732" s="102" t="s">
        <v>2037</v>
      </c>
      <c r="D1732" s="103" t="s">
        <v>26</v>
      </c>
      <c r="E1732" s="91" t="s">
        <v>2038</v>
      </c>
      <c r="F1732" s="91" t="s">
        <v>124</v>
      </c>
      <c r="G1732" s="91" t="s">
        <v>113</v>
      </c>
      <c r="H1732" s="104" t="str">
        <f t="shared" si="100"/>
        <v>C5212J20</v>
      </c>
      <c r="I1732" s="104"/>
      <c r="J1732" s="105">
        <v>245.03</v>
      </c>
      <c r="K1732" s="106"/>
      <c r="L1732" s="106">
        <v>0</v>
      </c>
      <c r="M1732" s="106">
        <f t="shared" si="99"/>
        <v>0</v>
      </c>
      <c r="N1732" s="106">
        <v>62</v>
      </c>
      <c r="O1732" s="107">
        <v>15191.86</v>
      </c>
      <c r="P1732" s="107">
        <v>25930</v>
      </c>
      <c r="Q1732" s="107">
        <v>393924930</v>
      </c>
      <c r="R1732" s="102" t="s">
        <v>30</v>
      </c>
      <c r="S1732" s="108"/>
      <c r="T1732" s="109"/>
      <c r="U1732" s="109"/>
      <c r="V1732" s="102"/>
      <c r="W1732" s="109"/>
      <c r="X1732" s="109"/>
      <c r="Y1732" s="110" t="s">
        <v>358</v>
      </c>
    </row>
    <row r="1733" spans="1:25" s="111" customFormat="1" x14ac:dyDescent="0.2">
      <c r="A1733" s="101">
        <v>46262</v>
      </c>
      <c r="B1733" s="91" t="s">
        <v>2036</v>
      </c>
      <c r="C1733" s="102" t="s">
        <v>2037</v>
      </c>
      <c r="D1733" s="103" t="s">
        <v>26</v>
      </c>
      <c r="E1733" s="91" t="s">
        <v>2038</v>
      </c>
      <c r="F1733" s="91" t="s">
        <v>2039</v>
      </c>
      <c r="G1733" s="91" t="s">
        <v>2040</v>
      </c>
      <c r="H1733" s="104" t="str">
        <f t="shared" si="100"/>
        <v>F5144J13</v>
      </c>
      <c r="I1733" s="104"/>
      <c r="J1733" s="105">
        <v>16.34</v>
      </c>
      <c r="K1733" s="106"/>
      <c r="L1733" s="106">
        <v>0</v>
      </c>
      <c r="M1733" s="106">
        <f t="shared" si="99"/>
        <v>0</v>
      </c>
      <c r="N1733" s="106">
        <v>55.3</v>
      </c>
      <c r="O1733" s="107">
        <v>903.53</v>
      </c>
      <c r="P1733" s="107">
        <v>25930</v>
      </c>
      <c r="Q1733" s="107">
        <v>23428533</v>
      </c>
      <c r="R1733" s="102" t="s">
        <v>30</v>
      </c>
      <c r="S1733" s="108"/>
      <c r="T1733" s="109"/>
      <c r="U1733" s="109"/>
      <c r="V1733" s="102"/>
      <c r="W1733" s="109"/>
      <c r="X1733" s="109"/>
      <c r="Y1733" s="110" t="s">
        <v>358</v>
      </c>
    </row>
    <row r="1734" spans="1:25" s="111" customFormat="1" x14ac:dyDescent="0.2">
      <c r="A1734" s="101">
        <v>46262</v>
      </c>
      <c r="B1734" s="91" t="s">
        <v>2036</v>
      </c>
      <c r="C1734" s="102" t="s">
        <v>2037</v>
      </c>
      <c r="D1734" s="103" t="s">
        <v>26</v>
      </c>
      <c r="E1734" s="91" t="s">
        <v>2038</v>
      </c>
      <c r="F1734" s="91" t="s">
        <v>2041</v>
      </c>
      <c r="G1734" s="91" t="s">
        <v>2040</v>
      </c>
      <c r="H1734" s="104" t="str">
        <f t="shared" si="100"/>
        <v>F5144J13</v>
      </c>
      <c r="I1734" s="104"/>
      <c r="J1734" s="105">
        <v>43.56</v>
      </c>
      <c r="K1734" s="106"/>
      <c r="L1734" s="106">
        <v>0</v>
      </c>
      <c r="M1734" s="106">
        <f t="shared" si="99"/>
        <v>0</v>
      </c>
      <c r="N1734" s="106">
        <v>55.3</v>
      </c>
      <c r="O1734" s="107">
        <v>2408.6799999999998</v>
      </c>
      <c r="P1734" s="107">
        <v>25930</v>
      </c>
      <c r="Q1734" s="107">
        <v>62457072</v>
      </c>
      <c r="R1734" s="102" t="s">
        <v>30</v>
      </c>
      <c r="S1734" s="108"/>
      <c r="T1734" s="109"/>
      <c r="U1734" s="109"/>
      <c r="V1734" s="102"/>
      <c r="W1734" s="109"/>
      <c r="X1734" s="109"/>
      <c r="Y1734" s="110" t="s">
        <v>358</v>
      </c>
    </row>
    <row r="1735" spans="1:25" s="111" customFormat="1" x14ac:dyDescent="0.2">
      <c r="A1735" s="101">
        <v>46262</v>
      </c>
      <c r="B1735" s="91" t="s">
        <v>2036</v>
      </c>
      <c r="C1735" s="102" t="s">
        <v>2037</v>
      </c>
      <c r="D1735" s="103" t="s">
        <v>26</v>
      </c>
      <c r="E1735" s="91" t="s">
        <v>2038</v>
      </c>
      <c r="F1735" s="91" t="s">
        <v>999</v>
      </c>
      <c r="G1735" s="91" t="s">
        <v>1000</v>
      </c>
      <c r="H1735" s="104" t="str">
        <f t="shared" si="100"/>
        <v>F5144J20</v>
      </c>
      <c r="I1735" s="104"/>
      <c r="J1735" s="105">
        <v>163.35</v>
      </c>
      <c r="K1735" s="106"/>
      <c r="L1735" s="106">
        <v>0</v>
      </c>
      <c r="M1735" s="106">
        <f t="shared" si="99"/>
        <v>0</v>
      </c>
      <c r="N1735" s="106">
        <v>65.099999999999994</v>
      </c>
      <c r="O1735" s="107">
        <v>10634.1</v>
      </c>
      <c r="P1735" s="107">
        <v>25930</v>
      </c>
      <c r="Q1735" s="107">
        <v>275742213</v>
      </c>
      <c r="R1735" s="102" t="s">
        <v>30</v>
      </c>
      <c r="S1735" s="108"/>
      <c r="T1735" s="109"/>
      <c r="U1735" s="109"/>
      <c r="V1735" s="102"/>
      <c r="W1735" s="109"/>
      <c r="X1735" s="109"/>
      <c r="Y1735" s="110" t="s">
        <v>358</v>
      </c>
    </row>
    <row r="1736" spans="1:25" s="111" customFormat="1" x14ac:dyDescent="0.2">
      <c r="A1736" s="101">
        <v>46262</v>
      </c>
      <c r="B1736" s="91" t="s">
        <v>2036</v>
      </c>
      <c r="C1736" s="102" t="s">
        <v>2037</v>
      </c>
      <c r="D1736" s="103" t="s">
        <v>26</v>
      </c>
      <c r="E1736" s="91" t="s">
        <v>2038</v>
      </c>
      <c r="F1736" s="91" t="s">
        <v>1835</v>
      </c>
      <c r="G1736" s="91" t="s">
        <v>1836</v>
      </c>
      <c r="H1736" s="104" t="str">
        <f t="shared" si="100"/>
        <v>C4043J20</v>
      </c>
      <c r="I1736" s="104"/>
      <c r="J1736" s="105">
        <v>490.05</v>
      </c>
      <c r="K1736" s="106"/>
      <c r="L1736" s="106">
        <v>0</v>
      </c>
      <c r="M1736" s="106">
        <f t="shared" si="99"/>
        <v>0</v>
      </c>
      <c r="N1736" s="106">
        <v>62</v>
      </c>
      <c r="O1736" s="107">
        <v>30383.1</v>
      </c>
      <c r="P1736" s="107">
        <v>25930</v>
      </c>
      <c r="Q1736" s="107">
        <v>787833783</v>
      </c>
      <c r="R1736" s="102" t="s">
        <v>30</v>
      </c>
      <c r="S1736" s="108"/>
      <c r="T1736" s="109"/>
      <c r="U1736" s="109"/>
      <c r="V1736" s="102"/>
      <c r="W1736" s="109"/>
      <c r="X1736" s="109"/>
      <c r="Y1736" s="110" t="s">
        <v>358</v>
      </c>
    </row>
    <row r="1737" spans="1:25" s="111" customFormat="1" x14ac:dyDescent="0.2">
      <c r="A1737" s="101">
        <v>46262</v>
      </c>
      <c r="B1737" s="91" t="s">
        <v>2036</v>
      </c>
      <c r="C1737" s="102" t="s">
        <v>2037</v>
      </c>
      <c r="D1737" s="103" t="s">
        <v>26</v>
      </c>
      <c r="E1737" s="91" t="s">
        <v>2038</v>
      </c>
      <c r="F1737" s="91" t="s">
        <v>2042</v>
      </c>
      <c r="G1737" s="91" t="s">
        <v>2043</v>
      </c>
      <c r="H1737" s="104" t="str">
        <f t="shared" si="100"/>
        <v>C6313J13</v>
      </c>
      <c r="I1737" s="104"/>
      <c r="J1737" s="105">
        <v>21.78</v>
      </c>
      <c r="K1737" s="106"/>
      <c r="L1737" s="106">
        <v>0</v>
      </c>
      <c r="M1737" s="106">
        <f t="shared" si="99"/>
        <v>0</v>
      </c>
      <c r="N1737" s="106">
        <v>52.7</v>
      </c>
      <c r="O1737" s="107">
        <v>1147.72</v>
      </c>
      <c r="P1737" s="107">
        <v>25930</v>
      </c>
      <c r="Q1737" s="107">
        <v>29760380</v>
      </c>
      <c r="R1737" s="102" t="s">
        <v>30</v>
      </c>
      <c r="S1737" s="108"/>
      <c r="T1737" s="109"/>
      <c r="U1737" s="109"/>
      <c r="V1737" s="102"/>
      <c r="W1737" s="109"/>
      <c r="X1737" s="109"/>
      <c r="Y1737" s="110" t="s">
        <v>358</v>
      </c>
    </row>
    <row r="1738" spans="1:25" s="111" customFormat="1" x14ac:dyDescent="0.2">
      <c r="A1738" s="101">
        <v>46262</v>
      </c>
      <c r="B1738" s="91" t="s">
        <v>2036</v>
      </c>
      <c r="C1738" s="102" t="s">
        <v>2037</v>
      </c>
      <c r="D1738" s="103" t="s">
        <v>26</v>
      </c>
      <c r="E1738" s="91" t="s">
        <v>2038</v>
      </c>
      <c r="F1738" s="91" t="s">
        <v>2044</v>
      </c>
      <c r="G1738" s="91" t="s">
        <v>2043</v>
      </c>
      <c r="H1738" s="104" t="str">
        <f t="shared" si="100"/>
        <v>C6313J13</v>
      </c>
      <c r="I1738" s="104"/>
      <c r="J1738" s="105">
        <v>49.01</v>
      </c>
      <c r="K1738" s="106"/>
      <c r="L1738" s="106">
        <v>0</v>
      </c>
      <c r="M1738" s="106">
        <f t="shared" si="99"/>
        <v>0</v>
      </c>
      <c r="N1738" s="106">
        <v>52.7</v>
      </c>
      <c r="O1738" s="107">
        <v>2582.63</v>
      </c>
      <c r="P1738" s="107">
        <v>25930</v>
      </c>
      <c r="Q1738" s="107">
        <v>66967596</v>
      </c>
      <c r="R1738" s="102" t="s">
        <v>30</v>
      </c>
      <c r="S1738" s="108"/>
      <c r="T1738" s="109"/>
      <c r="U1738" s="109"/>
      <c r="V1738" s="102"/>
      <c r="W1738" s="109"/>
      <c r="X1738" s="109"/>
      <c r="Y1738" s="110" t="s">
        <v>358</v>
      </c>
    </row>
    <row r="1739" spans="1:25" s="111" customFormat="1" x14ac:dyDescent="0.2">
      <c r="A1739" s="101">
        <v>46262</v>
      </c>
      <c r="B1739" s="91" t="s">
        <v>2045</v>
      </c>
      <c r="C1739" s="102" t="s">
        <v>2046</v>
      </c>
      <c r="D1739" s="103" t="s">
        <v>26</v>
      </c>
      <c r="E1739" s="91" t="s">
        <v>2047</v>
      </c>
      <c r="F1739" s="91" t="s">
        <v>2048</v>
      </c>
      <c r="G1739" s="91" t="s">
        <v>2049</v>
      </c>
      <c r="H1739" s="104" t="str">
        <f t="shared" si="100"/>
        <v>F4143J30</v>
      </c>
      <c r="I1739" s="104"/>
      <c r="J1739" s="105">
        <v>326.7</v>
      </c>
      <c r="K1739" s="106"/>
      <c r="L1739" s="106">
        <v>0</v>
      </c>
      <c r="M1739" s="106">
        <f t="shared" si="99"/>
        <v>0</v>
      </c>
      <c r="N1739" s="106">
        <v>78.8</v>
      </c>
      <c r="O1739" s="107">
        <v>25744.21</v>
      </c>
      <c r="P1739" s="107">
        <v>25930</v>
      </c>
      <c r="Q1739" s="107">
        <v>667547365</v>
      </c>
      <c r="R1739" s="102" t="s">
        <v>30</v>
      </c>
      <c r="S1739" s="108"/>
      <c r="T1739" s="109"/>
      <c r="U1739" s="109"/>
      <c r="V1739" s="102"/>
      <c r="W1739" s="109"/>
      <c r="X1739" s="109"/>
      <c r="Y1739" s="110" t="s">
        <v>31</v>
      </c>
    </row>
    <row r="1740" spans="1:25" s="111" customFormat="1" x14ac:dyDescent="0.2">
      <c r="A1740" s="101">
        <v>46262</v>
      </c>
      <c r="B1740" s="91" t="s">
        <v>2045</v>
      </c>
      <c r="C1740" s="102" t="s">
        <v>2046</v>
      </c>
      <c r="D1740" s="103" t="s">
        <v>26</v>
      </c>
      <c r="E1740" s="91" t="s">
        <v>2047</v>
      </c>
      <c r="F1740" s="91" t="s">
        <v>2050</v>
      </c>
      <c r="G1740" s="91" t="s">
        <v>2051</v>
      </c>
      <c r="H1740" s="104" t="str">
        <f t="shared" si="100"/>
        <v>F8103J30</v>
      </c>
      <c r="I1740" s="104"/>
      <c r="J1740" s="105">
        <v>10.89</v>
      </c>
      <c r="K1740" s="106"/>
      <c r="L1740" s="106">
        <v>0</v>
      </c>
      <c r="M1740" s="106">
        <f t="shared" si="99"/>
        <v>0</v>
      </c>
      <c r="N1740" s="106">
        <v>48.54</v>
      </c>
      <c r="O1740" s="107">
        <v>528.61</v>
      </c>
      <c r="P1740" s="107">
        <v>25930</v>
      </c>
      <c r="Q1740" s="107">
        <v>13706857</v>
      </c>
      <c r="R1740" s="102" t="s">
        <v>30</v>
      </c>
      <c r="S1740" s="108"/>
      <c r="T1740" s="109"/>
      <c r="U1740" s="109"/>
      <c r="V1740" s="102"/>
      <c r="W1740" s="109"/>
      <c r="X1740" s="109"/>
      <c r="Y1740" s="110" t="s">
        <v>31</v>
      </c>
    </row>
    <row r="1741" spans="1:25" s="111" customFormat="1" x14ac:dyDescent="0.2">
      <c r="A1741" s="101">
        <v>46262</v>
      </c>
      <c r="B1741" s="91" t="s">
        <v>2045</v>
      </c>
      <c r="C1741" s="102" t="s">
        <v>2046</v>
      </c>
      <c r="D1741" s="103" t="s">
        <v>26</v>
      </c>
      <c r="E1741" s="91" t="s">
        <v>2047</v>
      </c>
      <c r="F1741" s="91" t="s">
        <v>2050</v>
      </c>
      <c r="G1741" s="91" t="s">
        <v>2051</v>
      </c>
      <c r="H1741" s="104" t="str">
        <f t="shared" si="100"/>
        <v>F8103J30</v>
      </c>
      <c r="I1741" s="104"/>
      <c r="J1741" s="105">
        <v>10.89</v>
      </c>
      <c r="K1741" s="106"/>
      <c r="L1741" s="106">
        <v>0</v>
      </c>
      <c r="M1741" s="106">
        <f t="shared" ref="M1741:M1748" si="101">L1741-K1741</f>
        <v>0</v>
      </c>
      <c r="N1741" s="106">
        <v>48.54</v>
      </c>
      <c r="O1741" s="107">
        <v>528.61</v>
      </c>
      <c r="P1741" s="107">
        <v>25930</v>
      </c>
      <c r="Q1741" s="107">
        <v>13706857</v>
      </c>
      <c r="R1741" s="102" t="s">
        <v>30</v>
      </c>
      <c r="S1741" s="108"/>
      <c r="T1741" s="109"/>
      <c r="U1741" s="109"/>
      <c r="V1741" s="102"/>
      <c r="W1741" s="109"/>
      <c r="X1741" s="109"/>
      <c r="Y1741" s="110" t="s">
        <v>31</v>
      </c>
    </row>
    <row r="1742" spans="1:25" s="111" customFormat="1" x14ac:dyDescent="0.2">
      <c r="A1742" s="101">
        <v>46262</v>
      </c>
      <c r="B1742" s="91" t="s">
        <v>2045</v>
      </c>
      <c r="C1742" s="102" t="s">
        <v>2046</v>
      </c>
      <c r="D1742" s="103" t="s">
        <v>26</v>
      </c>
      <c r="E1742" s="91" t="s">
        <v>2047</v>
      </c>
      <c r="F1742" s="91" t="s">
        <v>2052</v>
      </c>
      <c r="G1742" s="91" t="s">
        <v>2051</v>
      </c>
      <c r="H1742" s="104" t="str">
        <f t="shared" ref="H1742:H1805" si="102">IF(LEN(G1742)=13,LEFT(G1742,5)&amp;MID(G1742,SEARCH("-J",G1742)+1,3),LEFT(G1742,5)&amp;"J20")</f>
        <v>F8103J30</v>
      </c>
      <c r="I1742" s="104"/>
      <c r="J1742" s="105">
        <v>5.45</v>
      </c>
      <c r="K1742" s="106"/>
      <c r="L1742" s="106">
        <v>0</v>
      </c>
      <c r="M1742" s="106">
        <f t="shared" si="101"/>
        <v>0</v>
      </c>
      <c r="N1742" s="106">
        <v>48.54</v>
      </c>
      <c r="O1742" s="107">
        <v>264.55</v>
      </c>
      <c r="P1742" s="107">
        <v>25930</v>
      </c>
      <c r="Q1742" s="107">
        <v>6859782</v>
      </c>
      <c r="R1742" s="102" t="s">
        <v>30</v>
      </c>
      <c r="S1742" s="108"/>
      <c r="T1742" s="109"/>
      <c r="U1742" s="109"/>
      <c r="V1742" s="102"/>
      <c r="W1742" s="109"/>
      <c r="X1742" s="109"/>
      <c r="Y1742" s="110" t="s">
        <v>31</v>
      </c>
    </row>
    <row r="1743" spans="1:25" s="111" customFormat="1" x14ac:dyDescent="0.2">
      <c r="A1743" s="101">
        <v>46262</v>
      </c>
      <c r="B1743" s="91" t="s">
        <v>2053</v>
      </c>
      <c r="C1743" s="102" t="s">
        <v>2054</v>
      </c>
      <c r="D1743" s="103" t="s">
        <v>26</v>
      </c>
      <c r="E1743" s="91" t="s">
        <v>2055</v>
      </c>
      <c r="F1743" s="91" t="s">
        <v>1222</v>
      </c>
      <c r="G1743" s="91" t="s">
        <v>1223</v>
      </c>
      <c r="H1743" s="104" t="str">
        <f t="shared" si="102"/>
        <v>F5132J20</v>
      </c>
      <c r="I1743" s="104"/>
      <c r="J1743" s="105">
        <v>10.94</v>
      </c>
      <c r="K1743" s="106"/>
      <c r="L1743" s="106">
        <v>0</v>
      </c>
      <c r="M1743" s="106">
        <f t="shared" si="101"/>
        <v>0</v>
      </c>
      <c r="N1743" s="106">
        <v>129.25</v>
      </c>
      <c r="O1743" s="107">
        <v>1414</v>
      </c>
      <c r="P1743" s="107">
        <v>25930</v>
      </c>
      <c r="Q1743" s="107">
        <v>36665020</v>
      </c>
      <c r="R1743" s="102"/>
      <c r="S1743" s="108"/>
      <c r="T1743" s="109"/>
      <c r="U1743" s="109" t="s">
        <v>30</v>
      </c>
      <c r="V1743" s="102"/>
      <c r="W1743" s="109"/>
      <c r="X1743" s="109"/>
      <c r="Y1743" s="110" t="s">
        <v>31</v>
      </c>
    </row>
    <row r="1744" spans="1:25" s="111" customFormat="1" x14ac:dyDescent="0.2">
      <c r="A1744" s="101">
        <v>46262</v>
      </c>
      <c r="B1744" s="91" t="s">
        <v>2053</v>
      </c>
      <c r="C1744" s="102" t="s">
        <v>2054</v>
      </c>
      <c r="D1744" s="103" t="s">
        <v>26</v>
      </c>
      <c r="E1744" s="91" t="s">
        <v>2055</v>
      </c>
      <c r="F1744" s="91" t="s">
        <v>1222</v>
      </c>
      <c r="G1744" s="91" t="s">
        <v>1223</v>
      </c>
      <c r="H1744" s="104" t="str">
        <f t="shared" si="102"/>
        <v>F5132J20</v>
      </c>
      <c r="I1744" s="104"/>
      <c r="J1744" s="105">
        <v>10.94</v>
      </c>
      <c r="K1744" s="106"/>
      <c r="L1744" s="106">
        <v>0</v>
      </c>
      <c r="M1744" s="106">
        <f t="shared" si="101"/>
        <v>0</v>
      </c>
      <c r="N1744" s="106">
        <v>129.25</v>
      </c>
      <c r="O1744" s="107">
        <v>1414</v>
      </c>
      <c r="P1744" s="107">
        <v>25930</v>
      </c>
      <c r="Q1744" s="107">
        <v>36665020</v>
      </c>
      <c r="R1744" s="102"/>
      <c r="S1744" s="108"/>
      <c r="T1744" s="109"/>
      <c r="U1744" s="109" t="s">
        <v>30</v>
      </c>
      <c r="V1744" s="102"/>
      <c r="W1744" s="109"/>
      <c r="X1744" s="109"/>
      <c r="Y1744" s="110" t="s">
        <v>31</v>
      </c>
    </row>
    <row r="1745" spans="1:25" s="111" customFormat="1" x14ac:dyDescent="0.2">
      <c r="A1745" s="101">
        <v>46262</v>
      </c>
      <c r="B1745" s="91" t="s">
        <v>2053</v>
      </c>
      <c r="C1745" s="102" t="s">
        <v>2054</v>
      </c>
      <c r="D1745" s="103" t="s">
        <v>26</v>
      </c>
      <c r="E1745" s="91" t="s">
        <v>2055</v>
      </c>
      <c r="F1745" s="91" t="s">
        <v>2056</v>
      </c>
      <c r="G1745" s="91" t="s">
        <v>2057</v>
      </c>
      <c r="H1745" s="104" t="str">
        <f t="shared" si="102"/>
        <v>F5152J20</v>
      </c>
      <c r="I1745" s="104"/>
      <c r="J1745" s="105">
        <v>14.06</v>
      </c>
      <c r="K1745" s="106"/>
      <c r="L1745" s="106">
        <v>0</v>
      </c>
      <c r="M1745" s="106">
        <f t="shared" si="101"/>
        <v>0</v>
      </c>
      <c r="N1745" s="106">
        <v>129.30000000000001</v>
      </c>
      <c r="O1745" s="107">
        <v>1818</v>
      </c>
      <c r="P1745" s="107">
        <v>25930</v>
      </c>
      <c r="Q1745" s="107">
        <v>47140740</v>
      </c>
      <c r="R1745" s="102"/>
      <c r="S1745" s="108"/>
      <c r="T1745" s="109"/>
      <c r="U1745" s="109" t="s">
        <v>30</v>
      </c>
      <c r="V1745" s="102"/>
      <c r="W1745" s="109"/>
      <c r="X1745" s="109"/>
      <c r="Y1745" s="110" t="s">
        <v>31</v>
      </c>
    </row>
    <row r="1746" spans="1:25" s="111" customFormat="1" x14ac:dyDescent="0.2">
      <c r="A1746" s="101">
        <v>46262</v>
      </c>
      <c r="B1746" s="91" t="s">
        <v>2053</v>
      </c>
      <c r="C1746" s="102" t="s">
        <v>2054</v>
      </c>
      <c r="D1746" s="103" t="s">
        <v>26</v>
      </c>
      <c r="E1746" s="91" t="s">
        <v>2055</v>
      </c>
      <c r="F1746" s="91" t="s">
        <v>1766</v>
      </c>
      <c r="G1746" s="91" t="s">
        <v>1767</v>
      </c>
      <c r="H1746" s="104" t="str">
        <f t="shared" si="102"/>
        <v>F5112J30</v>
      </c>
      <c r="I1746" s="104"/>
      <c r="J1746" s="105">
        <v>190.58</v>
      </c>
      <c r="K1746" s="106"/>
      <c r="L1746" s="106">
        <v>0</v>
      </c>
      <c r="M1746" s="106">
        <f t="shared" si="101"/>
        <v>0</v>
      </c>
      <c r="N1746" s="106">
        <v>79</v>
      </c>
      <c r="O1746" s="107">
        <v>15055.82</v>
      </c>
      <c r="P1746" s="107">
        <v>25930</v>
      </c>
      <c r="Q1746" s="107">
        <v>390397413</v>
      </c>
      <c r="R1746" s="102" t="s">
        <v>30</v>
      </c>
      <c r="S1746" s="108"/>
      <c r="T1746" s="109"/>
      <c r="U1746" s="109"/>
      <c r="V1746" s="102"/>
      <c r="W1746" s="109"/>
      <c r="X1746" s="109"/>
      <c r="Y1746" s="110" t="s">
        <v>31</v>
      </c>
    </row>
    <row r="1747" spans="1:25" s="111" customFormat="1" x14ac:dyDescent="0.2">
      <c r="A1747" s="101">
        <v>46262</v>
      </c>
      <c r="B1747" s="91" t="s">
        <v>2053</v>
      </c>
      <c r="C1747" s="102" t="s">
        <v>2054</v>
      </c>
      <c r="D1747" s="103" t="s">
        <v>26</v>
      </c>
      <c r="E1747" s="91" t="s">
        <v>2055</v>
      </c>
      <c r="F1747" s="91" t="s">
        <v>88</v>
      </c>
      <c r="G1747" s="91" t="s">
        <v>89</v>
      </c>
      <c r="H1747" s="104" t="str">
        <f t="shared" si="102"/>
        <v>F5131J20</v>
      </c>
      <c r="I1747" s="104"/>
      <c r="J1747" s="105">
        <v>201.47</v>
      </c>
      <c r="K1747" s="106"/>
      <c r="L1747" s="106">
        <v>0</v>
      </c>
      <c r="M1747" s="106">
        <f t="shared" si="101"/>
        <v>0</v>
      </c>
      <c r="N1747" s="106">
        <v>62.81</v>
      </c>
      <c r="O1747" s="107">
        <v>12654.11</v>
      </c>
      <c r="P1747" s="107">
        <v>25930</v>
      </c>
      <c r="Q1747" s="107">
        <v>328121072</v>
      </c>
      <c r="R1747" s="102" t="s">
        <v>30</v>
      </c>
      <c r="S1747" s="108"/>
      <c r="T1747" s="109"/>
      <c r="U1747" s="109"/>
      <c r="V1747" s="102"/>
      <c r="W1747" s="109"/>
      <c r="X1747" s="109"/>
      <c r="Y1747" s="110" t="s">
        <v>31</v>
      </c>
    </row>
    <row r="1748" spans="1:25" s="111" customFormat="1" x14ac:dyDescent="0.2">
      <c r="A1748" s="101">
        <v>46262</v>
      </c>
      <c r="B1748" s="91" t="s">
        <v>2058</v>
      </c>
      <c r="C1748" s="102" t="s">
        <v>2059</v>
      </c>
      <c r="D1748" s="103" t="s">
        <v>26</v>
      </c>
      <c r="E1748" s="91" t="s">
        <v>2060</v>
      </c>
      <c r="F1748" s="91" t="s">
        <v>28</v>
      </c>
      <c r="G1748" s="91" t="s">
        <v>29</v>
      </c>
      <c r="H1748" s="104" t="str">
        <f t="shared" si="102"/>
        <v>F4001J20</v>
      </c>
      <c r="I1748" s="104"/>
      <c r="J1748" s="105">
        <v>381.15</v>
      </c>
      <c r="K1748" s="106"/>
      <c r="L1748" s="106">
        <v>0</v>
      </c>
      <c r="M1748" s="106">
        <f t="shared" si="101"/>
        <v>0</v>
      </c>
      <c r="N1748" s="106">
        <v>60.9</v>
      </c>
      <c r="O1748" s="107">
        <v>23212</v>
      </c>
      <c r="P1748" s="107">
        <v>25930</v>
      </c>
      <c r="Q1748" s="107">
        <v>601887160</v>
      </c>
      <c r="R1748" s="102" t="s">
        <v>30</v>
      </c>
      <c r="S1748" s="108"/>
      <c r="T1748" s="109"/>
      <c r="U1748" s="109"/>
      <c r="V1748" s="102"/>
      <c r="W1748" s="109"/>
      <c r="X1748" s="109"/>
      <c r="Y1748" s="110" t="s">
        <v>31</v>
      </c>
    </row>
    <row r="1749" spans="1:25" s="111" customFormat="1" x14ac:dyDescent="0.2">
      <c r="A1749" s="101">
        <v>46262</v>
      </c>
      <c r="B1749" s="91" t="s">
        <v>2058</v>
      </c>
      <c r="C1749" s="102" t="s">
        <v>2059</v>
      </c>
      <c r="D1749" s="103" t="s">
        <v>26</v>
      </c>
      <c r="E1749" s="91" t="s">
        <v>2060</v>
      </c>
      <c r="F1749" s="91" t="s">
        <v>32</v>
      </c>
      <c r="G1749" s="91" t="s">
        <v>33</v>
      </c>
      <c r="H1749" s="104" t="str">
        <f t="shared" si="102"/>
        <v>F4001J30</v>
      </c>
      <c r="I1749" s="104"/>
      <c r="J1749" s="106">
        <v>38.119999999999997</v>
      </c>
      <c r="K1749" s="106"/>
      <c r="L1749" s="106">
        <v>0</v>
      </c>
      <c r="M1749" s="106"/>
      <c r="N1749" s="106">
        <v>76.09</v>
      </c>
      <c r="O1749" s="106">
        <v>2900.52</v>
      </c>
      <c r="P1749" s="107">
        <v>25930</v>
      </c>
      <c r="Q1749" s="107">
        <v>75210484</v>
      </c>
      <c r="R1749" s="102" t="s">
        <v>30</v>
      </c>
      <c r="S1749" s="108"/>
      <c r="T1749" s="109"/>
      <c r="U1749" s="109"/>
      <c r="V1749" s="102"/>
      <c r="W1749" s="109"/>
      <c r="X1749" s="109"/>
      <c r="Y1749" s="110" t="s">
        <v>31</v>
      </c>
    </row>
    <row r="1750" spans="1:25" s="111" customFormat="1" x14ac:dyDescent="0.2">
      <c r="A1750" s="101">
        <v>46262</v>
      </c>
      <c r="B1750" s="91" t="s">
        <v>2058</v>
      </c>
      <c r="C1750" s="102" t="s">
        <v>2059</v>
      </c>
      <c r="D1750" s="103" t="s">
        <v>26</v>
      </c>
      <c r="E1750" s="91" t="s">
        <v>2060</v>
      </c>
      <c r="F1750" s="91" t="s">
        <v>1343</v>
      </c>
      <c r="G1750" s="91" t="s">
        <v>1344</v>
      </c>
      <c r="H1750" s="104" t="str">
        <f t="shared" si="102"/>
        <v>F6134J20</v>
      </c>
      <c r="I1750" s="104"/>
      <c r="J1750" s="106">
        <v>38.119999999999997</v>
      </c>
      <c r="K1750" s="106"/>
      <c r="L1750" s="106">
        <v>0</v>
      </c>
      <c r="M1750" s="106"/>
      <c r="N1750" s="106">
        <v>65.09</v>
      </c>
      <c r="O1750" s="106">
        <v>2481.29</v>
      </c>
      <c r="P1750" s="107">
        <v>25930</v>
      </c>
      <c r="Q1750" s="107">
        <v>64339850</v>
      </c>
      <c r="R1750" s="102" t="s">
        <v>30</v>
      </c>
      <c r="S1750" s="108"/>
      <c r="T1750" s="109"/>
      <c r="U1750" s="109"/>
      <c r="V1750" s="102"/>
      <c r="W1750" s="109"/>
      <c r="X1750" s="109"/>
      <c r="Y1750" s="110" t="s">
        <v>31</v>
      </c>
    </row>
    <row r="1751" spans="1:25" s="111" customFormat="1" x14ac:dyDescent="0.2">
      <c r="A1751" s="101">
        <v>46262</v>
      </c>
      <c r="B1751" s="91" t="s">
        <v>2061</v>
      </c>
      <c r="C1751" s="102" t="s">
        <v>2062</v>
      </c>
      <c r="D1751" s="103" t="s">
        <v>2063</v>
      </c>
      <c r="E1751" s="91" t="s">
        <v>2064</v>
      </c>
      <c r="F1751" s="91" t="s">
        <v>2065</v>
      </c>
      <c r="G1751" s="91" t="s">
        <v>2066</v>
      </c>
      <c r="H1751" s="104" t="str">
        <f t="shared" si="102"/>
        <v>C5233J20</v>
      </c>
      <c r="I1751" s="104"/>
      <c r="J1751" s="106">
        <v>2.89</v>
      </c>
      <c r="K1751" s="106"/>
      <c r="L1751" s="106">
        <v>0</v>
      </c>
      <c r="M1751" s="106">
        <f t="shared" ref="M1751:M1756" si="103">L1751-K1751</f>
        <v>0</v>
      </c>
      <c r="N1751" s="106">
        <v>60</v>
      </c>
      <c r="O1751" s="106">
        <v>173.4</v>
      </c>
      <c r="P1751" s="107">
        <v>25930</v>
      </c>
      <c r="Q1751" s="107">
        <v>4496262</v>
      </c>
      <c r="R1751" s="102"/>
      <c r="S1751" s="108"/>
      <c r="T1751" s="109"/>
      <c r="U1751" s="109" t="s">
        <v>30</v>
      </c>
      <c r="V1751" s="102"/>
      <c r="W1751" s="109"/>
      <c r="X1751" s="109" t="s">
        <v>30</v>
      </c>
      <c r="Y1751" s="110" t="s">
        <v>803</v>
      </c>
    </row>
    <row r="1752" spans="1:25" s="111" customFormat="1" x14ac:dyDescent="0.2">
      <c r="A1752" s="101">
        <v>46262</v>
      </c>
      <c r="B1752" s="91" t="s">
        <v>2061</v>
      </c>
      <c r="C1752" s="102" t="s">
        <v>2062</v>
      </c>
      <c r="D1752" s="103" t="s">
        <v>2063</v>
      </c>
      <c r="E1752" s="91" t="s">
        <v>2064</v>
      </c>
      <c r="F1752" s="91" t="s">
        <v>2067</v>
      </c>
      <c r="G1752" s="91" t="s">
        <v>2068</v>
      </c>
      <c r="H1752" s="104" t="str">
        <f t="shared" si="102"/>
        <v>C5233J20</v>
      </c>
      <c r="I1752" s="104"/>
      <c r="J1752" s="106">
        <v>6.45</v>
      </c>
      <c r="K1752" s="106"/>
      <c r="L1752" s="106">
        <v>0</v>
      </c>
      <c r="M1752" s="106">
        <f t="shared" si="103"/>
        <v>0</v>
      </c>
      <c r="N1752" s="106">
        <v>60</v>
      </c>
      <c r="O1752" s="106">
        <v>387</v>
      </c>
      <c r="P1752" s="107">
        <v>25930</v>
      </c>
      <c r="Q1752" s="107">
        <v>10034910</v>
      </c>
      <c r="R1752" s="102"/>
      <c r="S1752" s="108"/>
      <c r="T1752" s="109"/>
      <c r="U1752" s="109" t="s">
        <v>30</v>
      </c>
      <c r="V1752" s="102"/>
      <c r="W1752" s="109"/>
      <c r="X1752" s="109" t="s">
        <v>30</v>
      </c>
      <c r="Y1752" s="110" t="s">
        <v>803</v>
      </c>
    </row>
    <row r="1753" spans="1:25" s="111" customFormat="1" x14ac:dyDescent="0.2">
      <c r="A1753" s="101">
        <v>46262</v>
      </c>
      <c r="B1753" s="91" t="s">
        <v>2061</v>
      </c>
      <c r="C1753" s="102" t="s">
        <v>2062</v>
      </c>
      <c r="D1753" s="103" t="s">
        <v>2063</v>
      </c>
      <c r="E1753" s="91" t="s">
        <v>2064</v>
      </c>
      <c r="F1753" s="91" t="s">
        <v>2069</v>
      </c>
      <c r="G1753" s="91" t="s">
        <v>2070</v>
      </c>
      <c r="H1753" s="104" t="str">
        <f t="shared" si="102"/>
        <v>C5233J20</v>
      </c>
      <c r="I1753" s="104"/>
      <c r="J1753" s="106">
        <v>5.16</v>
      </c>
      <c r="K1753" s="106"/>
      <c r="L1753" s="106">
        <v>0</v>
      </c>
      <c r="M1753" s="106">
        <f t="shared" si="103"/>
        <v>0</v>
      </c>
      <c r="N1753" s="106">
        <v>60</v>
      </c>
      <c r="O1753" s="106">
        <v>309.60000000000002</v>
      </c>
      <c r="P1753" s="107">
        <v>25930</v>
      </c>
      <c r="Q1753" s="107">
        <v>8027928</v>
      </c>
      <c r="R1753" s="102"/>
      <c r="S1753" s="108"/>
      <c r="T1753" s="109"/>
      <c r="U1753" s="109" t="s">
        <v>30</v>
      </c>
      <c r="V1753" s="102"/>
      <c r="W1753" s="109"/>
      <c r="X1753" s="109" t="s">
        <v>30</v>
      </c>
      <c r="Y1753" s="110" t="s">
        <v>803</v>
      </c>
    </row>
    <row r="1754" spans="1:25" s="111" customFormat="1" x14ac:dyDescent="0.2">
      <c r="A1754" s="101">
        <v>46262</v>
      </c>
      <c r="B1754" s="91" t="s">
        <v>2061</v>
      </c>
      <c r="C1754" s="102" t="s">
        <v>2062</v>
      </c>
      <c r="D1754" s="103" t="s">
        <v>2063</v>
      </c>
      <c r="E1754" s="91" t="s">
        <v>2064</v>
      </c>
      <c r="F1754" s="91" t="s">
        <v>2071</v>
      </c>
      <c r="G1754" s="91" t="s">
        <v>2072</v>
      </c>
      <c r="H1754" s="104" t="str">
        <f t="shared" si="102"/>
        <v>C5233J20</v>
      </c>
      <c r="I1754" s="104"/>
      <c r="J1754" s="106">
        <v>2.89</v>
      </c>
      <c r="K1754" s="106"/>
      <c r="L1754" s="106">
        <v>0</v>
      </c>
      <c r="M1754" s="106">
        <f t="shared" si="103"/>
        <v>0</v>
      </c>
      <c r="N1754" s="106">
        <v>60</v>
      </c>
      <c r="O1754" s="106">
        <v>173.4</v>
      </c>
      <c r="P1754" s="107">
        <v>25930</v>
      </c>
      <c r="Q1754" s="107">
        <v>4496262</v>
      </c>
      <c r="R1754" s="102"/>
      <c r="S1754" s="108"/>
      <c r="T1754" s="109"/>
      <c r="U1754" s="109" t="s">
        <v>30</v>
      </c>
      <c r="V1754" s="102"/>
      <c r="W1754" s="109"/>
      <c r="X1754" s="109" t="s">
        <v>30</v>
      </c>
      <c r="Y1754" s="110" t="s">
        <v>803</v>
      </c>
    </row>
    <row r="1755" spans="1:25" s="111" customFormat="1" x14ac:dyDescent="0.2">
      <c r="A1755" s="101">
        <v>46262</v>
      </c>
      <c r="B1755" s="91" t="s">
        <v>2061</v>
      </c>
      <c r="C1755" s="102" t="s">
        <v>2062</v>
      </c>
      <c r="D1755" s="103" t="s">
        <v>2063</v>
      </c>
      <c r="E1755" s="91" t="s">
        <v>2064</v>
      </c>
      <c r="F1755" s="91" t="s">
        <v>2073</v>
      </c>
      <c r="G1755" s="91" t="s">
        <v>2074</v>
      </c>
      <c r="H1755" s="104" t="str">
        <f t="shared" si="102"/>
        <v>C5233J30</v>
      </c>
      <c r="I1755" s="104"/>
      <c r="J1755" s="106">
        <v>147.02000000000001</v>
      </c>
      <c r="K1755" s="106">
        <f>IF(D1755="CAESARSTONE LTD",VLOOKUP(H1755,'[2]GIA CA'!G:H,2,0),IF(OR(D1755="STONE FACINGS LIMITED",D1755="NORDIA SA",D1755="INVICTUS STONE COUNTERTOPS INC"),VLOOKUP(H1755,'[2] Giá ngoài Mỹ - SI-GR'!$B$5:$AZ$84,51,0),IF(OR(D1755="HYUNDAI L&amp;C CANADA INC",D1755="Hyundai L&amp; C USA LLC"),VLOOKUP(H1755,'[2]GIA HS'!A:D,4,0),IF(Y1755="Mỹ",VLOOKUP(H1755,'[2]giá mỹ từ 6.8.2025'!B:I,2,0),VLOOKUP(H1755,'[2]giá ngoài mỹ 6.8.2025 (final)'!B:BP,51,0)))))</f>
        <v>91</v>
      </c>
      <c r="L1755" s="106">
        <v>93</v>
      </c>
      <c r="M1755" s="106">
        <f t="shared" si="103"/>
        <v>2</v>
      </c>
      <c r="N1755" s="106">
        <v>86.111345395184344</v>
      </c>
      <c r="O1755" s="106">
        <v>12660.09</v>
      </c>
      <c r="P1755" s="107">
        <v>25930</v>
      </c>
      <c r="Q1755" s="107">
        <v>328276134</v>
      </c>
      <c r="R1755" s="102" t="s">
        <v>30</v>
      </c>
      <c r="S1755" s="108"/>
      <c r="T1755" s="109"/>
      <c r="U1755" s="109"/>
      <c r="V1755" s="102"/>
      <c r="W1755" s="109"/>
      <c r="X1755" s="109" t="s">
        <v>30</v>
      </c>
      <c r="Y1755" s="110" t="s">
        <v>803</v>
      </c>
    </row>
    <row r="1756" spans="1:25" s="111" customFormat="1" x14ac:dyDescent="0.2">
      <c r="A1756" s="101">
        <v>46262</v>
      </c>
      <c r="B1756" s="91" t="s">
        <v>2061</v>
      </c>
      <c r="C1756" s="102" t="s">
        <v>2062</v>
      </c>
      <c r="D1756" s="103" t="s">
        <v>2063</v>
      </c>
      <c r="E1756" s="91" t="s">
        <v>2064</v>
      </c>
      <c r="F1756" s="91" t="s">
        <v>789</v>
      </c>
      <c r="G1756" s="91" t="s">
        <v>790</v>
      </c>
      <c r="H1756" s="104" t="str">
        <f t="shared" si="102"/>
        <v>C5233J30</v>
      </c>
      <c r="I1756" s="104"/>
      <c r="J1756" s="106">
        <v>147.02000000000001</v>
      </c>
      <c r="K1756" s="106">
        <f>IF(D1756="CAESARSTONE LTD",VLOOKUP(H1756,'[2]GIA CA'!G:H,2,0),IF(OR(D1756="STONE FACINGS LIMITED",D1756="NORDIA SA",D1756="INVICTUS STONE COUNTERTOPS INC"),VLOOKUP(H1756,'[2] Giá ngoài Mỹ - SI-GR'!$B$5:$AZ$84,51,0),IF(OR(D1756="HYUNDAI L&amp;C CANADA INC",D1756="Hyundai L&amp; C USA LLC"),VLOOKUP(H1756,'[2]GIA HS'!A:D,4,0),IF(Y1756="Mỹ",VLOOKUP(H1756,'[2]giá mỹ từ 6.8.2025'!B:I,2,0),VLOOKUP(H1756,'[2]giá ngoài mỹ 6.8.2025 (final)'!B:BP,51,0)))))</f>
        <v>91</v>
      </c>
      <c r="L1756" s="106">
        <v>91</v>
      </c>
      <c r="M1756" s="106">
        <f t="shared" si="103"/>
        <v>0</v>
      </c>
      <c r="N1756" s="106">
        <v>83.9</v>
      </c>
      <c r="O1756" s="106">
        <v>12335.42</v>
      </c>
      <c r="P1756" s="107">
        <v>25930</v>
      </c>
      <c r="Q1756" s="107">
        <v>319857441</v>
      </c>
      <c r="R1756" s="102" t="s">
        <v>30</v>
      </c>
      <c r="S1756" s="108"/>
      <c r="T1756" s="109"/>
      <c r="U1756" s="109"/>
      <c r="V1756" s="102"/>
      <c r="W1756" s="109"/>
      <c r="X1756" s="109" t="s">
        <v>30</v>
      </c>
      <c r="Y1756" s="110" t="s">
        <v>803</v>
      </c>
    </row>
    <row r="1757" spans="1:25" s="111" customFormat="1" x14ac:dyDescent="0.2">
      <c r="A1757" s="101">
        <v>46262</v>
      </c>
      <c r="B1757" s="91" t="s">
        <v>2075</v>
      </c>
      <c r="C1757" s="102" t="s">
        <v>2076</v>
      </c>
      <c r="D1757" s="103" t="s">
        <v>26</v>
      </c>
      <c r="E1757" s="91" t="s">
        <v>2077</v>
      </c>
      <c r="F1757" s="91" t="s">
        <v>895</v>
      </c>
      <c r="G1757" s="91" t="s">
        <v>896</v>
      </c>
      <c r="H1757" s="104" t="str">
        <f t="shared" si="102"/>
        <v>C4143J30</v>
      </c>
      <c r="I1757" s="104"/>
      <c r="J1757" s="106">
        <v>76.23</v>
      </c>
      <c r="K1757" s="106"/>
      <c r="L1757" s="106">
        <v>0</v>
      </c>
      <c r="M1757" s="106"/>
      <c r="N1757" s="106">
        <v>74.8</v>
      </c>
      <c r="O1757" s="106">
        <v>5702.06</v>
      </c>
      <c r="P1757" s="107">
        <v>25930</v>
      </c>
      <c r="Q1757" s="107">
        <v>147854416</v>
      </c>
      <c r="R1757" s="102" t="s">
        <v>30</v>
      </c>
      <c r="S1757" s="108"/>
      <c r="T1757" s="109"/>
      <c r="U1757" s="109"/>
      <c r="V1757" s="102"/>
      <c r="W1757" s="109"/>
      <c r="X1757" s="109"/>
      <c r="Y1757" s="110" t="s">
        <v>31</v>
      </c>
    </row>
    <row r="1758" spans="1:25" s="111" customFormat="1" x14ac:dyDescent="0.2">
      <c r="A1758" s="101">
        <v>46262</v>
      </c>
      <c r="B1758" s="91" t="s">
        <v>2075</v>
      </c>
      <c r="C1758" s="102" t="s">
        <v>2076</v>
      </c>
      <c r="D1758" s="103" t="s">
        <v>26</v>
      </c>
      <c r="E1758" s="91" t="s">
        <v>2077</v>
      </c>
      <c r="F1758" s="91" t="s">
        <v>1766</v>
      </c>
      <c r="G1758" s="91" t="s">
        <v>1767</v>
      </c>
      <c r="H1758" s="104" t="str">
        <f t="shared" si="102"/>
        <v>F5112J30</v>
      </c>
      <c r="I1758" s="104"/>
      <c r="J1758" s="106">
        <v>228.7</v>
      </c>
      <c r="K1758" s="106"/>
      <c r="L1758" s="106">
        <v>0</v>
      </c>
      <c r="M1758" s="106"/>
      <c r="N1758" s="106">
        <v>78.8</v>
      </c>
      <c r="O1758" s="106">
        <v>18020.939999999999</v>
      </c>
      <c r="P1758" s="107">
        <v>25930</v>
      </c>
      <c r="Q1758" s="107">
        <v>467282974</v>
      </c>
      <c r="R1758" s="102" t="s">
        <v>30</v>
      </c>
      <c r="S1758" s="108"/>
      <c r="T1758" s="109"/>
      <c r="U1758" s="109"/>
      <c r="V1758" s="102"/>
      <c r="W1758" s="109"/>
      <c r="X1758" s="109"/>
      <c r="Y1758" s="110" t="s">
        <v>31</v>
      </c>
    </row>
    <row r="1759" spans="1:25" s="111" customFormat="1" x14ac:dyDescent="0.2">
      <c r="A1759" s="101">
        <v>46262</v>
      </c>
      <c r="B1759" s="91" t="s">
        <v>2078</v>
      </c>
      <c r="C1759" s="102" t="s">
        <v>2079</v>
      </c>
      <c r="D1759" s="103" t="s">
        <v>26</v>
      </c>
      <c r="E1759" s="91" t="s">
        <v>2080</v>
      </c>
      <c r="F1759" s="91" t="s">
        <v>284</v>
      </c>
      <c r="G1759" s="91" t="s">
        <v>283</v>
      </c>
      <c r="H1759" s="104" t="str">
        <f t="shared" si="102"/>
        <v>F5100J20</v>
      </c>
      <c r="I1759" s="104"/>
      <c r="J1759" s="106">
        <v>108.9</v>
      </c>
      <c r="K1759" s="106"/>
      <c r="L1759" s="106">
        <v>0</v>
      </c>
      <c r="M1759" s="106"/>
      <c r="N1759" s="106">
        <v>65.099999999999994</v>
      </c>
      <c r="O1759" s="106">
        <v>7089.4</v>
      </c>
      <c r="P1759" s="107">
        <v>25930</v>
      </c>
      <c r="Q1759" s="107">
        <v>183828142</v>
      </c>
      <c r="R1759" s="102" t="s">
        <v>30</v>
      </c>
      <c r="S1759" s="108"/>
      <c r="T1759" s="109"/>
      <c r="U1759" s="109"/>
      <c r="V1759" s="102"/>
      <c r="W1759" s="109"/>
      <c r="X1759" s="109"/>
      <c r="Y1759" s="110" t="s">
        <v>31</v>
      </c>
    </row>
    <row r="1760" spans="1:25" s="111" customFormat="1" x14ac:dyDescent="0.2">
      <c r="A1760" s="101">
        <v>46262</v>
      </c>
      <c r="B1760" s="91" t="s">
        <v>2078</v>
      </c>
      <c r="C1760" s="102" t="s">
        <v>2079</v>
      </c>
      <c r="D1760" s="103" t="s">
        <v>26</v>
      </c>
      <c r="E1760" s="91" t="s">
        <v>2080</v>
      </c>
      <c r="F1760" s="91" t="s">
        <v>1766</v>
      </c>
      <c r="G1760" s="91" t="s">
        <v>1767</v>
      </c>
      <c r="H1760" s="104" t="str">
        <f t="shared" si="102"/>
        <v>F5112J30</v>
      </c>
      <c r="I1760" s="104"/>
      <c r="J1760" s="106">
        <v>38.119999999999997</v>
      </c>
      <c r="K1760" s="106"/>
      <c r="L1760" s="106">
        <v>0</v>
      </c>
      <c r="M1760" s="106"/>
      <c r="N1760" s="106">
        <v>78.790000000000006</v>
      </c>
      <c r="O1760" s="106">
        <v>3003.49</v>
      </c>
      <c r="P1760" s="107">
        <v>25930</v>
      </c>
      <c r="Q1760" s="107">
        <v>77880496</v>
      </c>
      <c r="R1760" s="102" t="s">
        <v>30</v>
      </c>
      <c r="S1760" s="108"/>
      <c r="T1760" s="109"/>
      <c r="U1760" s="109"/>
      <c r="V1760" s="102"/>
      <c r="W1760" s="109"/>
      <c r="X1760" s="109"/>
      <c r="Y1760" s="110" t="s">
        <v>31</v>
      </c>
    </row>
    <row r="1761" spans="1:25" s="111" customFormat="1" x14ac:dyDescent="0.2">
      <c r="A1761" s="101">
        <v>46262</v>
      </c>
      <c r="B1761" s="91" t="s">
        <v>2078</v>
      </c>
      <c r="C1761" s="102" t="s">
        <v>2079</v>
      </c>
      <c r="D1761" s="103" t="s">
        <v>26</v>
      </c>
      <c r="E1761" s="91" t="s">
        <v>2080</v>
      </c>
      <c r="F1761" s="91" t="s">
        <v>88</v>
      </c>
      <c r="G1761" s="91" t="s">
        <v>89</v>
      </c>
      <c r="H1761" s="104" t="str">
        <f t="shared" si="102"/>
        <v>F5131J20</v>
      </c>
      <c r="I1761" s="104"/>
      <c r="J1761" s="106">
        <v>326.7</v>
      </c>
      <c r="K1761" s="106"/>
      <c r="L1761" s="106">
        <v>0</v>
      </c>
      <c r="M1761" s="106"/>
      <c r="N1761" s="106">
        <v>63</v>
      </c>
      <c r="O1761" s="106">
        <v>20582.400000000001</v>
      </c>
      <c r="P1761" s="107">
        <v>25930</v>
      </c>
      <c r="Q1761" s="107">
        <v>533701632</v>
      </c>
      <c r="R1761" s="102" t="s">
        <v>30</v>
      </c>
      <c r="S1761" s="108"/>
      <c r="T1761" s="109"/>
      <c r="U1761" s="109"/>
      <c r="V1761" s="102"/>
      <c r="W1761" s="109"/>
      <c r="X1761" s="109"/>
      <c r="Y1761" s="110" t="s">
        <v>31</v>
      </c>
    </row>
    <row r="1762" spans="1:25" s="111" customFormat="1" x14ac:dyDescent="0.2">
      <c r="A1762" s="101">
        <v>46262</v>
      </c>
      <c r="B1762" s="91" t="s">
        <v>2081</v>
      </c>
      <c r="C1762" s="102" t="s">
        <v>2082</v>
      </c>
      <c r="D1762" s="103" t="s">
        <v>26</v>
      </c>
      <c r="E1762" s="91" t="s">
        <v>2083</v>
      </c>
      <c r="F1762" s="91" t="s">
        <v>1488</v>
      </c>
      <c r="G1762" s="91" t="s">
        <v>1489</v>
      </c>
      <c r="H1762" s="104" t="str">
        <f t="shared" si="102"/>
        <v>F4044J20</v>
      </c>
      <c r="I1762" s="104"/>
      <c r="J1762" s="106">
        <v>1.56</v>
      </c>
      <c r="K1762" s="106"/>
      <c r="L1762" s="106">
        <v>0</v>
      </c>
      <c r="M1762" s="106">
        <f t="shared" ref="M1762:M1767" si="104">L1762-K1762</f>
        <v>0</v>
      </c>
      <c r="N1762" s="106">
        <v>96.47</v>
      </c>
      <c r="O1762" s="106">
        <v>150.5</v>
      </c>
      <c r="P1762" s="107">
        <v>25930</v>
      </c>
      <c r="Q1762" s="107">
        <v>3902465</v>
      </c>
      <c r="R1762" s="102"/>
      <c r="S1762" s="108"/>
      <c r="T1762" s="109"/>
      <c r="U1762" s="109" t="s">
        <v>30</v>
      </c>
      <c r="V1762" s="102"/>
      <c r="W1762" s="109"/>
      <c r="X1762" s="109"/>
      <c r="Y1762" s="110" t="s">
        <v>803</v>
      </c>
    </row>
    <row r="1763" spans="1:25" s="111" customFormat="1" x14ac:dyDescent="0.2">
      <c r="A1763" s="101">
        <v>46262</v>
      </c>
      <c r="B1763" s="91" t="s">
        <v>2081</v>
      </c>
      <c r="C1763" s="102" t="s">
        <v>2082</v>
      </c>
      <c r="D1763" s="103" t="s">
        <v>26</v>
      </c>
      <c r="E1763" s="91" t="s">
        <v>2083</v>
      </c>
      <c r="F1763" s="91" t="s">
        <v>1388</v>
      </c>
      <c r="G1763" s="91" t="s">
        <v>1389</v>
      </c>
      <c r="H1763" s="104" t="str">
        <f t="shared" si="102"/>
        <v>F5132J20</v>
      </c>
      <c r="I1763" s="104"/>
      <c r="J1763" s="106">
        <v>1.47</v>
      </c>
      <c r="K1763" s="106"/>
      <c r="L1763" s="106">
        <v>0</v>
      </c>
      <c r="M1763" s="106">
        <f t="shared" si="104"/>
        <v>0</v>
      </c>
      <c r="N1763" s="106">
        <v>142.86000000000001</v>
      </c>
      <c r="O1763" s="106">
        <v>210</v>
      </c>
      <c r="P1763" s="107">
        <v>25930</v>
      </c>
      <c r="Q1763" s="107">
        <v>5445300</v>
      </c>
      <c r="R1763" s="102"/>
      <c r="S1763" s="108"/>
      <c r="T1763" s="109"/>
      <c r="U1763" s="109" t="s">
        <v>30</v>
      </c>
      <c r="V1763" s="102"/>
      <c r="W1763" s="109"/>
      <c r="X1763" s="109"/>
      <c r="Y1763" s="110" t="s">
        <v>803</v>
      </c>
    </row>
    <row r="1764" spans="1:25" s="111" customFormat="1" x14ac:dyDescent="0.2">
      <c r="A1764" s="101">
        <v>46262</v>
      </c>
      <c r="B1764" s="91" t="s">
        <v>2081</v>
      </c>
      <c r="C1764" s="102" t="s">
        <v>2082</v>
      </c>
      <c r="D1764" s="103" t="s">
        <v>26</v>
      </c>
      <c r="E1764" s="91" t="s">
        <v>2083</v>
      </c>
      <c r="F1764" s="91" t="s">
        <v>2084</v>
      </c>
      <c r="G1764" s="91" t="s">
        <v>2085</v>
      </c>
      <c r="H1764" s="104" t="str">
        <f t="shared" si="102"/>
        <v>F6131J20</v>
      </c>
      <c r="I1764" s="104"/>
      <c r="J1764" s="106">
        <v>1.47</v>
      </c>
      <c r="K1764" s="106"/>
      <c r="L1764" s="106">
        <v>0</v>
      </c>
      <c r="M1764" s="106">
        <f t="shared" si="104"/>
        <v>0</v>
      </c>
      <c r="N1764" s="106">
        <v>107.14</v>
      </c>
      <c r="O1764" s="106">
        <v>157.5</v>
      </c>
      <c r="P1764" s="107">
        <v>25930</v>
      </c>
      <c r="Q1764" s="107">
        <v>4083975</v>
      </c>
      <c r="R1764" s="102"/>
      <c r="S1764" s="108"/>
      <c r="T1764" s="109"/>
      <c r="U1764" s="109" t="s">
        <v>30</v>
      </c>
      <c r="V1764" s="102"/>
      <c r="W1764" s="109"/>
      <c r="X1764" s="109"/>
      <c r="Y1764" s="110" t="s">
        <v>803</v>
      </c>
    </row>
    <row r="1765" spans="1:25" s="111" customFormat="1" x14ac:dyDescent="0.2">
      <c r="A1765" s="101">
        <v>46262</v>
      </c>
      <c r="B1765" s="91" t="s">
        <v>2081</v>
      </c>
      <c r="C1765" s="102" t="s">
        <v>2082</v>
      </c>
      <c r="D1765" s="103" t="s">
        <v>26</v>
      </c>
      <c r="E1765" s="91" t="s">
        <v>2083</v>
      </c>
      <c r="F1765" s="91" t="s">
        <v>2086</v>
      </c>
      <c r="G1765" s="91" t="s">
        <v>2087</v>
      </c>
      <c r="H1765" s="104" t="str">
        <f t="shared" si="102"/>
        <v>C5000J20</v>
      </c>
      <c r="I1765" s="104"/>
      <c r="J1765" s="106">
        <v>0.96</v>
      </c>
      <c r="K1765" s="106"/>
      <c r="L1765" s="106">
        <v>0</v>
      </c>
      <c r="M1765" s="106">
        <f t="shared" si="104"/>
        <v>0</v>
      </c>
      <c r="N1765" s="106">
        <v>100.63</v>
      </c>
      <c r="O1765" s="106">
        <v>96.6</v>
      </c>
      <c r="P1765" s="107">
        <v>25930</v>
      </c>
      <c r="Q1765" s="107">
        <v>2504838</v>
      </c>
      <c r="R1765" s="102"/>
      <c r="S1765" s="108"/>
      <c r="T1765" s="109"/>
      <c r="U1765" s="109" t="s">
        <v>30</v>
      </c>
      <c r="V1765" s="102"/>
      <c r="W1765" s="109"/>
      <c r="X1765" s="109"/>
      <c r="Y1765" s="110" t="s">
        <v>803</v>
      </c>
    </row>
    <row r="1766" spans="1:25" s="111" customFormat="1" x14ac:dyDescent="0.2">
      <c r="A1766" s="101">
        <v>46262</v>
      </c>
      <c r="B1766" s="91" t="s">
        <v>2081</v>
      </c>
      <c r="C1766" s="102" t="s">
        <v>2082</v>
      </c>
      <c r="D1766" s="103" t="s">
        <v>26</v>
      </c>
      <c r="E1766" s="91" t="s">
        <v>2083</v>
      </c>
      <c r="F1766" s="91" t="s">
        <v>649</v>
      </c>
      <c r="G1766" s="91" t="s">
        <v>650</v>
      </c>
      <c r="H1766" s="104" t="str">
        <f t="shared" si="102"/>
        <v>F5113J20</v>
      </c>
      <c r="I1766" s="104"/>
      <c r="J1766" s="106">
        <v>1.47</v>
      </c>
      <c r="K1766" s="106"/>
      <c r="L1766" s="106">
        <v>0</v>
      </c>
      <c r="M1766" s="106">
        <f t="shared" si="104"/>
        <v>0</v>
      </c>
      <c r="N1766" s="106">
        <v>142.86000000000001</v>
      </c>
      <c r="O1766" s="106">
        <v>210</v>
      </c>
      <c r="P1766" s="107">
        <v>25930</v>
      </c>
      <c r="Q1766" s="107">
        <v>5445300</v>
      </c>
      <c r="R1766" s="102"/>
      <c r="S1766" s="108"/>
      <c r="T1766" s="109"/>
      <c r="U1766" s="109" t="s">
        <v>30</v>
      </c>
      <c r="V1766" s="102"/>
      <c r="W1766" s="109"/>
      <c r="X1766" s="109"/>
      <c r="Y1766" s="110" t="s">
        <v>803</v>
      </c>
    </row>
    <row r="1767" spans="1:25" s="111" customFormat="1" x14ac:dyDescent="0.2">
      <c r="A1767" s="101">
        <v>46262</v>
      </c>
      <c r="B1767" s="91" t="s">
        <v>2081</v>
      </c>
      <c r="C1767" s="102" t="s">
        <v>2082</v>
      </c>
      <c r="D1767" s="103" t="s">
        <v>26</v>
      </c>
      <c r="E1767" s="91" t="s">
        <v>2083</v>
      </c>
      <c r="F1767" s="91" t="s">
        <v>1390</v>
      </c>
      <c r="G1767" s="91" t="s">
        <v>1391</v>
      </c>
      <c r="H1767" s="104" t="str">
        <f t="shared" si="102"/>
        <v>F5143J20</v>
      </c>
      <c r="I1767" s="104"/>
      <c r="J1767" s="106">
        <v>1.47</v>
      </c>
      <c r="K1767" s="106"/>
      <c r="L1767" s="106">
        <v>0</v>
      </c>
      <c r="M1767" s="106">
        <f t="shared" si="104"/>
        <v>0</v>
      </c>
      <c r="N1767" s="106">
        <v>107.14</v>
      </c>
      <c r="O1767" s="106">
        <v>157.5</v>
      </c>
      <c r="P1767" s="107">
        <v>25930</v>
      </c>
      <c r="Q1767" s="107">
        <v>4083975</v>
      </c>
      <c r="R1767" s="102"/>
      <c r="S1767" s="108"/>
      <c r="T1767" s="109"/>
      <c r="U1767" s="109" t="s">
        <v>30</v>
      </c>
      <c r="V1767" s="102"/>
      <c r="W1767" s="109"/>
      <c r="X1767" s="109"/>
      <c r="Y1767" s="110" t="s">
        <v>803</v>
      </c>
    </row>
    <row r="1768" spans="1:25" s="111" customFormat="1" x14ac:dyDescent="0.2">
      <c r="A1768" s="101">
        <v>46262</v>
      </c>
      <c r="B1768" s="91" t="s">
        <v>2081</v>
      </c>
      <c r="C1768" s="102" t="s">
        <v>2082</v>
      </c>
      <c r="D1768" s="103" t="s">
        <v>26</v>
      </c>
      <c r="E1768" s="91" t="s">
        <v>2083</v>
      </c>
      <c r="F1768" s="91" t="s">
        <v>975</v>
      </c>
      <c r="G1768" s="91" t="s">
        <v>976</v>
      </c>
      <c r="H1768" s="104" t="str">
        <f t="shared" si="102"/>
        <v>C5000J20</v>
      </c>
      <c r="I1768" s="104"/>
      <c r="J1768" s="106">
        <v>108.9</v>
      </c>
      <c r="K1768" s="106"/>
      <c r="L1768" s="106">
        <v>0</v>
      </c>
      <c r="M1768" s="106"/>
      <c r="N1768" s="106">
        <v>59.9</v>
      </c>
      <c r="O1768" s="106">
        <v>6523.2</v>
      </c>
      <c r="P1768" s="107">
        <v>25930</v>
      </c>
      <c r="Q1768" s="107">
        <v>169146576</v>
      </c>
      <c r="R1768" s="102" t="s">
        <v>30</v>
      </c>
      <c r="S1768" s="108"/>
      <c r="T1768" s="109"/>
      <c r="U1768" s="109"/>
      <c r="V1768" s="102"/>
      <c r="W1768" s="109"/>
      <c r="X1768" s="109"/>
      <c r="Y1768" s="110" t="s">
        <v>803</v>
      </c>
    </row>
    <row r="1769" spans="1:25" s="111" customFormat="1" x14ac:dyDescent="0.2">
      <c r="A1769" s="101">
        <v>46262</v>
      </c>
      <c r="B1769" s="91" t="s">
        <v>2081</v>
      </c>
      <c r="C1769" s="102" t="s">
        <v>2082</v>
      </c>
      <c r="D1769" s="103" t="s">
        <v>26</v>
      </c>
      <c r="E1769" s="91" t="s">
        <v>2083</v>
      </c>
      <c r="F1769" s="91" t="s">
        <v>1558</v>
      </c>
      <c r="G1769" s="91" t="s">
        <v>1559</v>
      </c>
      <c r="H1769" s="104" t="str">
        <f t="shared" si="102"/>
        <v>C5111J20</v>
      </c>
      <c r="I1769" s="104"/>
      <c r="J1769" s="106">
        <v>108.9</v>
      </c>
      <c r="K1769" s="106"/>
      <c r="L1769" s="106">
        <v>0</v>
      </c>
      <c r="M1769" s="106"/>
      <c r="N1769" s="106">
        <v>57.8</v>
      </c>
      <c r="O1769" s="106">
        <v>6294.4</v>
      </c>
      <c r="P1769" s="107">
        <v>25930</v>
      </c>
      <c r="Q1769" s="107">
        <v>163213792</v>
      </c>
      <c r="R1769" s="102" t="s">
        <v>30</v>
      </c>
      <c r="S1769" s="108"/>
      <c r="T1769" s="109"/>
      <c r="U1769" s="109"/>
      <c r="V1769" s="102"/>
      <c r="W1769" s="109"/>
      <c r="X1769" s="109"/>
      <c r="Y1769" s="110" t="s">
        <v>803</v>
      </c>
    </row>
    <row r="1770" spans="1:25" s="111" customFormat="1" x14ac:dyDescent="0.2">
      <c r="A1770" s="101">
        <v>46262</v>
      </c>
      <c r="B1770" s="91" t="s">
        <v>2081</v>
      </c>
      <c r="C1770" s="102" t="s">
        <v>2082</v>
      </c>
      <c r="D1770" s="103" t="s">
        <v>26</v>
      </c>
      <c r="E1770" s="91" t="s">
        <v>2083</v>
      </c>
      <c r="F1770" s="91" t="s">
        <v>770</v>
      </c>
      <c r="G1770" s="91" t="s">
        <v>769</v>
      </c>
      <c r="H1770" s="104" t="str">
        <f t="shared" si="102"/>
        <v>F5113J20</v>
      </c>
      <c r="I1770" s="104"/>
      <c r="J1770" s="106">
        <v>217.8</v>
      </c>
      <c r="K1770" s="106"/>
      <c r="L1770" s="106">
        <v>0</v>
      </c>
      <c r="M1770" s="106"/>
      <c r="N1770" s="106">
        <v>65.099999999999994</v>
      </c>
      <c r="O1770" s="106">
        <v>14178.8</v>
      </c>
      <c r="P1770" s="107">
        <v>25930</v>
      </c>
      <c r="Q1770" s="107">
        <v>367656284</v>
      </c>
      <c r="R1770" s="102" t="s">
        <v>30</v>
      </c>
      <c r="S1770" s="108"/>
      <c r="T1770" s="109"/>
      <c r="U1770" s="109"/>
      <c r="V1770" s="102"/>
      <c r="W1770" s="109"/>
      <c r="X1770" s="109"/>
      <c r="Y1770" s="110" t="s">
        <v>803</v>
      </c>
    </row>
    <row r="1771" spans="1:25" s="111" customFormat="1" x14ac:dyDescent="0.2">
      <c r="A1771" s="101">
        <v>46262</v>
      </c>
      <c r="B1771" s="91" t="s">
        <v>2088</v>
      </c>
      <c r="C1771" s="102" t="s">
        <v>2089</v>
      </c>
      <c r="D1771" s="103" t="s">
        <v>26</v>
      </c>
      <c r="E1771" s="91" t="s">
        <v>2090</v>
      </c>
      <c r="F1771" s="91" t="s">
        <v>2091</v>
      </c>
      <c r="G1771" s="91" t="s">
        <v>2092</v>
      </c>
      <c r="H1771" s="104" t="str">
        <f t="shared" si="102"/>
        <v>C4043J30</v>
      </c>
      <c r="I1771" s="104"/>
      <c r="J1771" s="106">
        <v>54.45</v>
      </c>
      <c r="K1771" s="106"/>
      <c r="L1771" s="106">
        <v>0</v>
      </c>
      <c r="M1771" s="106"/>
      <c r="N1771" s="106">
        <v>77.400000000000006</v>
      </c>
      <c r="O1771" s="106">
        <v>4214.3999999999996</v>
      </c>
      <c r="P1771" s="107">
        <v>25930</v>
      </c>
      <c r="Q1771" s="107">
        <v>109279392</v>
      </c>
      <c r="R1771" s="102" t="s">
        <v>30</v>
      </c>
      <c r="S1771" s="108"/>
      <c r="T1771" s="109"/>
      <c r="U1771" s="109"/>
      <c r="V1771" s="102"/>
      <c r="W1771" s="109"/>
      <c r="X1771" s="109"/>
      <c r="Y1771" s="110" t="s">
        <v>803</v>
      </c>
    </row>
    <row r="1772" spans="1:25" s="111" customFormat="1" x14ac:dyDescent="0.2">
      <c r="A1772" s="101">
        <v>46262</v>
      </c>
      <c r="B1772" s="91" t="s">
        <v>2088</v>
      </c>
      <c r="C1772" s="102" t="s">
        <v>2089</v>
      </c>
      <c r="D1772" s="103" t="s">
        <v>26</v>
      </c>
      <c r="E1772" s="91" t="s">
        <v>2090</v>
      </c>
      <c r="F1772" s="91" t="s">
        <v>32</v>
      </c>
      <c r="G1772" s="91" t="s">
        <v>33</v>
      </c>
      <c r="H1772" s="104" t="str">
        <f t="shared" si="102"/>
        <v>F4001J30</v>
      </c>
      <c r="I1772" s="104"/>
      <c r="J1772" s="106">
        <v>114.35</v>
      </c>
      <c r="K1772" s="106"/>
      <c r="L1772" s="106">
        <v>0</v>
      </c>
      <c r="M1772" s="106"/>
      <c r="N1772" s="106">
        <v>76.099999999999994</v>
      </c>
      <c r="O1772" s="106">
        <v>8701.56</v>
      </c>
      <c r="P1772" s="107">
        <v>25930</v>
      </c>
      <c r="Q1772" s="107">
        <v>225631451</v>
      </c>
      <c r="R1772" s="102" t="s">
        <v>30</v>
      </c>
      <c r="S1772" s="108"/>
      <c r="T1772" s="109"/>
      <c r="U1772" s="109"/>
      <c r="V1772" s="102"/>
      <c r="W1772" s="109"/>
      <c r="X1772" s="109"/>
      <c r="Y1772" s="110" t="s">
        <v>803</v>
      </c>
    </row>
    <row r="1773" spans="1:25" s="111" customFormat="1" x14ac:dyDescent="0.2">
      <c r="A1773" s="101">
        <v>46262</v>
      </c>
      <c r="B1773" s="91" t="s">
        <v>2088</v>
      </c>
      <c r="C1773" s="102" t="s">
        <v>2089</v>
      </c>
      <c r="D1773" s="103" t="s">
        <v>26</v>
      </c>
      <c r="E1773" s="91" t="s">
        <v>2090</v>
      </c>
      <c r="F1773" s="91" t="s">
        <v>2093</v>
      </c>
      <c r="G1773" s="91" t="s">
        <v>2094</v>
      </c>
      <c r="H1773" s="104" t="str">
        <f t="shared" si="102"/>
        <v>F5115J30</v>
      </c>
      <c r="I1773" s="104"/>
      <c r="J1773" s="106">
        <v>54.45</v>
      </c>
      <c r="K1773" s="106"/>
      <c r="L1773" s="106">
        <v>0</v>
      </c>
      <c r="M1773" s="106"/>
      <c r="N1773" s="106">
        <v>89.3</v>
      </c>
      <c r="O1773" s="106">
        <v>4862.3999999999996</v>
      </c>
      <c r="P1773" s="107">
        <v>25930</v>
      </c>
      <c r="Q1773" s="107">
        <v>126082032</v>
      </c>
      <c r="R1773" s="102" t="s">
        <v>30</v>
      </c>
      <c r="S1773" s="108"/>
      <c r="T1773" s="109"/>
      <c r="U1773" s="109"/>
      <c r="V1773" s="102"/>
      <c r="W1773" s="109"/>
      <c r="X1773" s="109"/>
      <c r="Y1773" s="110" t="s">
        <v>803</v>
      </c>
    </row>
    <row r="1774" spans="1:25" s="111" customFormat="1" x14ac:dyDescent="0.2">
      <c r="A1774" s="101">
        <v>46262</v>
      </c>
      <c r="B1774" s="91" t="s">
        <v>2088</v>
      </c>
      <c r="C1774" s="102" t="s">
        <v>2089</v>
      </c>
      <c r="D1774" s="103" t="s">
        <v>26</v>
      </c>
      <c r="E1774" s="91" t="s">
        <v>2090</v>
      </c>
      <c r="F1774" s="91" t="s">
        <v>1413</v>
      </c>
      <c r="G1774" s="91" t="s">
        <v>1412</v>
      </c>
      <c r="H1774" s="104" t="str">
        <f t="shared" si="102"/>
        <v>F5310J30</v>
      </c>
      <c r="I1774" s="104"/>
      <c r="J1774" s="106">
        <v>76.23</v>
      </c>
      <c r="K1774" s="106"/>
      <c r="L1774" s="106">
        <v>0</v>
      </c>
      <c r="M1774" s="106"/>
      <c r="N1774" s="106">
        <v>81.400000000000006</v>
      </c>
      <c r="O1774" s="106">
        <v>6205.08</v>
      </c>
      <c r="P1774" s="107">
        <v>25930</v>
      </c>
      <c r="Q1774" s="107">
        <v>160897724</v>
      </c>
      <c r="R1774" s="102" t="s">
        <v>30</v>
      </c>
      <c r="S1774" s="108"/>
      <c r="T1774" s="109"/>
      <c r="U1774" s="109"/>
      <c r="V1774" s="102"/>
      <c r="W1774" s="109"/>
      <c r="X1774" s="109"/>
      <c r="Y1774" s="110" t="s">
        <v>803</v>
      </c>
    </row>
    <row r="1775" spans="1:25" s="111" customFormat="1" x14ac:dyDescent="0.2">
      <c r="A1775" s="101">
        <v>46262</v>
      </c>
      <c r="B1775" s="91" t="s">
        <v>2095</v>
      </c>
      <c r="C1775" s="102" t="s">
        <v>2096</v>
      </c>
      <c r="D1775" s="103" t="s">
        <v>26</v>
      </c>
      <c r="E1775" s="91" t="s">
        <v>2097</v>
      </c>
      <c r="F1775" s="91" t="s">
        <v>947</v>
      </c>
      <c r="G1775" s="91" t="s">
        <v>948</v>
      </c>
      <c r="H1775" s="104" t="str">
        <f t="shared" si="102"/>
        <v>C5111J20</v>
      </c>
      <c r="I1775" s="104"/>
      <c r="J1775" s="106">
        <v>0.31</v>
      </c>
      <c r="K1775" s="106"/>
      <c r="L1775" s="106">
        <v>0</v>
      </c>
      <c r="M1775" s="106">
        <f t="shared" ref="M1775:M1794" si="105">L1775-K1775</f>
        <v>0</v>
      </c>
      <c r="N1775" s="106">
        <v>121.94</v>
      </c>
      <c r="O1775" s="106">
        <v>37.799999999999997</v>
      </c>
      <c r="P1775" s="107">
        <v>25930</v>
      </c>
      <c r="Q1775" s="107">
        <v>980154</v>
      </c>
      <c r="R1775" s="102"/>
      <c r="S1775" s="108"/>
      <c r="T1775" s="109"/>
      <c r="U1775" s="109" t="s">
        <v>30</v>
      </c>
      <c r="V1775" s="102"/>
      <c r="W1775" s="109"/>
      <c r="X1775" s="109"/>
      <c r="Y1775" s="110" t="s">
        <v>803</v>
      </c>
    </row>
    <row r="1776" spans="1:25" s="111" customFormat="1" x14ac:dyDescent="0.2">
      <c r="A1776" s="101">
        <v>46262</v>
      </c>
      <c r="B1776" s="91" t="s">
        <v>2095</v>
      </c>
      <c r="C1776" s="102" t="s">
        <v>2096</v>
      </c>
      <c r="D1776" s="103" t="s">
        <v>26</v>
      </c>
      <c r="E1776" s="91" t="s">
        <v>2097</v>
      </c>
      <c r="F1776" s="91" t="s">
        <v>2098</v>
      </c>
      <c r="G1776" s="91" t="s">
        <v>2099</v>
      </c>
      <c r="H1776" s="104" t="str">
        <f t="shared" si="102"/>
        <v>C5111J20</v>
      </c>
      <c r="I1776" s="104"/>
      <c r="J1776" s="106">
        <v>0.2</v>
      </c>
      <c r="K1776" s="106"/>
      <c r="L1776" s="106">
        <v>0</v>
      </c>
      <c r="M1776" s="106">
        <f t="shared" si="105"/>
        <v>0</v>
      </c>
      <c r="N1776" s="106">
        <v>126</v>
      </c>
      <c r="O1776" s="106">
        <v>25.2</v>
      </c>
      <c r="P1776" s="107">
        <v>25930</v>
      </c>
      <c r="Q1776" s="107">
        <v>653436</v>
      </c>
      <c r="R1776" s="102"/>
      <c r="S1776" s="108"/>
      <c r="T1776" s="109"/>
      <c r="U1776" s="109" t="s">
        <v>30</v>
      </c>
      <c r="V1776" s="102"/>
      <c r="W1776" s="109"/>
      <c r="X1776" s="109"/>
      <c r="Y1776" s="110" t="s">
        <v>803</v>
      </c>
    </row>
    <row r="1777" spans="1:25" s="111" customFormat="1" x14ac:dyDescent="0.2">
      <c r="A1777" s="101">
        <v>46262</v>
      </c>
      <c r="B1777" s="91" t="s">
        <v>2095</v>
      </c>
      <c r="C1777" s="102" t="s">
        <v>2096</v>
      </c>
      <c r="D1777" s="103" t="s">
        <v>26</v>
      </c>
      <c r="E1777" s="91" t="s">
        <v>2097</v>
      </c>
      <c r="F1777" s="91" t="s">
        <v>1669</v>
      </c>
      <c r="G1777" s="91" t="s">
        <v>1670</v>
      </c>
      <c r="H1777" s="104" t="str">
        <f t="shared" si="102"/>
        <v>F4011J20</v>
      </c>
      <c r="I1777" s="104"/>
      <c r="J1777" s="106">
        <v>1.25</v>
      </c>
      <c r="K1777" s="106"/>
      <c r="L1777" s="106">
        <v>0</v>
      </c>
      <c r="M1777" s="106">
        <f t="shared" si="105"/>
        <v>0</v>
      </c>
      <c r="N1777" s="106">
        <v>96.32</v>
      </c>
      <c r="O1777" s="106">
        <v>120.4</v>
      </c>
      <c r="P1777" s="107">
        <v>25930</v>
      </c>
      <c r="Q1777" s="107">
        <v>3121972</v>
      </c>
      <c r="R1777" s="102"/>
      <c r="S1777" s="108"/>
      <c r="T1777" s="109"/>
      <c r="U1777" s="109" t="s">
        <v>30</v>
      </c>
      <c r="V1777" s="102"/>
      <c r="W1777" s="109"/>
      <c r="X1777" s="109"/>
      <c r="Y1777" s="110" t="s">
        <v>803</v>
      </c>
    </row>
    <row r="1778" spans="1:25" s="111" customFormat="1" x14ac:dyDescent="0.2">
      <c r="A1778" s="101">
        <v>46262</v>
      </c>
      <c r="B1778" s="91" t="s">
        <v>2095</v>
      </c>
      <c r="C1778" s="102" t="s">
        <v>2096</v>
      </c>
      <c r="D1778" s="103" t="s">
        <v>26</v>
      </c>
      <c r="E1778" s="91" t="s">
        <v>2097</v>
      </c>
      <c r="F1778" s="91" t="s">
        <v>1488</v>
      </c>
      <c r="G1778" s="91" t="s">
        <v>1489</v>
      </c>
      <c r="H1778" s="104" t="str">
        <f t="shared" si="102"/>
        <v>F4044J20</v>
      </c>
      <c r="I1778" s="104"/>
      <c r="J1778" s="106">
        <v>1.25</v>
      </c>
      <c r="K1778" s="106"/>
      <c r="L1778" s="106">
        <v>0</v>
      </c>
      <c r="M1778" s="106">
        <f t="shared" si="105"/>
        <v>0</v>
      </c>
      <c r="N1778" s="106">
        <v>96.32</v>
      </c>
      <c r="O1778" s="106">
        <v>120.4</v>
      </c>
      <c r="P1778" s="107">
        <v>25930</v>
      </c>
      <c r="Q1778" s="107">
        <v>3121972</v>
      </c>
      <c r="R1778" s="102"/>
      <c r="S1778" s="108"/>
      <c r="T1778" s="109"/>
      <c r="U1778" s="109" t="s">
        <v>30</v>
      </c>
      <c r="V1778" s="102"/>
      <c r="W1778" s="109"/>
      <c r="X1778" s="109"/>
      <c r="Y1778" s="110" t="s">
        <v>803</v>
      </c>
    </row>
    <row r="1779" spans="1:25" s="111" customFormat="1" x14ac:dyDescent="0.2">
      <c r="A1779" s="101">
        <v>46262</v>
      </c>
      <c r="B1779" s="91" t="s">
        <v>2095</v>
      </c>
      <c r="C1779" s="102" t="s">
        <v>2096</v>
      </c>
      <c r="D1779" s="103" t="s">
        <v>26</v>
      </c>
      <c r="E1779" s="91" t="s">
        <v>2097</v>
      </c>
      <c r="F1779" s="91" t="s">
        <v>951</v>
      </c>
      <c r="G1779" s="91" t="s">
        <v>952</v>
      </c>
      <c r="H1779" s="104" t="str">
        <f t="shared" si="102"/>
        <v>F5031J20</v>
      </c>
      <c r="I1779" s="104"/>
      <c r="J1779" s="106">
        <v>1.25</v>
      </c>
      <c r="K1779" s="106"/>
      <c r="L1779" s="106">
        <v>0</v>
      </c>
      <c r="M1779" s="106">
        <f t="shared" si="105"/>
        <v>0</v>
      </c>
      <c r="N1779" s="106">
        <v>120.96</v>
      </c>
      <c r="O1779" s="106">
        <v>151.19999999999999</v>
      </c>
      <c r="P1779" s="107">
        <v>25930</v>
      </c>
      <c r="Q1779" s="107">
        <v>3920616</v>
      </c>
      <c r="R1779" s="102"/>
      <c r="S1779" s="108"/>
      <c r="T1779" s="109"/>
      <c r="U1779" s="109" t="s">
        <v>30</v>
      </c>
      <c r="V1779" s="102"/>
      <c r="W1779" s="109"/>
      <c r="X1779" s="109"/>
      <c r="Y1779" s="110" t="s">
        <v>803</v>
      </c>
    </row>
    <row r="1780" spans="1:25" s="111" customFormat="1" x14ac:dyDescent="0.2">
      <c r="A1780" s="101">
        <v>46262</v>
      </c>
      <c r="B1780" s="91" t="s">
        <v>2095</v>
      </c>
      <c r="C1780" s="102" t="s">
        <v>2096</v>
      </c>
      <c r="D1780" s="103" t="s">
        <v>26</v>
      </c>
      <c r="E1780" s="91" t="s">
        <v>2097</v>
      </c>
      <c r="F1780" s="91" t="s">
        <v>1475</v>
      </c>
      <c r="G1780" s="91" t="s">
        <v>1476</v>
      </c>
      <c r="H1780" s="104" t="str">
        <f t="shared" si="102"/>
        <v>F5132J20</v>
      </c>
      <c r="I1780" s="104"/>
      <c r="J1780" s="106">
        <v>0.32</v>
      </c>
      <c r="K1780" s="106"/>
      <c r="L1780" s="106">
        <v>0</v>
      </c>
      <c r="M1780" s="106">
        <f t="shared" si="105"/>
        <v>0</v>
      </c>
      <c r="N1780" s="106">
        <v>135.63</v>
      </c>
      <c r="O1780" s="106">
        <v>43.4</v>
      </c>
      <c r="P1780" s="107">
        <v>25930</v>
      </c>
      <c r="Q1780" s="107">
        <v>1125362</v>
      </c>
      <c r="R1780" s="102"/>
      <c r="S1780" s="108"/>
      <c r="T1780" s="109"/>
      <c r="U1780" s="109" t="s">
        <v>30</v>
      </c>
      <c r="V1780" s="102"/>
      <c r="W1780" s="109"/>
      <c r="X1780" s="109"/>
      <c r="Y1780" s="110" t="s">
        <v>803</v>
      </c>
    </row>
    <row r="1781" spans="1:25" s="111" customFormat="1" x14ac:dyDescent="0.2">
      <c r="A1781" s="101">
        <v>46262</v>
      </c>
      <c r="B1781" s="91" t="s">
        <v>2095</v>
      </c>
      <c r="C1781" s="102" t="s">
        <v>2096</v>
      </c>
      <c r="D1781" s="103" t="s">
        <v>26</v>
      </c>
      <c r="E1781" s="91" t="s">
        <v>2097</v>
      </c>
      <c r="F1781" s="91" t="s">
        <v>1475</v>
      </c>
      <c r="G1781" s="91" t="s">
        <v>1476</v>
      </c>
      <c r="H1781" s="104" t="str">
        <f t="shared" si="102"/>
        <v>F5132J20</v>
      </c>
      <c r="I1781" s="104"/>
      <c r="J1781" s="106">
        <v>1.27</v>
      </c>
      <c r="K1781" s="106"/>
      <c r="L1781" s="106">
        <v>0</v>
      </c>
      <c r="M1781" s="106">
        <f t="shared" si="105"/>
        <v>0</v>
      </c>
      <c r="N1781" s="106">
        <v>135.63</v>
      </c>
      <c r="O1781" s="106">
        <v>172.24</v>
      </c>
      <c r="P1781" s="107">
        <v>25930</v>
      </c>
      <c r="Q1781" s="107">
        <v>4466183</v>
      </c>
      <c r="R1781" s="102"/>
      <c r="S1781" s="108"/>
      <c r="T1781" s="109"/>
      <c r="U1781" s="109" t="s">
        <v>30</v>
      </c>
      <c r="V1781" s="102"/>
      <c r="W1781" s="109"/>
      <c r="X1781" s="109"/>
      <c r="Y1781" s="110" t="s">
        <v>803</v>
      </c>
    </row>
    <row r="1782" spans="1:25" s="111" customFormat="1" x14ac:dyDescent="0.2">
      <c r="A1782" s="101">
        <v>46262</v>
      </c>
      <c r="B1782" s="91" t="s">
        <v>2095</v>
      </c>
      <c r="C1782" s="102" t="s">
        <v>2096</v>
      </c>
      <c r="D1782" s="103" t="s">
        <v>26</v>
      </c>
      <c r="E1782" s="91" t="s">
        <v>2097</v>
      </c>
      <c r="F1782" s="91" t="s">
        <v>651</v>
      </c>
      <c r="G1782" s="91" t="s">
        <v>652</v>
      </c>
      <c r="H1782" s="104" t="str">
        <f t="shared" si="102"/>
        <v>F5144J20</v>
      </c>
      <c r="I1782" s="104"/>
      <c r="J1782" s="106">
        <v>0.59</v>
      </c>
      <c r="K1782" s="106"/>
      <c r="L1782" s="106">
        <v>0</v>
      </c>
      <c r="M1782" s="106">
        <f t="shared" si="105"/>
        <v>0</v>
      </c>
      <c r="N1782" s="106">
        <v>106.78</v>
      </c>
      <c r="O1782" s="106">
        <v>63</v>
      </c>
      <c r="P1782" s="107">
        <v>25930</v>
      </c>
      <c r="Q1782" s="107">
        <v>1633590</v>
      </c>
      <c r="R1782" s="102"/>
      <c r="S1782" s="108"/>
      <c r="T1782" s="109"/>
      <c r="U1782" s="109" t="s">
        <v>30</v>
      </c>
      <c r="V1782" s="102"/>
      <c r="W1782" s="109"/>
      <c r="X1782" s="109"/>
      <c r="Y1782" s="110" t="s">
        <v>803</v>
      </c>
    </row>
    <row r="1783" spans="1:25" s="111" customFormat="1" x14ac:dyDescent="0.2">
      <c r="A1783" s="101">
        <v>46262</v>
      </c>
      <c r="B1783" s="91" t="s">
        <v>2095</v>
      </c>
      <c r="C1783" s="102" t="s">
        <v>2096</v>
      </c>
      <c r="D1783" s="103" t="s">
        <v>26</v>
      </c>
      <c r="E1783" s="91" t="s">
        <v>2097</v>
      </c>
      <c r="F1783" s="91" t="s">
        <v>1471</v>
      </c>
      <c r="G1783" s="91" t="s">
        <v>1472</v>
      </c>
      <c r="H1783" s="104" t="str">
        <f t="shared" si="102"/>
        <v>F5112J20</v>
      </c>
      <c r="I1783" s="104"/>
      <c r="J1783" s="106">
        <v>0.44</v>
      </c>
      <c r="K1783" s="106"/>
      <c r="L1783" s="106">
        <v>0</v>
      </c>
      <c r="M1783" s="106">
        <f t="shared" si="105"/>
        <v>0</v>
      </c>
      <c r="N1783" s="106">
        <v>121.7</v>
      </c>
      <c r="O1783" s="106">
        <v>53.55</v>
      </c>
      <c r="P1783" s="107">
        <v>25930</v>
      </c>
      <c r="Q1783" s="107">
        <v>1388552</v>
      </c>
      <c r="R1783" s="102"/>
      <c r="S1783" s="108"/>
      <c r="T1783" s="109"/>
      <c r="U1783" s="109" t="s">
        <v>30</v>
      </c>
      <c r="V1783" s="102"/>
      <c r="W1783" s="109"/>
      <c r="X1783" s="109"/>
      <c r="Y1783" s="110" t="s">
        <v>803</v>
      </c>
    </row>
    <row r="1784" spans="1:25" s="111" customFormat="1" x14ac:dyDescent="0.2">
      <c r="A1784" s="101">
        <v>46262</v>
      </c>
      <c r="B1784" s="91" t="s">
        <v>2095</v>
      </c>
      <c r="C1784" s="102" t="s">
        <v>2096</v>
      </c>
      <c r="D1784" s="103" t="s">
        <v>26</v>
      </c>
      <c r="E1784" s="91" t="s">
        <v>2097</v>
      </c>
      <c r="F1784" s="91" t="s">
        <v>2100</v>
      </c>
      <c r="G1784" s="91" t="s">
        <v>2101</v>
      </c>
      <c r="H1784" s="104" t="str">
        <f t="shared" si="102"/>
        <v>C4143J20</v>
      </c>
      <c r="I1784" s="104"/>
      <c r="J1784" s="106">
        <v>0.2</v>
      </c>
      <c r="K1784" s="106"/>
      <c r="L1784" s="106">
        <v>0</v>
      </c>
      <c r="M1784" s="106">
        <f t="shared" si="105"/>
        <v>0</v>
      </c>
      <c r="N1784" s="106">
        <v>121</v>
      </c>
      <c r="O1784" s="106">
        <v>24.2</v>
      </c>
      <c r="P1784" s="107">
        <v>25930</v>
      </c>
      <c r="Q1784" s="107">
        <v>627506</v>
      </c>
      <c r="R1784" s="102"/>
      <c r="S1784" s="108"/>
      <c r="T1784" s="109"/>
      <c r="U1784" s="109" t="s">
        <v>30</v>
      </c>
      <c r="V1784" s="102"/>
      <c r="W1784" s="109"/>
      <c r="X1784" s="109"/>
      <c r="Y1784" s="110" t="s">
        <v>803</v>
      </c>
    </row>
    <row r="1785" spans="1:25" s="111" customFormat="1" x14ac:dyDescent="0.2">
      <c r="A1785" s="101">
        <v>46262</v>
      </c>
      <c r="B1785" s="91" t="s">
        <v>2095</v>
      </c>
      <c r="C1785" s="102" t="s">
        <v>2096</v>
      </c>
      <c r="D1785" s="103" t="s">
        <v>26</v>
      </c>
      <c r="E1785" s="91" t="s">
        <v>2097</v>
      </c>
      <c r="F1785" s="91" t="s">
        <v>2102</v>
      </c>
      <c r="G1785" s="91" t="s">
        <v>2103</v>
      </c>
      <c r="H1785" s="104" t="str">
        <f t="shared" si="102"/>
        <v>C4204J20</v>
      </c>
      <c r="I1785" s="104"/>
      <c r="J1785" s="106">
        <v>1.56</v>
      </c>
      <c r="K1785" s="106"/>
      <c r="L1785" s="106">
        <v>0</v>
      </c>
      <c r="M1785" s="106">
        <f t="shared" si="105"/>
        <v>0</v>
      </c>
      <c r="N1785" s="106">
        <v>129.49</v>
      </c>
      <c r="O1785" s="106">
        <v>202</v>
      </c>
      <c r="P1785" s="107">
        <v>25930</v>
      </c>
      <c r="Q1785" s="107">
        <v>5237860</v>
      </c>
      <c r="R1785" s="102"/>
      <c r="S1785" s="108"/>
      <c r="T1785" s="109"/>
      <c r="U1785" s="109" t="s">
        <v>30</v>
      </c>
      <c r="V1785" s="102"/>
      <c r="W1785" s="109"/>
      <c r="X1785" s="109"/>
      <c r="Y1785" s="110" t="s">
        <v>803</v>
      </c>
    </row>
    <row r="1786" spans="1:25" s="111" customFormat="1" x14ac:dyDescent="0.2">
      <c r="A1786" s="101">
        <v>46262</v>
      </c>
      <c r="B1786" s="91" t="s">
        <v>2095</v>
      </c>
      <c r="C1786" s="102" t="s">
        <v>2096</v>
      </c>
      <c r="D1786" s="103" t="s">
        <v>26</v>
      </c>
      <c r="E1786" s="91" t="s">
        <v>2097</v>
      </c>
      <c r="F1786" s="91" t="s">
        <v>2104</v>
      </c>
      <c r="G1786" s="91" t="s">
        <v>2105</v>
      </c>
      <c r="H1786" s="104" t="str">
        <f t="shared" si="102"/>
        <v>C5820J20</v>
      </c>
      <c r="I1786" s="104"/>
      <c r="J1786" s="106">
        <v>0.2</v>
      </c>
      <c r="K1786" s="106"/>
      <c r="L1786" s="106">
        <v>0</v>
      </c>
      <c r="M1786" s="106">
        <f t="shared" si="105"/>
        <v>0</v>
      </c>
      <c r="N1786" s="106">
        <v>96</v>
      </c>
      <c r="O1786" s="106">
        <v>19.2</v>
      </c>
      <c r="P1786" s="107">
        <v>25930</v>
      </c>
      <c r="Q1786" s="107">
        <v>497856</v>
      </c>
      <c r="R1786" s="102"/>
      <c r="S1786" s="108"/>
      <c r="T1786" s="109"/>
      <c r="U1786" s="109" t="s">
        <v>30</v>
      </c>
      <c r="V1786" s="102"/>
      <c r="W1786" s="109"/>
      <c r="X1786" s="109"/>
      <c r="Y1786" s="110" t="s">
        <v>803</v>
      </c>
    </row>
    <row r="1787" spans="1:25" s="111" customFormat="1" x14ac:dyDescent="0.2">
      <c r="A1787" s="101">
        <v>46262</v>
      </c>
      <c r="B1787" s="91" t="s">
        <v>2095</v>
      </c>
      <c r="C1787" s="102" t="s">
        <v>2096</v>
      </c>
      <c r="D1787" s="103" t="s">
        <v>26</v>
      </c>
      <c r="E1787" s="91" t="s">
        <v>2097</v>
      </c>
      <c r="F1787" s="91" t="s">
        <v>949</v>
      </c>
      <c r="G1787" s="91" t="s">
        <v>950</v>
      </c>
      <c r="H1787" s="104" t="str">
        <f t="shared" si="102"/>
        <v>F4011J20</v>
      </c>
      <c r="I1787" s="104"/>
      <c r="J1787" s="106">
        <v>0.4</v>
      </c>
      <c r="K1787" s="106"/>
      <c r="L1787" s="106">
        <v>0</v>
      </c>
      <c r="M1787" s="106">
        <f t="shared" si="105"/>
        <v>0</v>
      </c>
      <c r="N1787" s="106">
        <v>96</v>
      </c>
      <c r="O1787" s="106">
        <v>38.4</v>
      </c>
      <c r="P1787" s="107">
        <v>25930</v>
      </c>
      <c r="Q1787" s="107">
        <v>995712</v>
      </c>
      <c r="R1787" s="102"/>
      <c r="S1787" s="108"/>
      <c r="T1787" s="109"/>
      <c r="U1787" s="109" t="s">
        <v>30</v>
      </c>
      <c r="V1787" s="102"/>
      <c r="W1787" s="109"/>
      <c r="X1787" s="109"/>
      <c r="Y1787" s="110" t="s">
        <v>803</v>
      </c>
    </row>
    <row r="1788" spans="1:25" s="111" customFormat="1" x14ac:dyDescent="0.2">
      <c r="A1788" s="101">
        <v>46262</v>
      </c>
      <c r="B1788" s="91" t="s">
        <v>2095</v>
      </c>
      <c r="C1788" s="102" t="s">
        <v>2096</v>
      </c>
      <c r="D1788" s="103" t="s">
        <v>26</v>
      </c>
      <c r="E1788" s="91" t="s">
        <v>2097</v>
      </c>
      <c r="F1788" s="91" t="s">
        <v>1490</v>
      </c>
      <c r="G1788" s="91" t="s">
        <v>1491</v>
      </c>
      <c r="H1788" s="104" t="str">
        <f t="shared" si="102"/>
        <v>F4044J20</v>
      </c>
      <c r="I1788" s="104"/>
      <c r="J1788" s="106">
        <v>0.4</v>
      </c>
      <c r="K1788" s="106"/>
      <c r="L1788" s="106">
        <v>0</v>
      </c>
      <c r="M1788" s="106">
        <f t="shared" si="105"/>
        <v>0</v>
      </c>
      <c r="N1788" s="106">
        <v>96</v>
      </c>
      <c r="O1788" s="106">
        <v>38.4</v>
      </c>
      <c r="P1788" s="107">
        <v>25930</v>
      </c>
      <c r="Q1788" s="107">
        <v>995712</v>
      </c>
      <c r="R1788" s="102"/>
      <c r="S1788" s="108"/>
      <c r="T1788" s="109"/>
      <c r="U1788" s="109" t="s">
        <v>30</v>
      </c>
      <c r="V1788" s="102"/>
      <c r="W1788" s="109"/>
      <c r="X1788" s="109"/>
      <c r="Y1788" s="110" t="s">
        <v>803</v>
      </c>
    </row>
    <row r="1789" spans="1:25" s="111" customFormat="1" x14ac:dyDescent="0.2">
      <c r="A1789" s="101">
        <v>46262</v>
      </c>
      <c r="B1789" s="91" t="s">
        <v>2095</v>
      </c>
      <c r="C1789" s="102" t="s">
        <v>2096</v>
      </c>
      <c r="D1789" s="103" t="s">
        <v>26</v>
      </c>
      <c r="E1789" s="91" t="s">
        <v>2097</v>
      </c>
      <c r="F1789" s="91" t="s">
        <v>1550</v>
      </c>
      <c r="G1789" s="91" t="s">
        <v>1551</v>
      </c>
      <c r="H1789" s="104" t="str">
        <f t="shared" si="102"/>
        <v>F5130J20</v>
      </c>
      <c r="I1789" s="104"/>
      <c r="J1789" s="106">
        <v>0.4</v>
      </c>
      <c r="K1789" s="106"/>
      <c r="L1789" s="106">
        <v>0</v>
      </c>
      <c r="M1789" s="106">
        <f t="shared" si="105"/>
        <v>0</v>
      </c>
      <c r="N1789" s="106">
        <v>96</v>
      </c>
      <c r="O1789" s="106">
        <v>38.4</v>
      </c>
      <c r="P1789" s="107">
        <v>25930</v>
      </c>
      <c r="Q1789" s="107">
        <v>995712</v>
      </c>
      <c r="R1789" s="102"/>
      <c r="S1789" s="108"/>
      <c r="T1789" s="109"/>
      <c r="U1789" s="109" t="s">
        <v>30</v>
      </c>
      <c r="V1789" s="102"/>
      <c r="W1789" s="109"/>
      <c r="X1789" s="109"/>
      <c r="Y1789" s="110" t="s">
        <v>803</v>
      </c>
    </row>
    <row r="1790" spans="1:25" s="111" customFormat="1" x14ac:dyDescent="0.2">
      <c r="A1790" s="101">
        <v>46262</v>
      </c>
      <c r="B1790" s="91" t="s">
        <v>2095</v>
      </c>
      <c r="C1790" s="102" t="s">
        <v>2096</v>
      </c>
      <c r="D1790" s="103" t="s">
        <v>26</v>
      </c>
      <c r="E1790" s="91" t="s">
        <v>2097</v>
      </c>
      <c r="F1790" s="91" t="s">
        <v>1554</v>
      </c>
      <c r="G1790" s="91" t="s">
        <v>1555</v>
      </c>
      <c r="H1790" s="104" t="str">
        <f t="shared" si="102"/>
        <v>F5310J20</v>
      </c>
      <c r="I1790" s="104"/>
      <c r="J1790" s="106">
        <v>0.31</v>
      </c>
      <c r="K1790" s="106"/>
      <c r="L1790" s="106">
        <v>0</v>
      </c>
      <c r="M1790" s="106">
        <f t="shared" si="105"/>
        <v>0</v>
      </c>
      <c r="N1790" s="106">
        <v>130.32</v>
      </c>
      <c r="O1790" s="106">
        <v>40.4</v>
      </c>
      <c r="P1790" s="107">
        <v>25930</v>
      </c>
      <c r="Q1790" s="107">
        <v>1047572</v>
      </c>
      <c r="R1790" s="102"/>
      <c r="S1790" s="108"/>
      <c r="T1790" s="109"/>
      <c r="U1790" s="109" t="s">
        <v>30</v>
      </c>
      <c r="V1790" s="102"/>
      <c r="W1790" s="109"/>
      <c r="X1790" s="109"/>
      <c r="Y1790" s="110" t="s">
        <v>803</v>
      </c>
    </row>
    <row r="1791" spans="1:25" s="111" customFormat="1" x14ac:dyDescent="0.2">
      <c r="A1791" s="101">
        <v>46262</v>
      </c>
      <c r="B1791" s="91" t="s">
        <v>2095</v>
      </c>
      <c r="C1791" s="102" t="s">
        <v>2096</v>
      </c>
      <c r="D1791" s="103" t="s">
        <v>26</v>
      </c>
      <c r="E1791" s="91" t="s">
        <v>2097</v>
      </c>
      <c r="F1791" s="91" t="s">
        <v>320</v>
      </c>
      <c r="G1791" s="91" t="s">
        <v>321</v>
      </c>
      <c r="H1791" s="104" t="str">
        <f t="shared" si="102"/>
        <v>F8252J20</v>
      </c>
      <c r="I1791" s="104"/>
      <c r="J1791" s="106">
        <v>0.6</v>
      </c>
      <c r="K1791" s="106"/>
      <c r="L1791" s="106">
        <v>0</v>
      </c>
      <c r="M1791" s="106">
        <f t="shared" si="105"/>
        <v>0</v>
      </c>
      <c r="N1791" s="106">
        <v>131</v>
      </c>
      <c r="O1791" s="106">
        <v>78.599999999999994</v>
      </c>
      <c r="P1791" s="107">
        <v>25930</v>
      </c>
      <c r="Q1791" s="107">
        <v>2038098</v>
      </c>
      <c r="R1791" s="102"/>
      <c r="S1791" s="108"/>
      <c r="T1791" s="109"/>
      <c r="U1791" s="109" t="s">
        <v>30</v>
      </c>
      <c r="V1791" s="102"/>
      <c r="W1791" s="109"/>
      <c r="X1791" s="109"/>
      <c r="Y1791" s="110" t="s">
        <v>803</v>
      </c>
    </row>
    <row r="1792" spans="1:25" s="111" customFormat="1" x14ac:dyDescent="0.2">
      <c r="A1792" s="101">
        <v>46262</v>
      </c>
      <c r="B1792" s="91" t="s">
        <v>2095</v>
      </c>
      <c r="C1792" s="102" t="s">
        <v>2096</v>
      </c>
      <c r="D1792" s="103" t="s">
        <v>26</v>
      </c>
      <c r="E1792" s="91" t="s">
        <v>2097</v>
      </c>
      <c r="F1792" s="91" t="s">
        <v>322</v>
      </c>
      <c r="G1792" s="91" t="s">
        <v>323</v>
      </c>
      <c r="H1792" s="104" t="str">
        <f t="shared" si="102"/>
        <v>F8252J20</v>
      </c>
      <c r="I1792" s="104"/>
      <c r="J1792" s="106">
        <v>1.56</v>
      </c>
      <c r="K1792" s="106"/>
      <c r="L1792" s="106">
        <v>0</v>
      </c>
      <c r="M1792" s="106">
        <f t="shared" si="105"/>
        <v>0</v>
      </c>
      <c r="N1792" s="106">
        <v>129.49</v>
      </c>
      <c r="O1792" s="106">
        <v>202</v>
      </c>
      <c r="P1792" s="107">
        <v>25930</v>
      </c>
      <c r="Q1792" s="107">
        <v>5237860</v>
      </c>
      <c r="R1792" s="102"/>
      <c r="S1792" s="108"/>
      <c r="T1792" s="109"/>
      <c r="U1792" s="109" t="s">
        <v>30</v>
      </c>
      <c r="V1792" s="102"/>
      <c r="W1792" s="109"/>
      <c r="X1792" s="109"/>
      <c r="Y1792" s="110" t="s">
        <v>803</v>
      </c>
    </row>
    <row r="1793" spans="1:25" s="111" customFormat="1" x14ac:dyDescent="0.2">
      <c r="A1793" s="101">
        <v>46262</v>
      </c>
      <c r="B1793" s="91" t="s">
        <v>2095</v>
      </c>
      <c r="C1793" s="102" t="s">
        <v>2096</v>
      </c>
      <c r="D1793" s="103" t="s">
        <v>26</v>
      </c>
      <c r="E1793" s="91" t="s">
        <v>2097</v>
      </c>
      <c r="F1793" s="91" t="s">
        <v>739</v>
      </c>
      <c r="G1793" s="91" t="s">
        <v>740</v>
      </c>
      <c r="H1793" s="104" t="str">
        <f t="shared" si="102"/>
        <v>C4011J30</v>
      </c>
      <c r="I1793" s="104"/>
      <c r="J1793" s="106">
        <v>38.119999999999997</v>
      </c>
      <c r="K1793" s="106"/>
      <c r="L1793" s="106">
        <v>0</v>
      </c>
      <c r="M1793" s="106">
        <f t="shared" si="105"/>
        <v>0</v>
      </c>
      <c r="N1793" s="106">
        <v>74.83</v>
      </c>
      <c r="O1793" s="106">
        <v>2852.39</v>
      </c>
      <c r="P1793" s="107">
        <v>25930</v>
      </c>
      <c r="Q1793" s="107">
        <v>73962473</v>
      </c>
      <c r="R1793" s="102" t="s">
        <v>30</v>
      </c>
      <c r="S1793" s="108"/>
      <c r="T1793" s="109"/>
      <c r="U1793" s="109"/>
      <c r="V1793" s="102"/>
      <c r="W1793" s="109"/>
      <c r="X1793" s="109"/>
      <c r="Y1793" s="110" t="s">
        <v>803</v>
      </c>
    </row>
    <row r="1794" spans="1:25" s="111" customFormat="1" x14ac:dyDescent="0.2">
      <c r="A1794" s="101">
        <v>46262</v>
      </c>
      <c r="B1794" s="91" t="s">
        <v>2095</v>
      </c>
      <c r="C1794" s="102" t="s">
        <v>2096</v>
      </c>
      <c r="D1794" s="103" t="s">
        <v>26</v>
      </c>
      <c r="E1794" s="91" t="s">
        <v>2097</v>
      </c>
      <c r="F1794" s="91" t="s">
        <v>1835</v>
      </c>
      <c r="G1794" s="91" t="s">
        <v>1836</v>
      </c>
      <c r="H1794" s="104" t="str">
        <f t="shared" si="102"/>
        <v>C4043J20</v>
      </c>
      <c r="I1794" s="104"/>
      <c r="J1794" s="106">
        <v>76.23</v>
      </c>
      <c r="K1794" s="106"/>
      <c r="L1794" s="106">
        <v>0</v>
      </c>
      <c r="M1794" s="106">
        <f t="shared" si="105"/>
        <v>0</v>
      </c>
      <c r="N1794" s="106">
        <v>62</v>
      </c>
      <c r="O1794" s="106">
        <v>4726.26</v>
      </c>
      <c r="P1794" s="107">
        <v>25930</v>
      </c>
      <c r="Q1794" s="107">
        <v>122551922</v>
      </c>
      <c r="R1794" s="102" t="s">
        <v>30</v>
      </c>
      <c r="S1794" s="108"/>
      <c r="T1794" s="109"/>
      <c r="U1794" s="109"/>
      <c r="V1794" s="102"/>
      <c r="W1794" s="109"/>
      <c r="X1794" s="109"/>
      <c r="Y1794" s="110" t="s">
        <v>803</v>
      </c>
    </row>
    <row r="1795" spans="1:25" s="111" customFormat="1" x14ac:dyDescent="0.2">
      <c r="A1795" s="101">
        <v>46262</v>
      </c>
      <c r="B1795" s="91" t="s">
        <v>2095</v>
      </c>
      <c r="C1795" s="102" t="s">
        <v>2096</v>
      </c>
      <c r="D1795" s="103" t="s">
        <v>26</v>
      </c>
      <c r="E1795" s="91" t="s">
        <v>2097</v>
      </c>
      <c r="F1795" s="91" t="s">
        <v>2091</v>
      </c>
      <c r="G1795" s="91" t="s">
        <v>2092</v>
      </c>
      <c r="H1795" s="104"/>
      <c r="I1795" s="104"/>
      <c r="J1795" s="106">
        <v>54.45</v>
      </c>
      <c r="K1795" s="106"/>
      <c r="L1795" s="106">
        <v>0</v>
      </c>
      <c r="M1795" s="106"/>
      <c r="N1795" s="106">
        <v>77.400000000000006</v>
      </c>
      <c r="O1795" s="106">
        <v>4214.3999999999996</v>
      </c>
      <c r="P1795" s="107">
        <v>25930</v>
      </c>
      <c r="Q1795" s="107">
        <v>109279392</v>
      </c>
      <c r="R1795" s="102" t="s">
        <v>30</v>
      </c>
      <c r="S1795" s="108"/>
      <c r="T1795" s="109"/>
      <c r="U1795" s="109"/>
      <c r="V1795" s="102"/>
      <c r="W1795" s="109"/>
      <c r="X1795" s="109"/>
      <c r="Y1795" s="110" t="s">
        <v>803</v>
      </c>
    </row>
    <row r="1796" spans="1:25" s="111" customFormat="1" x14ac:dyDescent="0.2">
      <c r="A1796" s="101">
        <v>46262</v>
      </c>
      <c r="B1796" s="91" t="s">
        <v>2095</v>
      </c>
      <c r="C1796" s="102" t="s">
        <v>2096</v>
      </c>
      <c r="D1796" s="103" t="s">
        <v>26</v>
      </c>
      <c r="E1796" s="91" t="s">
        <v>2097</v>
      </c>
      <c r="F1796" s="91" t="s">
        <v>975</v>
      </c>
      <c r="G1796" s="91" t="s">
        <v>976</v>
      </c>
      <c r="H1796" s="104" t="str">
        <f t="shared" si="102"/>
        <v>C5000J20</v>
      </c>
      <c r="I1796" s="104"/>
      <c r="J1796" s="106">
        <v>54.45</v>
      </c>
      <c r="K1796" s="106"/>
      <c r="L1796" s="106">
        <v>0</v>
      </c>
      <c r="M1796" s="106">
        <f t="shared" ref="M1796:M1827" si="106">L1796-K1796</f>
        <v>0</v>
      </c>
      <c r="N1796" s="106">
        <v>59.9</v>
      </c>
      <c r="O1796" s="106">
        <v>3261.6</v>
      </c>
      <c r="P1796" s="107">
        <v>25930</v>
      </c>
      <c r="Q1796" s="107">
        <v>84573288</v>
      </c>
      <c r="R1796" s="102" t="s">
        <v>30</v>
      </c>
      <c r="S1796" s="108"/>
      <c r="T1796" s="109"/>
      <c r="U1796" s="109"/>
      <c r="V1796" s="102"/>
      <c r="W1796" s="109"/>
      <c r="X1796" s="109"/>
      <c r="Y1796" s="110" t="s">
        <v>803</v>
      </c>
    </row>
    <row r="1797" spans="1:25" s="111" customFormat="1" x14ac:dyDescent="0.2">
      <c r="A1797" s="101">
        <v>46262</v>
      </c>
      <c r="B1797" s="91" t="s">
        <v>2095</v>
      </c>
      <c r="C1797" s="102" t="s">
        <v>2096</v>
      </c>
      <c r="D1797" s="103" t="s">
        <v>26</v>
      </c>
      <c r="E1797" s="91" t="s">
        <v>2097</v>
      </c>
      <c r="F1797" s="91" t="s">
        <v>867</v>
      </c>
      <c r="G1797" s="91" t="s">
        <v>868</v>
      </c>
      <c r="H1797" s="104" t="str">
        <f t="shared" si="102"/>
        <v>C5003J20</v>
      </c>
      <c r="I1797" s="104"/>
      <c r="J1797" s="106">
        <v>54.45</v>
      </c>
      <c r="K1797" s="106"/>
      <c r="L1797" s="106">
        <v>0</v>
      </c>
      <c r="M1797" s="106">
        <f t="shared" si="106"/>
        <v>0</v>
      </c>
      <c r="N1797" s="106">
        <v>59.9</v>
      </c>
      <c r="O1797" s="106">
        <v>3261.6</v>
      </c>
      <c r="P1797" s="107">
        <v>25930</v>
      </c>
      <c r="Q1797" s="107">
        <v>84573288</v>
      </c>
      <c r="R1797" s="102" t="s">
        <v>30</v>
      </c>
      <c r="S1797" s="108"/>
      <c r="T1797" s="109"/>
      <c r="U1797" s="109"/>
      <c r="V1797" s="102"/>
      <c r="W1797" s="109"/>
      <c r="X1797" s="109"/>
      <c r="Y1797" s="110" t="s">
        <v>803</v>
      </c>
    </row>
    <row r="1798" spans="1:25" s="111" customFormat="1" x14ac:dyDescent="0.2">
      <c r="A1798" s="101">
        <v>46262</v>
      </c>
      <c r="B1798" s="91" t="s">
        <v>2095</v>
      </c>
      <c r="C1798" s="102" t="s">
        <v>2096</v>
      </c>
      <c r="D1798" s="103" t="s">
        <v>26</v>
      </c>
      <c r="E1798" s="91" t="s">
        <v>2097</v>
      </c>
      <c r="F1798" s="91" t="s">
        <v>770</v>
      </c>
      <c r="G1798" s="91" t="s">
        <v>769</v>
      </c>
      <c r="H1798" s="104" t="str">
        <f t="shared" si="102"/>
        <v>F5113J20</v>
      </c>
      <c r="I1798" s="104"/>
      <c r="J1798" s="106">
        <v>108.9</v>
      </c>
      <c r="K1798" s="106"/>
      <c r="L1798" s="106">
        <v>0</v>
      </c>
      <c r="M1798" s="106">
        <f t="shared" si="106"/>
        <v>0</v>
      </c>
      <c r="N1798" s="106">
        <v>65.099999999999994</v>
      </c>
      <c r="O1798" s="106">
        <v>7089.4</v>
      </c>
      <c r="P1798" s="107">
        <v>25930</v>
      </c>
      <c r="Q1798" s="107">
        <v>183828142</v>
      </c>
      <c r="R1798" s="102" t="s">
        <v>30</v>
      </c>
      <c r="S1798" s="108"/>
      <c r="T1798" s="109"/>
      <c r="U1798" s="109"/>
      <c r="V1798" s="102"/>
      <c r="W1798" s="109"/>
      <c r="X1798" s="109"/>
      <c r="Y1798" s="110" t="s">
        <v>803</v>
      </c>
    </row>
    <row r="1799" spans="1:25" s="111" customFormat="1" x14ac:dyDescent="0.2">
      <c r="A1799" s="101">
        <v>46262</v>
      </c>
      <c r="B1799" s="91" t="s">
        <v>2106</v>
      </c>
      <c r="C1799" s="102" t="s">
        <v>2107</v>
      </c>
      <c r="D1799" s="103" t="s">
        <v>26</v>
      </c>
      <c r="E1799" s="91" t="s">
        <v>2108</v>
      </c>
      <c r="F1799" s="91" t="s">
        <v>739</v>
      </c>
      <c r="G1799" s="91" t="s">
        <v>740</v>
      </c>
      <c r="H1799" s="104" t="str">
        <f t="shared" si="102"/>
        <v>C4011J30</v>
      </c>
      <c r="I1799" s="104"/>
      <c r="J1799" s="106">
        <v>76.23</v>
      </c>
      <c r="K1799" s="106">
        <f t="shared" ref="K1799:K1801" si="107">+L1799</f>
        <v>74.8</v>
      </c>
      <c r="L1799" s="106">
        <v>74.8</v>
      </c>
      <c r="M1799" s="106">
        <f t="shared" si="106"/>
        <v>0</v>
      </c>
      <c r="N1799" s="106">
        <v>74.8</v>
      </c>
      <c r="O1799" s="106">
        <v>5702.06</v>
      </c>
      <c r="P1799" s="107">
        <v>25930</v>
      </c>
      <c r="Q1799" s="107">
        <v>147854416</v>
      </c>
      <c r="R1799" s="102" t="s">
        <v>30</v>
      </c>
      <c r="S1799" s="108"/>
      <c r="T1799" s="109"/>
      <c r="U1799" s="109"/>
      <c r="V1799" s="102"/>
      <c r="W1799" s="109"/>
      <c r="X1799" s="109"/>
      <c r="Y1799" s="110" t="s">
        <v>803</v>
      </c>
    </row>
    <row r="1800" spans="1:25" s="111" customFormat="1" x14ac:dyDescent="0.2">
      <c r="A1800" s="101">
        <v>46262</v>
      </c>
      <c r="B1800" s="91" t="s">
        <v>2106</v>
      </c>
      <c r="C1800" s="102" t="s">
        <v>2107</v>
      </c>
      <c r="D1800" s="103" t="s">
        <v>26</v>
      </c>
      <c r="E1800" s="91" t="s">
        <v>2108</v>
      </c>
      <c r="F1800" s="91" t="s">
        <v>1835</v>
      </c>
      <c r="G1800" s="91" t="s">
        <v>1836</v>
      </c>
      <c r="H1800" s="104" t="str">
        <f t="shared" si="102"/>
        <v>C4043J20</v>
      </c>
      <c r="I1800" s="104"/>
      <c r="J1800" s="106">
        <v>76.23</v>
      </c>
      <c r="K1800" s="106">
        <f t="shared" si="107"/>
        <v>62</v>
      </c>
      <c r="L1800" s="106">
        <v>62</v>
      </c>
      <c r="M1800" s="106">
        <f t="shared" si="106"/>
        <v>0</v>
      </c>
      <c r="N1800" s="106">
        <v>62</v>
      </c>
      <c r="O1800" s="106">
        <v>4726.26</v>
      </c>
      <c r="P1800" s="107">
        <v>25930</v>
      </c>
      <c r="Q1800" s="107">
        <v>122551922</v>
      </c>
      <c r="R1800" s="102" t="s">
        <v>30</v>
      </c>
      <c r="S1800" s="108"/>
      <c r="T1800" s="109"/>
      <c r="U1800" s="109"/>
      <c r="V1800" s="102"/>
      <c r="W1800" s="109"/>
      <c r="X1800" s="109"/>
      <c r="Y1800" s="110" t="s">
        <v>803</v>
      </c>
    </row>
    <row r="1801" spans="1:25" s="111" customFormat="1" x14ac:dyDescent="0.2">
      <c r="A1801" s="101">
        <v>46262</v>
      </c>
      <c r="B1801" s="91" t="s">
        <v>2106</v>
      </c>
      <c r="C1801" s="102" t="s">
        <v>2107</v>
      </c>
      <c r="D1801" s="103" t="s">
        <v>26</v>
      </c>
      <c r="E1801" s="91" t="s">
        <v>2108</v>
      </c>
      <c r="F1801" s="91" t="s">
        <v>2091</v>
      </c>
      <c r="G1801" s="91" t="s">
        <v>2092</v>
      </c>
      <c r="H1801" s="104" t="str">
        <f t="shared" si="102"/>
        <v>C4043J30</v>
      </c>
      <c r="I1801" s="104"/>
      <c r="J1801" s="106">
        <v>54.45</v>
      </c>
      <c r="K1801" s="106">
        <f t="shared" si="107"/>
        <v>77.400000000000006</v>
      </c>
      <c r="L1801" s="106">
        <v>77.400000000000006</v>
      </c>
      <c r="M1801" s="106">
        <f t="shared" si="106"/>
        <v>0</v>
      </c>
      <c r="N1801" s="106">
        <v>77.400000000000006</v>
      </c>
      <c r="O1801" s="106">
        <v>4214.3999999999996</v>
      </c>
      <c r="P1801" s="107">
        <v>25930</v>
      </c>
      <c r="Q1801" s="107">
        <v>109279392</v>
      </c>
      <c r="R1801" s="102" t="s">
        <v>30</v>
      </c>
      <c r="S1801" s="108"/>
      <c r="T1801" s="109"/>
      <c r="U1801" s="109"/>
      <c r="V1801" s="102"/>
      <c r="W1801" s="109"/>
      <c r="X1801" s="109"/>
      <c r="Y1801" s="110" t="s">
        <v>803</v>
      </c>
    </row>
    <row r="1802" spans="1:25" s="111" customFormat="1" x14ac:dyDescent="0.2">
      <c r="A1802" s="101">
        <v>46262</v>
      </c>
      <c r="B1802" s="91" t="s">
        <v>2106</v>
      </c>
      <c r="C1802" s="102" t="s">
        <v>2107</v>
      </c>
      <c r="D1802" s="103" t="s">
        <v>26</v>
      </c>
      <c r="E1802" s="91" t="s">
        <v>2108</v>
      </c>
      <c r="F1802" s="91" t="s">
        <v>975</v>
      </c>
      <c r="G1802" s="91" t="s">
        <v>976</v>
      </c>
      <c r="H1802" s="104" t="str">
        <f t="shared" si="102"/>
        <v>C5000J20</v>
      </c>
      <c r="I1802" s="104"/>
      <c r="J1802" s="106">
        <v>54.45</v>
      </c>
      <c r="K1802" s="106">
        <f>IF(D1802="CAESARSTONE LTD",VLOOKUP(H1802,'[2]GIA CA'!G:H,2,0),IF(OR(D1802="STONE FACINGS LIMITED",D1802="NORDIA SA",D1802="INVICTUS STONE COUNTERTOPS INC",D1802="QUARTZTOP LLC"),VLOOKUP(H1802,'[2] Giá ngoài Mỹ - SI-GR'!$B$5:$AZ$84,51,0),IF(OR(D1802="HYUNDAI L&amp;C CANADA INC",D1802="Hyundai L&amp; C USA LLC"),VLOOKUP(H1802,'[2]GIA HS'!A:D,4,0),IF(Y1802="Mỹ",VLOOKUP(H1802,'[2]giá mỹ từ 6.8.2025'!B:I,2,0),VLOOKUP(H1802,'[2]giá ngoài mỹ 6.8.2025 (final)'!B:BP,51,0)))))</f>
        <v>55</v>
      </c>
      <c r="L1802" s="106">
        <v>59.9</v>
      </c>
      <c r="M1802" s="106">
        <f t="shared" si="106"/>
        <v>4.8999999999999986</v>
      </c>
      <c r="N1802" s="106">
        <v>59.9</v>
      </c>
      <c r="O1802" s="106">
        <v>3261.6</v>
      </c>
      <c r="P1802" s="107">
        <v>25930</v>
      </c>
      <c r="Q1802" s="107">
        <v>84573288</v>
      </c>
      <c r="R1802" s="102" t="s">
        <v>30</v>
      </c>
      <c r="S1802" s="108"/>
      <c r="T1802" s="109"/>
      <c r="U1802" s="109"/>
      <c r="V1802" s="102"/>
      <c r="W1802" s="109"/>
      <c r="X1802" s="109"/>
      <c r="Y1802" s="110" t="s">
        <v>803</v>
      </c>
    </row>
    <row r="1803" spans="1:25" s="111" customFormat="1" x14ac:dyDescent="0.2">
      <c r="A1803" s="101">
        <v>46262</v>
      </c>
      <c r="B1803" s="91" t="s">
        <v>2106</v>
      </c>
      <c r="C1803" s="102" t="s">
        <v>2107</v>
      </c>
      <c r="D1803" s="103" t="s">
        <v>26</v>
      </c>
      <c r="E1803" s="91" t="s">
        <v>2108</v>
      </c>
      <c r="F1803" s="91" t="s">
        <v>90</v>
      </c>
      <c r="G1803" s="91" t="s">
        <v>91</v>
      </c>
      <c r="H1803" s="104" t="str">
        <f t="shared" si="102"/>
        <v>F6131J30</v>
      </c>
      <c r="I1803" s="104"/>
      <c r="J1803" s="106">
        <v>76.23</v>
      </c>
      <c r="K1803" s="106">
        <f>IF(D1803="CAESARSTONE LTD",VLOOKUP(H1803,'[2]GIA CA'!G:H,2,0),IF(OR(D1803="STONE FACINGS LIMITED",D1803="NORDIA SA",D1803="INVICTUS STONE COUNTERTOPS INC",D1803="QUARTZTOP LLC"),VLOOKUP(H1803,'[2] Giá ngoài Mỹ - SI-GR'!$B$5:$AZ$84,51,0),IF(OR(D1803="HYUNDAI L&amp;C CANADA INC",D1803="Hyundai L&amp; C USA LLC"),VLOOKUP(H1803,'[2]GIA HS'!A:D,4,0),IF(Y1803="Mỹ",VLOOKUP(H1803,'[2]giá mỹ từ 6.8.2025'!B:I,2,0),VLOOKUP(H1803,'[2]giá ngoài mỹ 6.8.2025 (final)'!B:BP,51,0)))))</f>
        <v>77.5</v>
      </c>
      <c r="L1803" s="106">
        <v>81.400000000000006</v>
      </c>
      <c r="M1803" s="106">
        <f t="shared" si="106"/>
        <v>3.9000000000000057</v>
      </c>
      <c r="N1803" s="106">
        <v>81.400000000000006</v>
      </c>
      <c r="O1803" s="106">
        <v>6205.08</v>
      </c>
      <c r="P1803" s="107">
        <v>25930</v>
      </c>
      <c r="Q1803" s="107">
        <v>160897724</v>
      </c>
      <c r="R1803" s="102" t="s">
        <v>30</v>
      </c>
      <c r="S1803" s="108"/>
      <c r="T1803" s="109"/>
      <c r="U1803" s="109"/>
      <c r="V1803" s="102"/>
      <c r="W1803" s="109"/>
      <c r="X1803" s="109"/>
      <c r="Y1803" s="110" t="s">
        <v>803</v>
      </c>
    </row>
    <row r="1804" spans="1:25" s="111" customFormat="1" x14ac:dyDescent="0.2">
      <c r="A1804" s="101">
        <v>46262</v>
      </c>
      <c r="B1804" s="91" t="s">
        <v>2109</v>
      </c>
      <c r="C1804" s="102" t="s">
        <v>2110</v>
      </c>
      <c r="D1804" s="103" t="s">
        <v>26</v>
      </c>
      <c r="E1804" s="91" t="s">
        <v>2111</v>
      </c>
      <c r="F1804" s="91" t="s">
        <v>304</v>
      </c>
      <c r="G1804" s="91" t="s">
        <v>305</v>
      </c>
      <c r="H1804" s="104" t="str">
        <f t="shared" si="102"/>
        <v>F5105J20</v>
      </c>
      <c r="I1804" s="104"/>
      <c r="J1804" s="106">
        <v>0.6</v>
      </c>
      <c r="K1804" s="106">
        <f>IF(D1804="CAESARSTONE LTD",VLOOKUP(H1804,'[2]GIA CA'!G:H,2,0),IF(OR(D1804="STONE FACINGS LIMITED",D1804="NORDIA SA",D1804="INVICTUS STONE COUNTERTOPS INC",D1804="QUARTZTOP LLC"),VLOOKUP(H1804,'[2] Giá ngoài Mỹ - SI-GR'!$B$5:$AZ$84,51,0),IF(OR(D1804="HYUNDAI L&amp;C CANADA INC",D1804="Hyundai L&amp; C USA LLC"),VLOOKUP(H1804,'[2]GIA HS'!A:D,4,0),IF(Y1804="Mỹ",VLOOKUP(H1804,'[2]giá mỹ từ 6.8.2025'!B:I,2,0),VLOOKUP(H1804,'[2]giá ngoài mỹ 6.8.2025 (final)'!B:BP,51,0)))))</f>
        <v>68</v>
      </c>
      <c r="L1804" s="106">
        <v>136</v>
      </c>
      <c r="M1804" s="106">
        <f t="shared" si="106"/>
        <v>68</v>
      </c>
      <c r="N1804" s="106">
        <v>136</v>
      </c>
      <c r="O1804" s="106">
        <v>81.599999999999994</v>
      </c>
      <c r="P1804" s="107">
        <v>25930</v>
      </c>
      <c r="Q1804" s="107">
        <v>2115888</v>
      </c>
      <c r="R1804" s="102"/>
      <c r="S1804" s="108"/>
      <c r="T1804" s="109" t="s">
        <v>30</v>
      </c>
      <c r="U1804" s="109"/>
      <c r="V1804" s="102"/>
      <c r="W1804" s="109"/>
      <c r="X1804" s="109"/>
      <c r="Y1804" s="110" t="s">
        <v>803</v>
      </c>
    </row>
    <row r="1805" spans="1:25" s="111" customFormat="1" x14ac:dyDescent="0.2">
      <c r="A1805" s="101">
        <v>46262</v>
      </c>
      <c r="B1805" s="91" t="s">
        <v>2109</v>
      </c>
      <c r="C1805" s="102" t="s">
        <v>2110</v>
      </c>
      <c r="D1805" s="103" t="s">
        <v>26</v>
      </c>
      <c r="E1805" s="91" t="s">
        <v>2111</v>
      </c>
      <c r="F1805" s="91" t="s">
        <v>2112</v>
      </c>
      <c r="G1805" s="91" t="s">
        <v>2113</v>
      </c>
      <c r="H1805" s="104" t="str">
        <f t="shared" si="102"/>
        <v>F5144J20</v>
      </c>
      <c r="I1805" s="104"/>
      <c r="J1805" s="106">
        <v>0.6</v>
      </c>
      <c r="K1805" s="106">
        <f>IF(D1805="CAESARSTONE LTD",VLOOKUP(H1805,'[2]GIA CA'!G:H,2,0),IF(OR(D1805="STONE FACINGS LIMITED",D1805="NORDIA SA",D1805="INVICTUS STONE COUNTERTOPS INC",D1805="QUARTZTOP LLC"),VLOOKUP(H1805,'[2] Giá ngoài Mỹ - SI-GR'!$B$5:$AZ$84,51,0),IF(OR(D1805="HYUNDAI L&amp;C CANADA INC",D1805="Hyundai L&amp; C USA LLC"),VLOOKUP(H1805,'[2]GIA HS'!A:D,4,0),IF(Y1805="Mỹ",VLOOKUP(H1805,'[2]giá mỹ từ 6.8.2025'!B:I,2,0),VLOOKUP(H1805,'[2]giá ngoài mỹ 6.8.2025 (final)'!B:BP,51,0)))))</f>
        <v>62</v>
      </c>
      <c r="L1805" s="106">
        <v>101</v>
      </c>
      <c r="M1805" s="106">
        <f t="shared" si="106"/>
        <v>39</v>
      </c>
      <c r="N1805" s="106">
        <v>101</v>
      </c>
      <c r="O1805" s="106">
        <v>60.6</v>
      </c>
      <c r="P1805" s="107">
        <v>25930</v>
      </c>
      <c r="Q1805" s="107">
        <v>1571358</v>
      </c>
      <c r="R1805" s="102"/>
      <c r="S1805" s="108"/>
      <c r="T1805" s="109" t="s">
        <v>30</v>
      </c>
      <c r="U1805" s="109"/>
      <c r="V1805" s="102"/>
      <c r="W1805" s="109"/>
      <c r="X1805" s="109"/>
      <c r="Y1805" s="110" t="s">
        <v>803</v>
      </c>
    </row>
    <row r="1806" spans="1:25" s="111" customFormat="1" x14ac:dyDescent="0.2">
      <c r="A1806" s="101">
        <v>46262</v>
      </c>
      <c r="B1806" s="91" t="s">
        <v>2109</v>
      </c>
      <c r="C1806" s="102" t="s">
        <v>2110</v>
      </c>
      <c r="D1806" s="103" t="s">
        <v>26</v>
      </c>
      <c r="E1806" s="91" t="s">
        <v>2111</v>
      </c>
      <c r="F1806" s="91" t="s">
        <v>1475</v>
      </c>
      <c r="G1806" s="91" t="s">
        <v>1476</v>
      </c>
      <c r="H1806" s="104" t="str">
        <f t="shared" ref="H1806:H1869" si="108">IF(LEN(G1806)=13,LEFT(G1806,5)&amp;MID(G1806,SEARCH("-J",G1806)+1,3),LEFT(G1806,5)&amp;"J20")</f>
        <v>F5132J20</v>
      </c>
      <c r="I1806" s="104"/>
      <c r="J1806" s="106">
        <v>0.32</v>
      </c>
      <c r="K1806" s="106">
        <f>IF(D1806="CAESARSTONE LTD",VLOOKUP(H1806,'[2]GIA CA'!G:H,2,0),IF(OR(D1806="STONE FACINGS LIMITED",D1806="NORDIA SA",D1806="INVICTUS STONE COUNTERTOPS INC",D1806="QUARTZTOP LLC"),VLOOKUP(H1806,'[2] Giá ngoài Mỹ - SI-GR'!$B$5:$AZ$84,51,0),IF(OR(D1806="HYUNDAI L&amp;C CANADA INC",D1806="Hyundai L&amp; C USA LLC"),VLOOKUP(H1806,'[2]GIA HS'!A:D,4,0),IF(Y1806="Mỹ",VLOOKUP(H1806,'[2]giá mỹ từ 6.8.2025'!B:I,2,0),VLOOKUP(H1806,'[2]giá ngoài mỹ 6.8.2025 (final)'!B:BP,51,0)))))</f>
        <v>62</v>
      </c>
      <c r="L1806" s="106">
        <v>135.63</v>
      </c>
      <c r="M1806" s="106">
        <f t="shared" si="106"/>
        <v>73.63</v>
      </c>
      <c r="N1806" s="106">
        <v>135.63</v>
      </c>
      <c r="O1806" s="106">
        <v>43.4</v>
      </c>
      <c r="P1806" s="107">
        <v>25930</v>
      </c>
      <c r="Q1806" s="107">
        <v>1125362</v>
      </c>
      <c r="R1806" s="102"/>
      <c r="S1806" s="108"/>
      <c r="T1806" s="109" t="s">
        <v>30</v>
      </c>
      <c r="U1806" s="109"/>
      <c r="V1806" s="102"/>
      <c r="W1806" s="109"/>
      <c r="X1806" s="109"/>
      <c r="Y1806" s="110" t="s">
        <v>803</v>
      </c>
    </row>
    <row r="1807" spans="1:25" s="111" customFormat="1" x14ac:dyDescent="0.2">
      <c r="A1807" s="101">
        <v>46262</v>
      </c>
      <c r="B1807" s="91" t="s">
        <v>2109</v>
      </c>
      <c r="C1807" s="102" t="s">
        <v>2110</v>
      </c>
      <c r="D1807" s="103" t="s">
        <v>26</v>
      </c>
      <c r="E1807" s="91" t="s">
        <v>2111</v>
      </c>
      <c r="F1807" s="91" t="s">
        <v>1475</v>
      </c>
      <c r="G1807" s="91" t="s">
        <v>1476</v>
      </c>
      <c r="H1807" s="104" t="str">
        <f t="shared" si="108"/>
        <v>F5132J20</v>
      </c>
      <c r="I1807" s="104"/>
      <c r="J1807" s="106">
        <v>0.64</v>
      </c>
      <c r="K1807" s="106">
        <f>IF(D1807="CAESARSTONE LTD",VLOOKUP(H1807,'[2]GIA CA'!G:H,2,0),IF(OR(D1807="STONE FACINGS LIMITED",D1807="NORDIA SA",D1807="INVICTUS STONE COUNTERTOPS INC",D1807="QUARTZTOP LLC"),VLOOKUP(H1807,'[2] Giá ngoài Mỹ - SI-GR'!$B$5:$AZ$84,51,0),IF(OR(D1807="HYUNDAI L&amp;C CANADA INC",D1807="Hyundai L&amp; C USA LLC"),VLOOKUP(H1807,'[2]GIA HS'!A:D,4,0),IF(Y1807="Mỹ",VLOOKUP(H1807,'[2]giá mỹ từ 6.8.2025'!B:I,2,0),VLOOKUP(H1807,'[2]giá ngoài mỹ 6.8.2025 (final)'!B:BP,51,0)))))</f>
        <v>62</v>
      </c>
      <c r="L1807" s="106">
        <v>135.63</v>
      </c>
      <c r="M1807" s="106">
        <f t="shared" si="106"/>
        <v>73.63</v>
      </c>
      <c r="N1807" s="106">
        <v>135.63</v>
      </c>
      <c r="O1807" s="106">
        <v>86.8</v>
      </c>
      <c r="P1807" s="107">
        <v>25930</v>
      </c>
      <c r="Q1807" s="107">
        <v>2250724</v>
      </c>
      <c r="R1807" s="102"/>
      <c r="S1807" s="108"/>
      <c r="T1807" s="109" t="s">
        <v>30</v>
      </c>
      <c r="U1807" s="109"/>
      <c r="V1807" s="102"/>
      <c r="W1807" s="109"/>
      <c r="X1807" s="109"/>
      <c r="Y1807" s="110" t="s">
        <v>803</v>
      </c>
    </row>
    <row r="1808" spans="1:25" s="111" customFormat="1" x14ac:dyDescent="0.2">
      <c r="A1808" s="101">
        <v>46262</v>
      </c>
      <c r="B1808" s="91" t="s">
        <v>2109</v>
      </c>
      <c r="C1808" s="102" t="s">
        <v>2110</v>
      </c>
      <c r="D1808" s="103" t="s">
        <v>26</v>
      </c>
      <c r="E1808" s="91" t="s">
        <v>2111</v>
      </c>
      <c r="F1808" s="91" t="s">
        <v>1259</v>
      </c>
      <c r="G1808" s="91" t="s">
        <v>1260</v>
      </c>
      <c r="H1808" s="104" t="str">
        <f t="shared" si="108"/>
        <v>C4143J20</v>
      </c>
      <c r="I1808" s="104"/>
      <c r="J1808" s="106">
        <v>54.45</v>
      </c>
      <c r="K1808" s="106">
        <f>IF(D1808="CAESARSTONE LTD",VLOOKUP(H1808,'[2]GIA CA'!G:H,2,0),IF(OR(D1808="STONE FACINGS LIMITED",D1808="NORDIA SA",D1808="INVICTUS STONE COUNTERTOPS INC",D1808="QUARTZTOP LLC"),VLOOKUP(H1808,'[2] Giá ngoài Mỹ - SI-GR'!$B$5:$AZ$84,51,0),IF(OR(D1808="HYUNDAI L&amp;C CANADA INC",D1808="Hyundai L&amp; C USA LLC"),VLOOKUP(H1808,'[2]GIA HS'!A:D,4,0),IF(Y1808="Mỹ",VLOOKUP(H1808,'[2]giá mỹ từ 6.8.2025'!B:I,2,0),VLOOKUP(H1808,'[2]giá ngoài mỹ 6.8.2025 (final)'!B:BP,51,0)))))</f>
        <v>57</v>
      </c>
      <c r="L1808" s="106">
        <v>59.9</v>
      </c>
      <c r="M1808" s="106">
        <f t="shared" si="106"/>
        <v>2.8999999999999986</v>
      </c>
      <c r="N1808" s="106">
        <v>59.9</v>
      </c>
      <c r="O1808" s="106">
        <v>3261.6</v>
      </c>
      <c r="P1808" s="107">
        <v>25930</v>
      </c>
      <c r="Q1808" s="107">
        <v>84573288</v>
      </c>
      <c r="R1808" s="102" t="s">
        <v>30</v>
      </c>
      <c r="S1808" s="108"/>
      <c r="T1808" s="109"/>
      <c r="U1808" s="109"/>
      <c r="V1808" s="102"/>
      <c r="W1808" s="109"/>
      <c r="X1808" s="109"/>
      <c r="Y1808" s="110" t="s">
        <v>803</v>
      </c>
    </row>
    <row r="1809" spans="1:25" s="111" customFormat="1" x14ac:dyDescent="0.2">
      <c r="A1809" s="101">
        <v>46262</v>
      </c>
      <c r="B1809" s="91" t="s">
        <v>2109</v>
      </c>
      <c r="C1809" s="102" t="s">
        <v>2110</v>
      </c>
      <c r="D1809" s="103" t="s">
        <v>26</v>
      </c>
      <c r="E1809" s="91" t="s">
        <v>2111</v>
      </c>
      <c r="F1809" s="91" t="s">
        <v>895</v>
      </c>
      <c r="G1809" s="91" t="s">
        <v>896</v>
      </c>
      <c r="H1809" s="104" t="str">
        <f t="shared" si="108"/>
        <v>C4143J30</v>
      </c>
      <c r="I1809" s="104"/>
      <c r="J1809" s="106">
        <v>76.23</v>
      </c>
      <c r="K1809" s="106">
        <f>IF(D1809="CAESARSTONE LTD",VLOOKUP(H1809,'[2]GIA CA'!G:H,2,0),IF(OR(D1809="STONE FACINGS LIMITED",D1809="NORDIA SA",D1809="INVICTUS STONE COUNTERTOPS INC",D1809="QUARTZTOP LLC"),VLOOKUP(H1809,'[2] Giá ngoài Mỹ - SI-GR'!$B$5:$AZ$84,51,0),IF(OR(D1809="HYUNDAI L&amp;C CANADA INC",D1809="Hyundai L&amp; C USA LLC"),VLOOKUP(H1809,'[2]GIA HS'!A:D,4,0),IF(Y1809="Mỹ",VLOOKUP(H1809,'[2]giá mỹ từ 6.8.2025'!B:I,2,0),VLOOKUP(H1809,'[2]giá ngoài mỹ 6.8.2025 (final)'!B:BP,51,0)))))</f>
        <v>71.3</v>
      </c>
      <c r="L1809" s="106">
        <v>74.8</v>
      </c>
      <c r="M1809" s="106">
        <f t="shared" si="106"/>
        <v>3.5</v>
      </c>
      <c r="N1809" s="106">
        <v>74.8</v>
      </c>
      <c r="O1809" s="106">
        <v>5702.06</v>
      </c>
      <c r="P1809" s="107">
        <v>25930</v>
      </c>
      <c r="Q1809" s="107">
        <v>147854416</v>
      </c>
      <c r="R1809" s="102" t="s">
        <v>30</v>
      </c>
      <c r="S1809" s="108"/>
      <c r="T1809" s="109"/>
      <c r="U1809" s="109"/>
      <c r="V1809" s="102"/>
      <c r="W1809" s="109"/>
      <c r="X1809" s="109"/>
      <c r="Y1809" s="110" t="s">
        <v>803</v>
      </c>
    </row>
    <row r="1810" spans="1:25" s="111" customFormat="1" x14ac:dyDescent="0.2">
      <c r="A1810" s="101">
        <v>46262</v>
      </c>
      <c r="B1810" s="91" t="s">
        <v>2109</v>
      </c>
      <c r="C1810" s="102" t="s">
        <v>2110</v>
      </c>
      <c r="D1810" s="103" t="s">
        <v>26</v>
      </c>
      <c r="E1810" s="91" t="s">
        <v>2111</v>
      </c>
      <c r="F1810" s="91" t="s">
        <v>88</v>
      </c>
      <c r="G1810" s="91" t="s">
        <v>89</v>
      </c>
      <c r="H1810" s="104" t="str">
        <f t="shared" si="108"/>
        <v>F5131J20</v>
      </c>
      <c r="I1810" s="104"/>
      <c r="J1810" s="106">
        <v>76.23</v>
      </c>
      <c r="K1810" s="106">
        <f>IF(D1810="CAESARSTONE LTD",VLOOKUP(H1810,'[2]GIA CA'!G:H,2,0),IF(OR(D1810="STONE FACINGS LIMITED",D1810="NORDIA SA",D1810="INVICTUS STONE COUNTERTOPS INC",D1810="QUARTZTOP LLC"),VLOOKUP(H1810,'[2] Giá ngoài Mỹ - SI-GR'!$B$5:$AZ$84,51,0),IF(OR(D1810="HYUNDAI L&amp;C CANADA INC",D1810="Hyundai L&amp; C USA LLC"),VLOOKUP(H1810,'[2]GIA HS'!A:D,4,0),IF(Y1810="Mỹ",VLOOKUP(H1810,'[2]giá mỹ từ 6.8.2025'!B:I,2,0),VLOOKUP(H1810,'[2]giá ngoài mỹ 6.8.2025 (final)'!B:BP,51,0)))))</f>
        <v>60</v>
      </c>
      <c r="L1810" s="106">
        <v>63</v>
      </c>
      <c r="M1810" s="106">
        <f t="shared" si="106"/>
        <v>3</v>
      </c>
      <c r="N1810" s="106">
        <v>63</v>
      </c>
      <c r="O1810" s="106">
        <v>4802.5600000000004</v>
      </c>
      <c r="P1810" s="107">
        <v>25930</v>
      </c>
      <c r="Q1810" s="107">
        <v>124530381</v>
      </c>
      <c r="R1810" s="102" t="s">
        <v>30</v>
      </c>
      <c r="S1810" s="108"/>
      <c r="T1810" s="109"/>
      <c r="U1810" s="109"/>
      <c r="V1810" s="102"/>
      <c r="W1810" s="109"/>
      <c r="X1810" s="109"/>
      <c r="Y1810" s="110" t="s">
        <v>803</v>
      </c>
    </row>
    <row r="1811" spans="1:25" s="111" customFormat="1" x14ac:dyDescent="0.2">
      <c r="A1811" s="101">
        <v>46262</v>
      </c>
      <c r="B1811" s="91" t="s">
        <v>2109</v>
      </c>
      <c r="C1811" s="102" t="s">
        <v>2110</v>
      </c>
      <c r="D1811" s="103" t="s">
        <v>26</v>
      </c>
      <c r="E1811" s="91" t="s">
        <v>2111</v>
      </c>
      <c r="F1811" s="91" t="s">
        <v>456</v>
      </c>
      <c r="G1811" s="91" t="s">
        <v>457</v>
      </c>
      <c r="H1811" s="104" t="str">
        <f t="shared" si="108"/>
        <v>F5131J30</v>
      </c>
      <c r="I1811" s="104"/>
      <c r="J1811" s="106">
        <v>103.46</v>
      </c>
      <c r="K1811" s="106">
        <f>IF(D1811="CAESARSTONE LTD",VLOOKUP(H1811,'[2]GIA CA'!G:H,2,0),IF(OR(D1811="STONE FACINGS LIMITED",D1811="NORDIA SA",D1811="INVICTUS STONE COUNTERTOPS INC",D1811="QUARTZTOP LLC"),VLOOKUP(H1811,'[2] Giá ngoài Mỹ - SI-GR'!$B$5:$AZ$84,51,0),IF(OR(D1811="HYUNDAI L&amp;C CANADA INC",D1811="Hyundai L&amp; C USA LLC"),VLOOKUP(H1811,'[2]GIA HS'!A:D,4,0),IF(Y1811="Mỹ",VLOOKUP(H1811,'[2]giá mỹ từ 6.8.2025'!B:I,2,0),VLOOKUP(H1811,'[2]giá ngoài mỹ 6.8.2025 (final)'!B:BP,51,0)))))</f>
        <v>75</v>
      </c>
      <c r="L1811" s="106">
        <v>78.8</v>
      </c>
      <c r="M1811" s="106">
        <f t="shared" si="106"/>
        <v>3.7999999999999972</v>
      </c>
      <c r="N1811" s="106">
        <v>78.8</v>
      </c>
      <c r="O1811" s="106">
        <v>8152.33</v>
      </c>
      <c r="P1811" s="107">
        <v>25930</v>
      </c>
      <c r="Q1811" s="107">
        <v>211389917</v>
      </c>
      <c r="R1811" s="102" t="s">
        <v>30</v>
      </c>
      <c r="S1811" s="108"/>
      <c r="T1811" s="109"/>
      <c r="U1811" s="109"/>
      <c r="V1811" s="102"/>
      <c r="W1811" s="109"/>
      <c r="X1811" s="109"/>
      <c r="Y1811" s="110" t="s">
        <v>803</v>
      </c>
    </row>
    <row r="1812" spans="1:25" s="111" customFormat="1" x14ac:dyDescent="0.2">
      <c r="A1812" s="101">
        <v>46262</v>
      </c>
      <c r="B1812" s="91" t="s">
        <v>2109</v>
      </c>
      <c r="C1812" s="102" t="s">
        <v>2110</v>
      </c>
      <c r="D1812" s="103" t="s">
        <v>26</v>
      </c>
      <c r="E1812" s="91" t="s">
        <v>2111</v>
      </c>
      <c r="F1812" s="91" t="s">
        <v>2114</v>
      </c>
      <c r="G1812" s="91" t="s">
        <v>1176</v>
      </c>
      <c r="H1812" s="104" t="str">
        <f t="shared" si="108"/>
        <v>F5131J30</v>
      </c>
      <c r="I1812" s="104"/>
      <c r="J1812" s="106">
        <v>10.89</v>
      </c>
      <c r="K1812" s="106">
        <v>20</v>
      </c>
      <c r="L1812" s="106">
        <f>+N1812</f>
        <v>39.4</v>
      </c>
      <c r="M1812" s="106">
        <f t="shared" si="106"/>
        <v>19.399999999999999</v>
      </c>
      <c r="N1812" s="106">
        <v>39.4</v>
      </c>
      <c r="O1812" s="106">
        <v>429.07</v>
      </c>
      <c r="P1812" s="107">
        <v>25930</v>
      </c>
      <c r="Q1812" s="107">
        <v>11125785</v>
      </c>
      <c r="R1812" s="102" t="s">
        <v>30</v>
      </c>
      <c r="S1812" s="108"/>
      <c r="T1812" s="109"/>
      <c r="U1812" s="109"/>
      <c r="V1812" s="102"/>
      <c r="W1812" s="109"/>
      <c r="X1812" s="109"/>
      <c r="Y1812" s="110" t="s">
        <v>803</v>
      </c>
    </row>
    <row r="1813" spans="1:25" s="111" customFormat="1" x14ac:dyDescent="0.2">
      <c r="A1813" s="101">
        <v>46263</v>
      </c>
      <c r="B1813" s="91" t="s">
        <v>2115</v>
      </c>
      <c r="C1813" s="102" t="s">
        <v>2116</v>
      </c>
      <c r="D1813" s="103" t="s">
        <v>26</v>
      </c>
      <c r="E1813" s="91" t="s">
        <v>2117</v>
      </c>
      <c r="F1813" s="91" t="s">
        <v>2118</v>
      </c>
      <c r="G1813" s="91" t="s">
        <v>2119</v>
      </c>
      <c r="H1813" s="104" t="str">
        <f t="shared" si="108"/>
        <v>C4023J20</v>
      </c>
      <c r="I1813" s="104"/>
      <c r="J1813" s="106">
        <v>1.2</v>
      </c>
      <c r="K1813" s="106"/>
      <c r="L1813" s="106">
        <v>0</v>
      </c>
      <c r="M1813" s="106">
        <f t="shared" si="106"/>
        <v>0</v>
      </c>
      <c r="N1813" s="106">
        <v>96</v>
      </c>
      <c r="O1813" s="106">
        <v>115.2</v>
      </c>
      <c r="P1813" s="107">
        <v>25930</v>
      </c>
      <c r="Q1813" s="107">
        <v>2987136</v>
      </c>
      <c r="R1813" s="102"/>
      <c r="S1813" s="108"/>
      <c r="T1813" s="109"/>
      <c r="U1813" s="109" t="s">
        <v>30</v>
      </c>
      <c r="V1813" s="102"/>
      <c r="W1813" s="109"/>
      <c r="X1813" s="109"/>
      <c r="Y1813" s="110" t="s">
        <v>303</v>
      </c>
    </row>
    <row r="1814" spans="1:25" s="111" customFormat="1" x14ac:dyDescent="0.2">
      <c r="A1814" s="101">
        <v>46263</v>
      </c>
      <c r="B1814" s="91" t="s">
        <v>2115</v>
      </c>
      <c r="C1814" s="102" t="s">
        <v>2116</v>
      </c>
      <c r="D1814" s="103" t="s">
        <v>26</v>
      </c>
      <c r="E1814" s="91" t="s">
        <v>2117</v>
      </c>
      <c r="F1814" s="91" t="s">
        <v>939</v>
      </c>
      <c r="G1814" s="91" t="s">
        <v>940</v>
      </c>
      <c r="H1814" s="104" t="str">
        <f t="shared" si="108"/>
        <v>C4033J20</v>
      </c>
      <c r="I1814" s="104"/>
      <c r="J1814" s="106">
        <v>3</v>
      </c>
      <c r="K1814" s="106"/>
      <c r="L1814" s="106">
        <v>0</v>
      </c>
      <c r="M1814" s="106">
        <f t="shared" si="106"/>
        <v>0</v>
      </c>
      <c r="N1814" s="106">
        <v>96</v>
      </c>
      <c r="O1814" s="106">
        <v>288</v>
      </c>
      <c r="P1814" s="107">
        <v>25930</v>
      </c>
      <c r="Q1814" s="107">
        <v>7467840</v>
      </c>
      <c r="R1814" s="102"/>
      <c r="S1814" s="108"/>
      <c r="T1814" s="109"/>
      <c r="U1814" s="109" t="s">
        <v>30</v>
      </c>
      <c r="V1814" s="102"/>
      <c r="W1814" s="109"/>
      <c r="X1814" s="109"/>
      <c r="Y1814" s="110" t="s">
        <v>303</v>
      </c>
    </row>
    <row r="1815" spans="1:25" s="111" customFormat="1" x14ac:dyDescent="0.2">
      <c r="A1815" s="101">
        <v>46263</v>
      </c>
      <c r="B1815" s="91" t="s">
        <v>2115</v>
      </c>
      <c r="C1815" s="102" t="s">
        <v>2116</v>
      </c>
      <c r="D1815" s="103" t="s">
        <v>26</v>
      </c>
      <c r="E1815" s="91" t="s">
        <v>2117</v>
      </c>
      <c r="F1815" s="91" t="s">
        <v>939</v>
      </c>
      <c r="G1815" s="91" t="s">
        <v>940</v>
      </c>
      <c r="H1815" s="104" t="str">
        <f t="shared" si="108"/>
        <v>C4033J20</v>
      </c>
      <c r="I1815" s="104"/>
      <c r="J1815" s="106">
        <v>1</v>
      </c>
      <c r="K1815" s="106"/>
      <c r="L1815" s="106">
        <v>0</v>
      </c>
      <c r="M1815" s="106">
        <f t="shared" si="106"/>
        <v>0</v>
      </c>
      <c r="N1815" s="106">
        <v>96</v>
      </c>
      <c r="O1815" s="106">
        <v>96</v>
      </c>
      <c r="P1815" s="107">
        <v>25930</v>
      </c>
      <c r="Q1815" s="107">
        <v>2489280</v>
      </c>
      <c r="R1815" s="102"/>
      <c r="S1815" s="108"/>
      <c r="T1815" s="109"/>
      <c r="U1815" s="109" t="s">
        <v>30</v>
      </c>
      <c r="V1815" s="102"/>
      <c r="W1815" s="109"/>
      <c r="X1815" s="109"/>
      <c r="Y1815" s="110" t="s">
        <v>303</v>
      </c>
    </row>
    <row r="1816" spans="1:25" s="111" customFormat="1" x14ac:dyDescent="0.2">
      <c r="A1816" s="101">
        <v>46263</v>
      </c>
      <c r="B1816" s="91" t="s">
        <v>2115</v>
      </c>
      <c r="C1816" s="102" t="s">
        <v>2116</v>
      </c>
      <c r="D1816" s="103" t="s">
        <v>26</v>
      </c>
      <c r="E1816" s="91" t="s">
        <v>2117</v>
      </c>
      <c r="F1816" s="91" t="s">
        <v>939</v>
      </c>
      <c r="G1816" s="91" t="s">
        <v>940</v>
      </c>
      <c r="H1816" s="104" t="str">
        <f t="shared" si="108"/>
        <v>C4033J20</v>
      </c>
      <c r="I1816" s="104"/>
      <c r="J1816" s="106">
        <v>1.2</v>
      </c>
      <c r="K1816" s="106"/>
      <c r="L1816" s="106">
        <v>0</v>
      </c>
      <c r="M1816" s="106">
        <f t="shared" si="106"/>
        <v>0</v>
      </c>
      <c r="N1816" s="106">
        <v>96</v>
      </c>
      <c r="O1816" s="106">
        <v>115.2</v>
      </c>
      <c r="P1816" s="107">
        <v>25930</v>
      </c>
      <c r="Q1816" s="107">
        <v>2987136</v>
      </c>
      <c r="R1816" s="102"/>
      <c r="S1816" s="108"/>
      <c r="T1816" s="109"/>
      <c r="U1816" s="109" t="s">
        <v>30</v>
      </c>
      <c r="V1816" s="102"/>
      <c r="W1816" s="109"/>
      <c r="X1816" s="109"/>
      <c r="Y1816" s="110" t="s">
        <v>303</v>
      </c>
    </row>
    <row r="1817" spans="1:25" s="111" customFormat="1" x14ac:dyDescent="0.2">
      <c r="A1817" s="101">
        <v>46263</v>
      </c>
      <c r="B1817" s="91" t="s">
        <v>2115</v>
      </c>
      <c r="C1817" s="102" t="s">
        <v>2116</v>
      </c>
      <c r="D1817" s="103" t="s">
        <v>26</v>
      </c>
      <c r="E1817" s="91" t="s">
        <v>2117</v>
      </c>
      <c r="F1817" s="91" t="s">
        <v>939</v>
      </c>
      <c r="G1817" s="91" t="s">
        <v>940</v>
      </c>
      <c r="H1817" s="104" t="str">
        <f t="shared" si="108"/>
        <v>C4033J20</v>
      </c>
      <c r="I1817" s="104"/>
      <c r="J1817" s="106">
        <v>1.2</v>
      </c>
      <c r="K1817" s="106"/>
      <c r="L1817" s="106">
        <v>0</v>
      </c>
      <c r="M1817" s="106">
        <f t="shared" si="106"/>
        <v>0</v>
      </c>
      <c r="N1817" s="106">
        <v>96</v>
      </c>
      <c r="O1817" s="106">
        <v>115.2</v>
      </c>
      <c r="P1817" s="107">
        <v>25930</v>
      </c>
      <c r="Q1817" s="107">
        <v>2987136</v>
      </c>
      <c r="R1817" s="102"/>
      <c r="S1817" s="108"/>
      <c r="T1817" s="109"/>
      <c r="U1817" s="109" t="s">
        <v>30</v>
      </c>
      <c r="V1817" s="102"/>
      <c r="W1817" s="109"/>
      <c r="X1817" s="109"/>
      <c r="Y1817" s="110" t="s">
        <v>303</v>
      </c>
    </row>
    <row r="1818" spans="1:25" s="111" customFormat="1" x14ac:dyDescent="0.2">
      <c r="A1818" s="101">
        <v>46263</v>
      </c>
      <c r="B1818" s="91" t="s">
        <v>2115</v>
      </c>
      <c r="C1818" s="102" t="s">
        <v>2116</v>
      </c>
      <c r="D1818" s="103" t="s">
        <v>26</v>
      </c>
      <c r="E1818" s="91" t="s">
        <v>2117</v>
      </c>
      <c r="F1818" s="91" t="s">
        <v>188</v>
      </c>
      <c r="G1818" s="91" t="s">
        <v>189</v>
      </c>
      <c r="H1818" s="104" t="str">
        <f t="shared" si="108"/>
        <v>C5133J20</v>
      </c>
      <c r="I1818" s="104"/>
      <c r="J1818" s="106">
        <v>1.88</v>
      </c>
      <c r="K1818" s="106"/>
      <c r="L1818" s="106">
        <v>0</v>
      </c>
      <c r="M1818" s="106">
        <f t="shared" si="106"/>
        <v>0</v>
      </c>
      <c r="N1818" s="106">
        <v>94.47</v>
      </c>
      <c r="O1818" s="106">
        <v>177.6</v>
      </c>
      <c r="P1818" s="107">
        <v>25930</v>
      </c>
      <c r="Q1818" s="107">
        <v>4605168</v>
      </c>
      <c r="R1818" s="102"/>
      <c r="S1818" s="108"/>
      <c r="T1818" s="109"/>
      <c r="U1818" s="109" t="s">
        <v>30</v>
      </c>
      <c r="V1818" s="102"/>
      <c r="W1818" s="109"/>
      <c r="X1818" s="109"/>
      <c r="Y1818" s="110" t="s">
        <v>303</v>
      </c>
    </row>
    <row r="1819" spans="1:25" s="111" customFormat="1" x14ac:dyDescent="0.2">
      <c r="A1819" s="101">
        <v>46263</v>
      </c>
      <c r="B1819" s="91" t="s">
        <v>2115</v>
      </c>
      <c r="C1819" s="102" t="s">
        <v>2116</v>
      </c>
      <c r="D1819" s="103" t="s">
        <v>26</v>
      </c>
      <c r="E1819" s="91" t="s">
        <v>2117</v>
      </c>
      <c r="F1819" s="91" t="s">
        <v>2120</v>
      </c>
      <c r="G1819" s="91" t="s">
        <v>2121</v>
      </c>
      <c r="H1819" s="104" t="str">
        <f t="shared" si="108"/>
        <v>C5133J20</v>
      </c>
      <c r="I1819" s="104"/>
      <c r="J1819" s="106">
        <v>1.2</v>
      </c>
      <c r="K1819" s="106"/>
      <c r="L1819" s="106">
        <v>0</v>
      </c>
      <c r="M1819" s="106">
        <f t="shared" si="106"/>
        <v>0</v>
      </c>
      <c r="N1819" s="106">
        <v>96</v>
      </c>
      <c r="O1819" s="106">
        <v>115.2</v>
      </c>
      <c r="P1819" s="107">
        <v>25930</v>
      </c>
      <c r="Q1819" s="107">
        <v>2987136</v>
      </c>
      <c r="R1819" s="102"/>
      <c r="S1819" s="108"/>
      <c r="T1819" s="109"/>
      <c r="U1819" s="109" t="s">
        <v>30</v>
      </c>
      <c r="V1819" s="102"/>
      <c r="W1819" s="109"/>
      <c r="X1819" s="109"/>
      <c r="Y1819" s="110" t="s">
        <v>303</v>
      </c>
    </row>
    <row r="1820" spans="1:25" s="111" customFormat="1" x14ac:dyDescent="0.2">
      <c r="A1820" s="101">
        <v>46263</v>
      </c>
      <c r="B1820" s="91" t="s">
        <v>2115</v>
      </c>
      <c r="C1820" s="102" t="s">
        <v>2116</v>
      </c>
      <c r="D1820" s="103" t="s">
        <v>26</v>
      </c>
      <c r="E1820" s="91" t="s">
        <v>2117</v>
      </c>
      <c r="F1820" s="91" t="s">
        <v>301</v>
      </c>
      <c r="G1820" s="91" t="s">
        <v>302</v>
      </c>
      <c r="H1820" s="104" t="str">
        <f t="shared" si="108"/>
        <v>F5105J20</v>
      </c>
      <c r="I1820" s="104"/>
      <c r="J1820" s="106">
        <v>1.18</v>
      </c>
      <c r="K1820" s="106"/>
      <c r="L1820" s="106">
        <v>0</v>
      </c>
      <c r="M1820" s="106">
        <f t="shared" si="106"/>
        <v>0</v>
      </c>
      <c r="N1820" s="106">
        <v>130.51</v>
      </c>
      <c r="O1820" s="106">
        <v>154</v>
      </c>
      <c r="P1820" s="107">
        <v>25930</v>
      </c>
      <c r="Q1820" s="107">
        <v>3993220</v>
      </c>
      <c r="R1820" s="102"/>
      <c r="S1820" s="108"/>
      <c r="T1820" s="109"/>
      <c r="U1820" s="109" t="s">
        <v>30</v>
      </c>
      <c r="V1820" s="102"/>
      <c r="W1820" s="109"/>
      <c r="X1820" s="109"/>
      <c r="Y1820" s="110" t="s">
        <v>303</v>
      </c>
    </row>
    <row r="1821" spans="1:25" s="111" customFormat="1" x14ac:dyDescent="0.2">
      <c r="A1821" s="101">
        <v>46263</v>
      </c>
      <c r="B1821" s="91" t="s">
        <v>2115</v>
      </c>
      <c r="C1821" s="102" t="s">
        <v>2116</v>
      </c>
      <c r="D1821" s="103" t="s">
        <v>26</v>
      </c>
      <c r="E1821" s="91" t="s">
        <v>2117</v>
      </c>
      <c r="F1821" s="91" t="s">
        <v>301</v>
      </c>
      <c r="G1821" s="91" t="s">
        <v>302</v>
      </c>
      <c r="H1821" s="104" t="str">
        <f t="shared" si="108"/>
        <v>F5105J20</v>
      </c>
      <c r="I1821" s="104"/>
      <c r="J1821" s="106">
        <v>1.18</v>
      </c>
      <c r="K1821" s="106"/>
      <c r="L1821" s="106">
        <v>0</v>
      </c>
      <c r="M1821" s="106">
        <f t="shared" si="106"/>
        <v>0</v>
      </c>
      <c r="N1821" s="106">
        <v>130.51</v>
      </c>
      <c r="O1821" s="106">
        <v>154</v>
      </c>
      <c r="P1821" s="107">
        <v>25930</v>
      </c>
      <c r="Q1821" s="107">
        <v>3993220</v>
      </c>
      <c r="R1821" s="102"/>
      <c r="S1821" s="108"/>
      <c r="T1821" s="109"/>
      <c r="U1821" s="109" t="s">
        <v>30</v>
      </c>
      <c r="V1821" s="102"/>
      <c r="W1821" s="109"/>
      <c r="X1821" s="109"/>
      <c r="Y1821" s="110" t="s">
        <v>303</v>
      </c>
    </row>
    <row r="1822" spans="1:25" s="111" customFormat="1" x14ac:dyDescent="0.2">
      <c r="A1822" s="101">
        <v>46263</v>
      </c>
      <c r="B1822" s="91" t="s">
        <v>2115</v>
      </c>
      <c r="C1822" s="102" t="s">
        <v>2116</v>
      </c>
      <c r="D1822" s="103" t="s">
        <v>26</v>
      </c>
      <c r="E1822" s="91" t="s">
        <v>2117</v>
      </c>
      <c r="F1822" s="91" t="s">
        <v>649</v>
      </c>
      <c r="G1822" s="91" t="s">
        <v>650</v>
      </c>
      <c r="H1822" s="104" t="str">
        <f t="shared" si="108"/>
        <v>F5113J20</v>
      </c>
      <c r="I1822" s="104"/>
      <c r="J1822" s="106">
        <v>0.88</v>
      </c>
      <c r="K1822" s="106"/>
      <c r="L1822" s="106">
        <v>0</v>
      </c>
      <c r="M1822" s="106">
        <f t="shared" si="106"/>
        <v>0</v>
      </c>
      <c r="N1822" s="106">
        <v>131.25</v>
      </c>
      <c r="O1822" s="106">
        <v>115.5</v>
      </c>
      <c r="P1822" s="107">
        <v>25930</v>
      </c>
      <c r="Q1822" s="107">
        <v>2994915</v>
      </c>
      <c r="R1822" s="102"/>
      <c r="S1822" s="108"/>
      <c r="T1822" s="109"/>
      <c r="U1822" s="109" t="s">
        <v>30</v>
      </c>
      <c r="V1822" s="102"/>
      <c r="W1822" s="109"/>
      <c r="X1822" s="109"/>
      <c r="Y1822" s="110" t="s">
        <v>303</v>
      </c>
    </row>
    <row r="1823" spans="1:25" s="111" customFormat="1" x14ac:dyDescent="0.2">
      <c r="A1823" s="101">
        <v>46263</v>
      </c>
      <c r="B1823" s="91" t="s">
        <v>2115</v>
      </c>
      <c r="C1823" s="102" t="s">
        <v>2116</v>
      </c>
      <c r="D1823" s="103" t="s">
        <v>26</v>
      </c>
      <c r="E1823" s="91" t="s">
        <v>2117</v>
      </c>
      <c r="F1823" s="91" t="s">
        <v>2122</v>
      </c>
      <c r="G1823" s="91" t="s">
        <v>2123</v>
      </c>
      <c r="H1823" s="104" t="str">
        <f t="shared" si="108"/>
        <v>F5152J20</v>
      </c>
      <c r="I1823" s="104"/>
      <c r="J1823" s="106">
        <v>0.88</v>
      </c>
      <c r="K1823" s="106"/>
      <c r="L1823" s="106">
        <v>0</v>
      </c>
      <c r="M1823" s="106">
        <f t="shared" si="106"/>
        <v>0</v>
      </c>
      <c r="N1823" s="106">
        <v>131.25</v>
      </c>
      <c r="O1823" s="106">
        <v>115.5</v>
      </c>
      <c r="P1823" s="107">
        <v>25930</v>
      </c>
      <c r="Q1823" s="107">
        <v>2994915</v>
      </c>
      <c r="R1823" s="102"/>
      <c r="S1823" s="108"/>
      <c r="T1823" s="109"/>
      <c r="U1823" s="109" t="s">
        <v>30</v>
      </c>
      <c r="V1823" s="102"/>
      <c r="W1823" s="109"/>
      <c r="X1823" s="109"/>
      <c r="Y1823" s="110" t="s">
        <v>303</v>
      </c>
    </row>
    <row r="1824" spans="1:25" s="111" customFormat="1" x14ac:dyDescent="0.2">
      <c r="A1824" s="101">
        <v>46263</v>
      </c>
      <c r="B1824" s="91" t="s">
        <v>2115</v>
      </c>
      <c r="C1824" s="102" t="s">
        <v>2116</v>
      </c>
      <c r="D1824" s="103" t="s">
        <v>26</v>
      </c>
      <c r="E1824" s="91" t="s">
        <v>2117</v>
      </c>
      <c r="F1824" s="91" t="s">
        <v>2056</v>
      </c>
      <c r="G1824" s="91" t="s">
        <v>2057</v>
      </c>
      <c r="H1824" s="104" t="str">
        <f t="shared" si="108"/>
        <v>F5152J20</v>
      </c>
      <c r="I1824" s="104"/>
      <c r="J1824" s="106">
        <v>1.88</v>
      </c>
      <c r="K1824" s="106"/>
      <c r="L1824" s="106">
        <v>0</v>
      </c>
      <c r="M1824" s="106">
        <f t="shared" si="106"/>
        <v>0</v>
      </c>
      <c r="N1824" s="106">
        <v>128.94</v>
      </c>
      <c r="O1824" s="106">
        <v>242.4</v>
      </c>
      <c r="P1824" s="107">
        <v>25930</v>
      </c>
      <c r="Q1824" s="107">
        <v>6285432</v>
      </c>
      <c r="R1824" s="102"/>
      <c r="S1824" s="108"/>
      <c r="T1824" s="109"/>
      <c r="U1824" s="109" t="s">
        <v>30</v>
      </c>
      <c r="V1824" s="102"/>
      <c r="W1824" s="109"/>
      <c r="X1824" s="109"/>
      <c r="Y1824" s="110" t="s">
        <v>303</v>
      </c>
    </row>
    <row r="1825" spans="1:25" s="111" customFormat="1" x14ac:dyDescent="0.2">
      <c r="A1825" s="101">
        <v>46263</v>
      </c>
      <c r="B1825" s="91" t="s">
        <v>2115</v>
      </c>
      <c r="C1825" s="102" t="s">
        <v>2116</v>
      </c>
      <c r="D1825" s="103" t="s">
        <v>26</v>
      </c>
      <c r="E1825" s="91" t="s">
        <v>2117</v>
      </c>
      <c r="F1825" s="91" t="s">
        <v>312</v>
      </c>
      <c r="G1825" s="91" t="s">
        <v>313</v>
      </c>
      <c r="H1825" s="104" t="str">
        <f t="shared" si="108"/>
        <v>F5441J20</v>
      </c>
      <c r="I1825" s="104"/>
      <c r="J1825" s="106">
        <v>1.6</v>
      </c>
      <c r="K1825" s="106"/>
      <c r="L1825" s="106">
        <v>0</v>
      </c>
      <c r="M1825" s="106">
        <f t="shared" si="106"/>
        <v>0</v>
      </c>
      <c r="N1825" s="106">
        <v>143</v>
      </c>
      <c r="O1825" s="106">
        <v>228.8</v>
      </c>
      <c r="P1825" s="107">
        <v>25930</v>
      </c>
      <c r="Q1825" s="107">
        <v>5932784</v>
      </c>
      <c r="R1825" s="102"/>
      <c r="S1825" s="108"/>
      <c r="T1825" s="109"/>
      <c r="U1825" s="109" t="s">
        <v>30</v>
      </c>
      <c r="V1825" s="102"/>
      <c r="W1825" s="109"/>
      <c r="X1825" s="109"/>
      <c r="Y1825" s="110" t="s">
        <v>303</v>
      </c>
    </row>
    <row r="1826" spans="1:25" s="111" customFormat="1" x14ac:dyDescent="0.2">
      <c r="A1826" s="101">
        <v>46263</v>
      </c>
      <c r="B1826" s="91" t="s">
        <v>2115</v>
      </c>
      <c r="C1826" s="102" t="s">
        <v>2116</v>
      </c>
      <c r="D1826" s="103" t="s">
        <v>26</v>
      </c>
      <c r="E1826" s="91" t="s">
        <v>2117</v>
      </c>
      <c r="F1826" s="91" t="s">
        <v>2124</v>
      </c>
      <c r="G1826" s="91" t="s">
        <v>2125</v>
      </c>
      <c r="H1826" s="104" t="str">
        <f t="shared" si="108"/>
        <v>F5441J20</v>
      </c>
      <c r="I1826" s="104"/>
      <c r="J1826" s="106">
        <v>2.5</v>
      </c>
      <c r="K1826" s="106"/>
      <c r="L1826" s="106">
        <v>0</v>
      </c>
      <c r="M1826" s="106">
        <f t="shared" si="106"/>
        <v>0</v>
      </c>
      <c r="N1826" s="106">
        <v>140.47999999999999</v>
      </c>
      <c r="O1826" s="106">
        <v>351.2</v>
      </c>
      <c r="P1826" s="107">
        <v>25930</v>
      </c>
      <c r="Q1826" s="107">
        <v>9106616</v>
      </c>
      <c r="R1826" s="102"/>
      <c r="S1826" s="108"/>
      <c r="T1826" s="109"/>
      <c r="U1826" s="109" t="s">
        <v>30</v>
      </c>
      <c r="V1826" s="102"/>
      <c r="W1826" s="109"/>
      <c r="X1826" s="109"/>
      <c r="Y1826" s="110" t="s">
        <v>303</v>
      </c>
    </row>
    <row r="1827" spans="1:25" s="111" customFormat="1" x14ac:dyDescent="0.2">
      <c r="A1827" s="101">
        <v>46263</v>
      </c>
      <c r="B1827" s="91" t="s">
        <v>2115</v>
      </c>
      <c r="C1827" s="102" t="s">
        <v>2116</v>
      </c>
      <c r="D1827" s="103" t="s">
        <v>26</v>
      </c>
      <c r="E1827" s="91" t="s">
        <v>2117</v>
      </c>
      <c r="F1827" s="91" t="s">
        <v>312</v>
      </c>
      <c r="G1827" s="91" t="s">
        <v>313</v>
      </c>
      <c r="H1827" s="104" t="str">
        <f t="shared" si="108"/>
        <v>F5441J20</v>
      </c>
      <c r="I1827" s="104"/>
      <c r="J1827" s="106">
        <v>1.6</v>
      </c>
      <c r="K1827" s="106"/>
      <c r="L1827" s="106">
        <v>0</v>
      </c>
      <c r="M1827" s="106">
        <f t="shared" si="106"/>
        <v>0</v>
      </c>
      <c r="N1827" s="106">
        <v>143</v>
      </c>
      <c r="O1827" s="106">
        <v>228.8</v>
      </c>
      <c r="P1827" s="107">
        <v>25930</v>
      </c>
      <c r="Q1827" s="107">
        <v>5932784</v>
      </c>
      <c r="R1827" s="102"/>
      <c r="S1827" s="108"/>
      <c r="T1827" s="109"/>
      <c r="U1827" s="109" t="s">
        <v>30</v>
      </c>
      <c r="V1827" s="102"/>
      <c r="W1827" s="109"/>
      <c r="X1827" s="109"/>
      <c r="Y1827" s="110" t="s">
        <v>303</v>
      </c>
    </row>
    <row r="1828" spans="1:25" s="111" customFormat="1" x14ac:dyDescent="0.2">
      <c r="A1828" s="101">
        <v>46263</v>
      </c>
      <c r="B1828" s="91" t="s">
        <v>2115</v>
      </c>
      <c r="C1828" s="102" t="s">
        <v>2116</v>
      </c>
      <c r="D1828" s="103" t="s">
        <v>26</v>
      </c>
      <c r="E1828" s="91" t="s">
        <v>2117</v>
      </c>
      <c r="F1828" s="91" t="s">
        <v>1607</v>
      </c>
      <c r="G1828" s="91" t="s">
        <v>1608</v>
      </c>
      <c r="H1828" s="104" t="str">
        <f t="shared" si="108"/>
        <v>F5444J20</v>
      </c>
      <c r="I1828" s="104"/>
      <c r="J1828" s="106">
        <v>1.18</v>
      </c>
      <c r="K1828" s="106"/>
      <c r="L1828" s="106">
        <v>0</v>
      </c>
      <c r="M1828" s="106">
        <f t="shared" ref="M1828:M1859" si="109">L1828-K1828</f>
        <v>0</v>
      </c>
      <c r="N1828" s="106">
        <v>142.37</v>
      </c>
      <c r="O1828" s="106">
        <v>168</v>
      </c>
      <c r="P1828" s="107">
        <v>25930</v>
      </c>
      <c r="Q1828" s="107">
        <v>4356240</v>
      </c>
      <c r="R1828" s="102"/>
      <c r="S1828" s="108"/>
      <c r="T1828" s="109"/>
      <c r="U1828" s="109" t="s">
        <v>30</v>
      </c>
      <c r="V1828" s="102"/>
      <c r="W1828" s="109"/>
      <c r="X1828" s="109"/>
      <c r="Y1828" s="110" t="s">
        <v>303</v>
      </c>
    </row>
    <row r="1829" spans="1:25" s="111" customFormat="1" x14ac:dyDescent="0.2">
      <c r="A1829" s="101">
        <v>46263</v>
      </c>
      <c r="B1829" s="91" t="s">
        <v>2115</v>
      </c>
      <c r="C1829" s="102" t="s">
        <v>2116</v>
      </c>
      <c r="D1829" s="103" t="s">
        <v>26</v>
      </c>
      <c r="E1829" s="91" t="s">
        <v>2117</v>
      </c>
      <c r="F1829" s="91" t="s">
        <v>1607</v>
      </c>
      <c r="G1829" s="91" t="s">
        <v>1608</v>
      </c>
      <c r="H1829" s="104" t="str">
        <f t="shared" si="108"/>
        <v>F5444J20</v>
      </c>
      <c r="I1829" s="104"/>
      <c r="J1829" s="106">
        <v>1.18</v>
      </c>
      <c r="K1829" s="106"/>
      <c r="L1829" s="106">
        <v>0</v>
      </c>
      <c r="M1829" s="106">
        <f t="shared" si="109"/>
        <v>0</v>
      </c>
      <c r="N1829" s="106">
        <v>142.37</v>
      </c>
      <c r="O1829" s="106">
        <v>168</v>
      </c>
      <c r="P1829" s="107">
        <v>25930</v>
      </c>
      <c r="Q1829" s="107">
        <v>4356240</v>
      </c>
      <c r="R1829" s="102"/>
      <c r="S1829" s="108"/>
      <c r="T1829" s="109"/>
      <c r="U1829" s="109" t="s">
        <v>30</v>
      </c>
      <c r="V1829" s="102"/>
      <c r="W1829" s="109"/>
      <c r="X1829" s="109"/>
      <c r="Y1829" s="110" t="s">
        <v>303</v>
      </c>
    </row>
    <row r="1830" spans="1:25" s="111" customFormat="1" x14ac:dyDescent="0.2">
      <c r="A1830" s="101">
        <v>46263</v>
      </c>
      <c r="B1830" s="91" t="s">
        <v>2115</v>
      </c>
      <c r="C1830" s="102" t="s">
        <v>2116</v>
      </c>
      <c r="D1830" s="103" t="s">
        <v>26</v>
      </c>
      <c r="E1830" s="91" t="s">
        <v>2117</v>
      </c>
      <c r="F1830" s="91" t="s">
        <v>1607</v>
      </c>
      <c r="G1830" s="91" t="s">
        <v>1608</v>
      </c>
      <c r="H1830" s="104" t="str">
        <f t="shared" si="108"/>
        <v>F5444J20</v>
      </c>
      <c r="I1830" s="104"/>
      <c r="J1830" s="106">
        <v>1.18</v>
      </c>
      <c r="K1830" s="106"/>
      <c r="L1830" s="106">
        <v>0</v>
      </c>
      <c r="M1830" s="106">
        <f t="shared" si="109"/>
        <v>0</v>
      </c>
      <c r="N1830" s="106">
        <v>142.37</v>
      </c>
      <c r="O1830" s="106">
        <v>168</v>
      </c>
      <c r="P1830" s="107">
        <v>25930</v>
      </c>
      <c r="Q1830" s="107">
        <v>4356240</v>
      </c>
      <c r="R1830" s="102"/>
      <c r="S1830" s="108"/>
      <c r="T1830" s="109"/>
      <c r="U1830" s="109" t="s">
        <v>30</v>
      </c>
      <c r="V1830" s="102"/>
      <c r="W1830" s="109"/>
      <c r="X1830" s="109"/>
      <c r="Y1830" s="110" t="s">
        <v>303</v>
      </c>
    </row>
    <row r="1831" spans="1:25" s="111" customFormat="1" x14ac:dyDescent="0.2">
      <c r="A1831" s="101">
        <v>46263</v>
      </c>
      <c r="B1831" s="91" t="s">
        <v>2115</v>
      </c>
      <c r="C1831" s="102" t="s">
        <v>2116</v>
      </c>
      <c r="D1831" s="103" t="s">
        <v>26</v>
      </c>
      <c r="E1831" s="91" t="s">
        <v>2117</v>
      </c>
      <c r="F1831" s="91" t="s">
        <v>657</v>
      </c>
      <c r="G1831" s="91" t="s">
        <v>658</v>
      </c>
      <c r="H1831" s="104" t="str">
        <f t="shared" si="108"/>
        <v>F8252J20</v>
      </c>
      <c r="I1831" s="104"/>
      <c r="J1831" s="106">
        <v>1.18</v>
      </c>
      <c r="K1831" s="106"/>
      <c r="L1831" s="106">
        <v>0</v>
      </c>
      <c r="M1831" s="106">
        <f t="shared" si="109"/>
        <v>0</v>
      </c>
      <c r="N1831" s="106">
        <v>130.51</v>
      </c>
      <c r="O1831" s="106">
        <v>154</v>
      </c>
      <c r="P1831" s="107">
        <v>25930</v>
      </c>
      <c r="Q1831" s="107">
        <v>3993220</v>
      </c>
      <c r="R1831" s="102"/>
      <c r="S1831" s="108"/>
      <c r="T1831" s="109"/>
      <c r="U1831" s="109" t="s">
        <v>30</v>
      </c>
      <c r="V1831" s="102"/>
      <c r="W1831" s="109"/>
      <c r="X1831" s="109"/>
      <c r="Y1831" s="110" t="s">
        <v>303</v>
      </c>
    </row>
    <row r="1832" spans="1:25" s="111" customFormat="1" x14ac:dyDescent="0.2">
      <c r="A1832" s="101">
        <v>46263</v>
      </c>
      <c r="B1832" s="91" t="s">
        <v>2115</v>
      </c>
      <c r="C1832" s="102" t="s">
        <v>2116</v>
      </c>
      <c r="D1832" s="103" t="s">
        <v>26</v>
      </c>
      <c r="E1832" s="91" t="s">
        <v>2117</v>
      </c>
      <c r="F1832" s="91" t="s">
        <v>657</v>
      </c>
      <c r="G1832" s="91" t="s">
        <v>658</v>
      </c>
      <c r="H1832" s="104" t="str">
        <f t="shared" si="108"/>
        <v>F8252J20</v>
      </c>
      <c r="I1832" s="104"/>
      <c r="J1832" s="106">
        <v>1.18</v>
      </c>
      <c r="K1832" s="106"/>
      <c r="L1832" s="106">
        <v>0</v>
      </c>
      <c r="M1832" s="106">
        <f t="shared" si="109"/>
        <v>0</v>
      </c>
      <c r="N1832" s="106">
        <v>130.51</v>
      </c>
      <c r="O1832" s="106">
        <v>154</v>
      </c>
      <c r="P1832" s="107">
        <v>25930</v>
      </c>
      <c r="Q1832" s="107">
        <v>3993220</v>
      </c>
      <c r="R1832" s="102"/>
      <c r="S1832" s="108"/>
      <c r="T1832" s="109"/>
      <c r="U1832" s="109" t="s">
        <v>30</v>
      </c>
      <c r="V1832" s="102"/>
      <c r="W1832" s="109"/>
      <c r="X1832" s="109"/>
      <c r="Y1832" s="110" t="s">
        <v>303</v>
      </c>
    </row>
    <row r="1833" spans="1:25" s="111" customFormat="1" x14ac:dyDescent="0.2">
      <c r="A1833" s="101">
        <v>46263</v>
      </c>
      <c r="B1833" s="91" t="s">
        <v>2115</v>
      </c>
      <c r="C1833" s="102" t="s">
        <v>2116</v>
      </c>
      <c r="D1833" s="103" t="s">
        <v>26</v>
      </c>
      <c r="E1833" s="91" t="s">
        <v>2117</v>
      </c>
      <c r="F1833" s="91" t="s">
        <v>657</v>
      </c>
      <c r="G1833" s="91" t="s">
        <v>658</v>
      </c>
      <c r="H1833" s="104" t="str">
        <f t="shared" si="108"/>
        <v>F8252J20</v>
      </c>
      <c r="I1833" s="104"/>
      <c r="J1833" s="106">
        <v>1.18</v>
      </c>
      <c r="K1833" s="106"/>
      <c r="L1833" s="106">
        <v>0</v>
      </c>
      <c r="M1833" s="106">
        <f t="shared" si="109"/>
        <v>0</v>
      </c>
      <c r="N1833" s="106">
        <v>130.51</v>
      </c>
      <c r="O1833" s="106">
        <v>154</v>
      </c>
      <c r="P1833" s="107">
        <v>25930</v>
      </c>
      <c r="Q1833" s="107">
        <v>3993220</v>
      </c>
      <c r="R1833" s="102"/>
      <c r="S1833" s="108"/>
      <c r="T1833" s="109"/>
      <c r="U1833" s="109" t="s">
        <v>30</v>
      </c>
      <c r="V1833" s="102"/>
      <c r="W1833" s="109"/>
      <c r="X1833" s="109"/>
      <c r="Y1833" s="110" t="s">
        <v>303</v>
      </c>
    </row>
    <row r="1834" spans="1:25" s="111" customFormat="1" x14ac:dyDescent="0.2">
      <c r="A1834" s="101">
        <v>46263</v>
      </c>
      <c r="B1834" s="91" t="s">
        <v>2115</v>
      </c>
      <c r="C1834" s="102" t="s">
        <v>2116</v>
      </c>
      <c r="D1834" s="103" t="s">
        <v>26</v>
      </c>
      <c r="E1834" s="91" t="s">
        <v>2117</v>
      </c>
      <c r="F1834" s="91" t="s">
        <v>939</v>
      </c>
      <c r="G1834" s="91" t="s">
        <v>940</v>
      </c>
      <c r="H1834" s="104" t="str">
        <f t="shared" si="108"/>
        <v>C4033J20</v>
      </c>
      <c r="I1834" s="104"/>
      <c r="J1834" s="106">
        <v>0.2</v>
      </c>
      <c r="K1834" s="106"/>
      <c r="L1834" s="106">
        <v>0</v>
      </c>
      <c r="M1834" s="106">
        <f t="shared" si="109"/>
        <v>0</v>
      </c>
      <c r="N1834" s="106">
        <v>96</v>
      </c>
      <c r="O1834" s="106">
        <v>19.2</v>
      </c>
      <c r="P1834" s="107">
        <v>25930</v>
      </c>
      <c r="Q1834" s="107">
        <v>497856</v>
      </c>
      <c r="R1834" s="102"/>
      <c r="S1834" s="108"/>
      <c r="T1834" s="109"/>
      <c r="U1834" s="109" t="s">
        <v>30</v>
      </c>
      <c r="V1834" s="102"/>
      <c r="W1834" s="109"/>
      <c r="X1834" s="109"/>
      <c r="Y1834" s="110" t="s">
        <v>303</v>
      </c>
    </row>
    <row r="1835" spans="1:25" s="111" customFormat="1" x14ac:dyDescent="0.2">
      <c r="A1835" s="101">
        <v>46263</v>
      </c>
      <c r="B1835" s="91" t="s">
        <v>2115</v>
      </c>
      <c r="C1835" s="102" t="s">
        <v>2116</v>
      </c>
      <c r="D1835" s="103" t="s">
        <v>26</v>
      </c>
      <c r="E1835" s="91" t="s">
        <v>2117</v>
      </c>
      <c r="F1835" s="91" t="s">
        <v>867</v>
      </c>
      <c r="G1835" s="91" t="s">
        <v>868</v>
      </c>
      <c r="H1835" s="104" t="str">
        <f t="shared" si="108"/>
        <v>C5003J20</v>
      </c>
      <c r="I1835" s="104"/>
      <c r="J1835" s="106">
        <v>250.47</v>
      </c>
      <c r="K1835" s="106"/>
      <c r="L1835" s="106">
        <v>0</v>
      </c>
      <c r="M1835" s="106">
        <f t="shared" si="109"/>
        <v>0</v>
      </c>
      <c r="N1835" s="106">
        <v>59.9</v>
      </c>
      <c r="O1835" s="106">
        <v>15003.36</v>
      </c>
      <c r="P1835" s="107">
        <v>25930</v>
      </c>
      <c r="Q1835" s="107">
        <v>389037125</v>
      </c>
      <c r="R1835" s="102" t="s">
        <v>30</v>
      </c>
      <c r="S1835" s="108"/>
      <c r="T1835" s="109"/>
      <c r="U1835" s="109"/>
      <c r="V1835" s="102"/>
      <c r="W1835" s="109"/>
      <c r="X1835" s="109"/>
      <c r="Y1835" s="110" t="s">
        <v>303</v>
      </c>
    </row>
    <row r="1836" spans="1:25" s="111" customFormat="1" x14ac:dyDescent="0.2">
      <c r="A1836" s="101">
        <v>46263</v>
      </c>
      <c r="B1836" s="91" t="s">
        <v>2115</v>
      </c>
      <c r="C1836" s="102" t="s">
        <v>2116</v>
      </c>
      <c r="D1836" s="103" t="s">
        <v>26</v>
      </c>
      <c r="E1836" s="91" t="s">
        <v>2117</v>
      </c>
      <c r="F1836" s="91" t="s">
        <v>1592</v>
      </c>
      <c r="G1836" s="91" t="s">
        <v>1514</v>
      </c>
      <c r="H1836" s="104" t="str">
        <f t="shared" si="108"/>
        <v>F8251J20</v>
      </c>
      <c r="I1836" s="104"/>
      <c r="J1836" s="106">
        <v>206.91</v>
      </c>
      <c r="K1836" s="106"/>
      <c r="L1836" s="106">
        <v>0</v>
      </c>
      <c r="M1836" s="106">
        <f t="shared" si="109"/>
        <v>0</v>
      </c>
      <c r="N1836" s="106">
        <v>77.7</v>
      </c>
      <c r="O1836" s="106">
        <v>16077.04</v>
      </c>
      <c r="P1836" s="107">
        <v>25930</v>
      </c>
      <c r="Q1836" s="107">
        <v>416877647</v>
      </c>
      <c r="R1836" s="102" t="s">
        <v>30</v>
      </c>
      <c r="S1836" s="108"/>
      <c r="T1836" s="109"/>
      <c r="U1836" s="109"/>
      <c r="V1836" s="102"/>
      <c r="W1836" s="109"/>
      <c r="X1836" s="109"/>
      <c r="Y1836" s="110" t="s">
        <v>303</v>
      </c>
    </row>
    <row r="1837" spans="1:25" s="111" customFormat="1" x14ac:dyDescent="0.2">
      <c r="A1837" s="101">
        <v>46263</v>
      </c>
      <c r="B1837" s="91" t="s">
        <v>2126</v>
      </c>
      <c r="C1837" s="102" t="s">
        <v>2127</v>
      </c>
      <c r="D1837" s="103" t="s">
        <v>26</v>
      </c>
      <c r="E1837" s="91" t="s">
        <v>2128</v>
      </c>
      <c r="F1837" s="91" t="s">
        <v>2129</v>
      </c>
      <c r="G1837" s="91" t="s">
        <v>2130</v>
      </c>
      <c r="H1837" s="104" t="str">
        <f t="shared" si="108"/>
        <v>M4011J20</v>
      </c>
      <c r="I1837" s="104"/>
      <c r="J1837" s="106">
        <v>0.2</v>
      </c>
      <c r="K1837" s="106"/>
      <c r="L1837" s="106">
        <v>0</v>
      </c>
      <c r="M1837" s="106">
        <f t="shared" si="109"/>
        <v>0</v>
      </c>
      <c r="N1837" s="106">
        <v>50</v>
      </c>
      <c r="O1837" s="106">
        <v>10</v>
      </c>
      <c r="P1837" s="107">
        <v>25930</v>
      </c>
      <c r="Q1837" s="107">
        <v>259300</v>
      </c>
      <c r="R1837" s="102"/>
      <c r="S1837" s="108"/>
      <c r="T1837" s="109"/>
      <c r="U1837" s="109"/>
      <c r="V1837" s="102"/>
      <c r="W1837" s="109" t="s">
        <v>30</v>
      </c>
      <c r="X1837" s="109"/>
      <c r="Y1837" s="110" t="s">
        <v>303</v>
      </c>
    </row>
    <row r="1838" spans="1:25" s="111" customFormat="1" x14ac:dyDescent="0.2">
      <c r="A1838" s="101">
        <v>46263</v>
      </c>
      <c r="B1838" s="91" t="s">
        <v>2131</v>
      </c>
      <c r="C1838" s="102" t="s">
        <v>2132</v>
      </c>
      <c r="D1838" s="103" t="s">
        <v>26</v>
      </c>
      <c r="E1838" s="91" t="s">
        <v>2133</v>
      </c>
      <c r="F1838" s="91" t="s">
        <v>2134</v>
      </c>
      <c r="G1838" s="91" t="s">
        <v>2135</v>
      </c>
      <c r="H1838" s="104" t="str">
        <f t="shared" si="108"/>
        <v>C5100J20</v>
      </c>
      <c r="I1838" s="104"/>
      <c r="J1838" s="106">
        <v>1.2</v>
      </c>
      <c r="K1838" s="106"/>
      <c r="L1838" s="106">
        <v>0</v>
      </c>
      <c r="M1838" s="106">
        <f t="shared" si="109"/>
        <v>0</v>
      </c>
      <c r="N1838" s="106">
        <v>96</v>
      </c>
      <c r="O1838" s="106">
        <v>115.2</v>
      </c>
      <c r="P1838" s="107">
        <v>25930</v>
      </c>
      <c r="Q1838" s="107">
        <v>2987136</v>
      </c>
      <c r="R1838" s="102"/>
      <c r="S1838" s="108"/>
      <c r="T1838" s="109"/>
      <c r="U1838" s="109" t="s">
        <v>30</v>
      </c>
      <c r="V1838" s="102"/>
      <c r="W1838" s="109"/>
      <c r="X1838" s="109"/>
      <c r="Y1838" s="110" t="s">
        <v>303</v>
      </c>
    </row>
    <row r="1839" spans="1:25" s="111" customFormat="1" x14ac:dyDescent="0.2">
      <c r="A1839" s="101">
        <v>46263</v>
      </c>
      <c r="B1839" s="91" t="s">
        <v>2131</v>
      </c>
      <c r="C1839" s="102" t="s">
        <v>2132</v>
      </c>
      <c r="D1839" s="103" t="s">
        <v>26</v>
      </c>
      <c r="E1839" s="91" t="s">
        <v>2133</v>
      </c>
      <c r="F1839" s="91" t="s">
        <v>2134</v>
      </c>
      <c r="G1839" s="91" t="s">
        <v>2135</v>
      </c>
      <c r="H1839" s="104" t="str">
        <f t="shared" si="108"/>
        <v>C5100J20</v>
      </c>
      <c r="I1839" s="104"/>
      <c r="J1839" s="106">
        <v>1.2</v>
      </c>
      <c r="K1839" s="106"/>
      <c r="L1839" s="106">
        <v>0</v>
      </c>
      <c r="M1839" s="106">
        <f t="shared" si="109"/>
        <v>0</v>
      </c>
      <c r="N1839" s="106">
        <v>96</v>
      </c>
      <c r="O1839" s="106">
        <v>115.2</v>
      </c>
      <c r="P1839" s="107">
        <v>25930</v>
      </c>
      <c r="Q1839" s="107">
        <v>2987136</v>
      </c>
      <c r="R1839" s="102"/>
      <c r="S1839" s="108"/>
      <c r="T1839" s="109"/>
      <c r="U1839" s="109" t="s">
        <v>30</v>
      </c>
      <c r="V1839" s="102"/>
      <c r="W1839" s="109"/>
      <c r="X1839" s="109"/>
      <c r="Y1839" s="110" t="s">
        <v>303</v>
      </c>
    </row>
    <row r="1840" spans="1:25" s="111" customFormat="1" x14ac:dyDescent="0.2">
      <c r="A1840" s="101">
        <v>46263</v>
      </c>
      <c r="B1840" s="91" t="s">
        <v>2131</v>
      </c>
      <c r="C1840" s="102" t="s">
        <v>2132</v>
      </c>
      <c r="D1840" s="103" t="s">
        <v>26</v>
      </c>
      <c r="E1840" s="91" t="s">
        <v>2133</v>
      </c>
      <c r="F1840" s="91" t="s">
        <v>2104</v>
      </c>
      <c r="G1840" s="91" t="s">
        <v>2105</v>
      </c>
      <c r="H1840" s="104" t="str">
        <f t="shared" si="108"/>
        <v>C5820J20</v>
      </c>
      <c r="I1840" s="104"/>
      <c r="J1840" s="106">
        <v>1.2</v>
      </c>
      <c r="K1840" s="106"/>
      <c r="L1840" s="106">
        <v>0</v>
      </c>
      <c r="M1840" s="106">
        <f t="shared" si="109"/>
        <v>0</v>
      </c>
      <c r="N1840" s="106">
        <v>96</v>
      </c>
      <c r="O1840" s="106">
        <v>115.2</v>
      </c>
      <c r="P1840" s="107">
        <v>25930</v>
      </c>
      <c r="Q1840" s="107">
        <v>2987136</v>
      </c>
      <c r="R1840" s="102"/>
      <c r="S1840" s="108"/>
      <c r="T1840" s="109"/>
      <c r="U1840" s="109" t="s">
        <v>30</v>
      </c>
      <c r="V1840" s="102"/>
      <c r="W1840" s="109"/>
      <c r="X1840" s="109"/>
      <c r="Y1840" s="110" t="s">
        <v>303</v>
      </c>
    </row>
    <row r="1841" spans="1:25" s="111" customFormat="1" x14ac:dyDescent="0.2">
      <c r="A1841" s="101">
        <v>46263</v>
      </c>
      <c r="B1841" s="91" t="s">
        <v>2131</v>
      </c>
      <c r="C1841" s="102" t="s">
        <v>2132</v>
      </c>
      <c r="D1841" s="103" t="s">
        <v>26</v>
      </c>
      <c r="E1841" s="91" t="s">
        <v>2133</v>
      </c>
      <c r="F1841" s="91" t="s">
        <v>843</v>
      </c>
      <c r="G1841" s="91" t="s">
        <v>844</v>
      </c>
      <c r="H1841" s="104" t="str">
        <f t="shared" si="108"/>
        <v>C6046J20</v>
      </c>
      <c r="I1841" s="104"/>
      <c r="J1841" s="106">
        <v>0.88</v>
      </c>
      <c r="K1841" s="106"/>
      <c r="L1841" s="106">
        <v>0</v>
      </c>
      <c r="M1841" s="106">
        <f t="shared" si="109"/>
        <v>0</v>
      </c>
      <c r="N1841" s="106">
        <v>95.45</v>
      </c>
      <c r="O1841" s="106">
        <v>84</v>
      </c>
      <c r="P1841" s="107">
        <v>25930</v>
      </c>
      <c r="Q1841" s="107">
        <v>2178120</v>
      </c>
      <c r="R1841" s="102"/>
      <c r="S1841" s="108"/>
      <c r="T1841" s="109"/>
      <c r="U1841" s="109" t="s">
        <v>30</v>
      </c>
      <c r="V1841" s="102"/>
      <c r="W1841" s="109"/>
      <c r="X1841" s="109"/>
      <c r="Y1841" s="110" t="s">
        <v>303</v>
      </c>
    </row>
    <row r="1842" spans="1:25" s="111" customFormat="1" x14ac:dyDescent="0.2">
      <c r="A1842" s="101">
        <v>46263</v>
      </c>
      <c r="B1842" s="91" t="s">
        <v>2131</v>
      </c>
      <c r="C1842" s="102" t="s">
        <v>2132</v>
      </c>
      <c r="D1842" s="103" t="s">
        <v>26</v>
      </c>
      <c r="E1842" s="91" t="s">
        <v>2133</v>
      </c>
      <c r="F1842" s="91" t="s">
        <v>843</v>
      </c>
      <c r="G1842" s="91" t="s">
        <v>844</v>
      </c>
      <c r="H1842" s="104" t="str">
        <f t="shared" si="108"/>
        <v>C6046J20</v>
      </c>
      <c r="I1842" s="104"/>
      <c r="J1842" s="106">
        <v>0.88</v>
      </c>
      <c r="K1842" s="106"/>
      <c r="L1842" s="106">
        <v>0</v>
      </c>
      <c r="M1842" s="106">
        <f t="shared" si="109"/>
        <v>0</v>
      </c>
      <c r="N1842" s="106">
        <v>95.45</v>
      </c>
      <c r="O1842" s="106">
        <v>84</v>
      </c>
      <c r="P1842" s="107">
        <v>25930</v>
      </c>
      <c r="Q1842" s="107">
        <v>2178120</v>
      </c>
      <c r="R1842" s="102"/>
      <c r="S1842" s="108"/>
      <c r="T1842" s="109"/>
      <c r="U1842" s="109" t="s">
        <v>30</v>
      </c>
      <c r="V1842" s="102"/>
      <c r="W1842" s="109"/>
      <c r="X1842" s="109"/>
      <c r="Y1842" s="110" t="s">
        <v>303</v>
      </c>
    </row>
    <row r="1843" spans="1:25" s="111" customFormat="1" x14ac:dyDescent="0.2">
      <c r="A1843" s="101">
        <v>46263</v>
      </c>
      <c r="B1843" s="91" t="s">
        <v>2131</v>
      </c>
      <c r="C1843" s="102" t="s">
        <v>2132</v>
      </c>
      <c r="D1843" s="103" t="s">
        <v>26</v>
      </c>
      <c r="E1843" s="91" t="s">
        <v>2133</v>
      </c>
      <c r="F1843" s="91" t="s">
        <v>301</v>
      </c>
      <c r="G1843" s="91" t="s">
        <v>302</v>
      </c>
      <c r="H1843" s="104" t="str">
        <f t="shared" si="108"/>
        <v>F5105J20</v>
      </c>
      <c r="I1843" s="104"/>
      <c r="J1843" s="106">
        <v>1.18</v>
      </c>
      <c r="K1843" s="106"/>
      <c r="L1843" s="106">
        <v>0</v>
      </c>
      <c r="M1843" s="106">
        <f t="shared" si="109"/>
        <v>0</v>
      </c>
      <c r="N1843" s="106">
        <v>130.51</v>
      </c>
      <c r="O1843" s="106">
        <v>154</v>
      </c>
      <c r="P1843" s="107">
        <v>25930</v>
      </c>
      <c r="Q1843" s="107">
        <v>3993220</v>
      </c>
      <c r="R1843" s="102"/>
      <c r="S1843" s="108"/>
      <c r="T1843" s="109"/>
      <c r="U1843" s="109" t="s">
        <v>30</v>
      </c>
      <c r="V1843" s="102"/>
      <c r="W1843" s="109"/>
      <c r="X1843" s="109"/>
      <c r="Y1843" s="110" t="s">
        <v>303</v>
      </c>
    </row>
    <row r="1844" spans="1:25" s="111" customFormat="1" x14ac:dyDescent="0.2">
      <c r="A1844" s="101">
        <v>46263</v>
      </c>
      <c r="B1844" s="91" t="s">
        <v>2131</v>
      </c>
      <c r="C1844" s="102" t="s">
        <v>2132</v>
      </c>
      <c r="D1844" s="103" t="s">
        <v>26</v>
      </c>
      <c r="E1844" s="91" t="s">
        <v>2133</v>
      </c>
      <c r="F1844" s="91" t="s">
        <v>1251</v>
      </c>
      <c r="G1844" s="91" t="s">
        <v>1252</v>
      </c>
      <c r="H1844" s="104" t="str">
        <f t="shared" si="108"/>
        <v>F5132J20</v>
      </c>
      <c r="I1844" s="104"/>
      <c r="J1844" s="106">
        <v>1.2</v>
      </c>
      <c r="K1844" s="106"/>
      <c r="L1844" s="106">
        <v>0</v>
      </c>
      <c r="M1844" s="106">
        <f t="shared" si="109"/>
        <v>0</v>
      </c>
      <c r="N1844" s="106">
        <v>131</v>
      </c>
      <c r="O1844" s="106">
        <v>157.19999999999999</v>
      </c>
      <c r="P1844" s="107">
        <v>25930</v>
      </c>
      <c r="Q1844" s="107">
        <v>4076196</v>
      </c>
      <c r="R1844" s="102"/>
      <c r="S1844" s="108"/>
      <c r="T1844" s="109"/>
      <c r="U1844" s="109" t="s">
        <v>30</v>
      </c>
      <c r="V1844" s="102"/>
      <c r="W1844" s="109"/>
      <c r="X1844" s="109"/>
      <c r="Y1844" s="110" t="s">
        <v>303</v>
      </c>
    </row>
    <row r="1845" spans="1:25" s="111" customFormat="1" x14ac:dyDescent="0.2">
      <c r="A1845" s="101">
        <v>46263</v>
      </c>
      <c r="B1845" s="91" t="s">
        <v>2131</v>
      </c>
      <c r="C1845" s="102" t="s">
        <v>2132</v>
      </c>
      <c r="D1845" s="103" t="s">
        <v>26</v>
      </c>
      <c r="E1845" s="91" t="s">
        <v>2133</v>
      </c>
      <c r="F1845" s="91" t="s">
        <v>1388</v>
      </c>
      <c r="G1845" s="91" t="s">
        <v>1389</v>
      </c>
      <c r="H1845" s="104" t="str">
        <f t="shared" si="108"/>
        <v>F5132J20</v>
      </c>
      <c r="I1845" s="104"/>
      <c r="J1845" s="106">
        <v>0.88</v>
      </c>
      <c r="K1845" s="106"/>
      <c r="L1845" s="106">
        <v>0</v>
      </c>
      <c r="M1845" s="106">
        <f t="shared" si="109"/>
        <v>0</v>
      </c>
      <c r="N1845" s="106">
        <v>131.25</v>
      </c>
      <c r="O1845" s="106">
        <v>115.5</v>
      </c>
      <c r="P1845" s="107">
        <v>25930</v>
      </c>
      <c r="Q1845" s="107">
        <v>2994915</v>
      </c>
      <c r="R1845" s="102"/>
      <c r="S1845" s="108"/>
      <c r="T1845" s="109"/>
      <c r="U1845" s="109" t="s">
        <v>30</v>
      </c>
      <c r="V1845" s="102"/>
      <c r="W1845" s="109"/>
      <c r="X1845" s="109"/>
      <c r="Y1845" s="110" t="s">
        <v>303</v>
      </c>
    </row>
    <row r="1846" spans="1:25" s="111" customFormat="1" x14ac:dyDescent="0.2">
      <c r="A1846" s="101">
        <v>46263</v>
      </c>
      <c r="B1846" s="91" t="s">
        <v>2131</v>
      </c>
      <c r="C1846" s="102" t="s">
        <v>2132</v>
      </c>
      <c r="D1846" s="103" t="s">
        <v>26</v>
      </c>
      <c r="E1846" s="91" t="s">
        <v>2133</v>
      </c>
      <c r="F1846" s="91" t="s">
        <v>718</v>
      </c>
      <c r="G1846" s="91" t="s">
        <v>719</v>
      </c>
      <c r="H1846" s="104" t="str">
        <f t="shared" si="108"/>
        <v>F5140J20</v>
      </c>
      <c r="I1846" s="104"/>
      <c r="J1846" s="106">
        <v>1.88</v>
      </c>
      <c r="K1846" s="106"/>
      <c r="L1846" s="106">
        <v>0</v>
      </c>
      <c r="M1846" s="106">
        <f t="shared" si="109"/>
        <v>0</v>
      </c>
      <c r="N1846" s="106">
        <v>94.47</v>
      </c>
      <c r="O1846" s="106">
        <v>177.6</v>
      </c>
      <c r="P1846" s="107">
        <v>25930</v>
      </c>
      <c r="Q1846" s="107">
        <v>4605168</v>
      </c>
      <c r="R1846" s="102"/>
      <c r="S1846" s="108"/>
      <c r="T1846" s="109"/>
      <c r="U1846" s="109" t="s">
        <v>30</v>
      </c>
      <c r="V1846" s="102"/>
      <c r="W1846" s="109"/>
      <c r="X1846" s="109"/>
      <c r="Y1846" s="110" t="s">
        <v>303</v>
      </c>
    </row>
    <row r="1847" spans="1:25" s="111" customFormat="1" x14ac:dyDescent="0.2">
      <c r="A1847" s="101">
        <v>46263</v>
      </c>
      <c r="B1847" s="91" t="s">
        <v>2131</v>
      </c>
      <c r="C1847" s="102" t="s">
        <v>2132</v>
      </c>
      <c r="D1847" s="103" t="s">
        <v>26</v>
      </c>
      <c r="E1847" s="91" t="s">
        <v>2133</v>
      </c>
      <c r="F1847" s="91" t="s">
        <v>2136</v>
      </c>
      <c r="G1847" s="91" t="s">
        <v>2137</v>
      </c>
      <c r="H1847" s="104" t="str">
        <f t="shared" si="108"/>
        <v>C4023J20</v>
      </c>
      <c r="I1847" s="104"/>
      <c r="J1847" s="106">
        <v>0.88</v>
      </c>
      <c r="K1847" s="106"/>
      <c r="L1847" s="106">
        <v>0</v>
      </c>
      <c r="M1847" s="106">
        <f t="shared" si="109"/>
        <v>0</v>
      </c>
      <c r="N1847" s="106">
        <v>107.39</v>
      </c>
      <c r="O1847" s="106">
        <v>94.5</v>
      </c>
      <c r="P1847" s="107">
        <v>25930</v>
      </c>
      <c r="Q1847" s="107">
        <v>2450385</v>
      </c>
      <c r="R1847" s="102"/>
      <c r="S1847" s="108"/>
      <c r="T1847" s="109"/>
      <c r="U1847" s="109" t="s">
        <v>30</v>
      </c>
      <c r="V1847" s="102"/>
      <c r="W1847" s="109"/>
      <c r="X1847" s="109"/>
      <c r="Y1847" s="110" t="s">
        <v>303</v>
      </c>
    </row>
    <row r="1848" spans="1:25" s="111" customFormat="1" x14ac:dyDescent="0.2">
      <c r="A1848" s="101">
        <v>46263</v>
      </c>
      <c r="B1848" s="91" t="s">
        <v>2131</v>
      </c>
      <c r="C1848" s="102" t="s">
        <v>2132</v>
      </c>
      <c r="D1848" s="103" t="s">
        <v>26</v>
      </c>
      <c r="E1848" s="91" t="s">
        <v>2133</v>
      </c>
      <c r="F1848" s="91" t="s">
        <v>2112</v>
      </c>
      <c r="G1848" s="91" t="s">
        <v>2113</v>
      </c>
      <c r="H1848" s="104" t="str">
        <f t="shared" si="108"/>
        <v>F5144J20</v>
      </c>
      <c r="I1848" s="104"/>
      <c r="J1848" s="106">
        <v>1.2</v>
      </c>
      <c r="K1848" s="106"/>
      <c r="L1848" s="106">
        <v>0</v>
      </c>
      <c r="M1848" s="106">
        <f t="shared" si="109"/>
        <v>0</v>
      </c>
      <c r="N1848" s="106">
        <v>101</v>
      </c>
      <c r="O1848" s="106">
        <v>121.2</v>
      </c>
      <c r="P1848" s="107">
        <v>25930</v>
      </c>
      <c r="Q1848" s="107">
        <v>3142716</v>
      </c>
      <c r="R1848" s="102"/>
      <c r="S1848" s="108"/>
      <c r="T1848" s="109"/>
      <c r="U1848" s="109" t="s">
        <v>30</v>
      </c>
      <c r="V1848" s="102"/>
      <c r="W1848" s="109"/>
      <c r="X1848" s="109"/>
      <c r="Y1848" s="110" t="s">
        <v>303</v>
      </c>
    </row>
    <row r="1849" spans="1:25" s="111" customFormat="1" x14ac:dyDescent="0.2">
      <c r="A1849" s="101">
        <v>46263</v>
      </c>
      <c r="B1849" s="91" t="s">
        <v>2131</v>
      </c>
      <c r="C1849" s="102" t="s">
        <v>2132</v>
      </c>
      <c r="D1849" s="103" t="s">
        <v>26</v>
      </c>
      <c r="E1849" s="91" t="s">
        <v>2133</v>
      </c>
      <c r="F1849" s="91" t="s">
        <v>1222</v>
      </c>
      <c r="G1849" s="91" t="s">
        <v>1223</v>
      </c>
      <c r="H1849" s="104" t="str">
        <f t="shared" si="108"/>
        <v>F5132J20</v>
      </c>
      <c r="I1849" s="104"/>
      <c r="J1849" s="106">
        <v>1.88</v>
      </c>
      <c r="K1849" s="106"/>
      <c r="L1849" s="106">
        <v>0</v>
      </c>
      <c r="M1849" s="106">
        <f t="shared" si="109"/>
        <v>0</v>
      </c>
      <c r="N1849" s="106">
        <v>130.53</v>
      </c>
      <c r="O1849" s="106">
        <v>245.4</v>
      </c>
      <c r="P1849" s="107">
        <v>25930</v>
      </c>
      <c r="Q1849" s="107">
        <v>6363222</v>
      </c>
      <c r="R1849" s="102"/>
      <c r="S1849" s="108"/>
      <c r="T1849" s="109"/>
      <c r="U1849" s="109" t="s">
        <v>30</v>
      </c>
      <c r="V1849" s="102"/>
      <c r="W1849" s="109"/>
      <c r="X1849" s="109"/>
      <c r="Y1849" s="110" t="s">
        <v>303</v>
      </c>
    </row>
    <row r="1850" spans="1:25" s="111" customFormat="1" x14ac:dyDescent="0.2">
      <c r="A1850" s="101">
        <v>46263</v>
      </c>
      <c r="B1850" s="91" t="s">
        <v>2131</v>
      </c>
      <c r="C1850" s="102" t="s">
        <v>2132</v>
      </c>
      <c r="D1850" s="103" t="s">
        <v>26</v>
      </c>
      <c r="E1850" s="91" t="s">
        <v>2133</v>
      </c>
      <c r="F1850" s="91" t="s">
        <v>108</v>
      </c>
      <c r="G1850" s="91" t="s">
        <v>109</v>
      </c>
      <c r="H1850" s="104" t="str">
        <f t="shared" si="108"/>
        <v>C4011J20</v>
      </c>
      <c r="I1850" s="104"/>
      <c r="J1850" s="106">
        <v>152.46</v>
      </c>
      <c r="K1850" s="106"/>
      <c r="L1850" s="106">
        <v>0</v>
      </c>
      <c r="M1850" s="106">
        <f t="shared" si="109"/>
        <v>0</v>
      </c>
      <c r="N1850" s="106">
        <v>59.9</v>
      </c>
      <c r="O1850" s="106">
        <v>9132.2099999999991</v>
      </c>
      <c r="P1850" s="107">
        <v>25930</v>
      </c>
      <c r="Q1850" s="107">
        <v>236798205</v>
      </c>
      <c r="R1850" s="102" t="s">
        <v>30</v>
      </c>
      <c r="S1850" s="108"/>
      <c r="T1850" s="109"/>
      <c r="U1850" s="109"/>
      <c r="V1850" s="102"/>
      <c r="W1850" s="109"/>
      <c r="X1850" s="109"/>
      <c r="Y1850" s="110" t="s">
        <v>303</v>
      </c>
    </row>
    <row r="1851" spans="1:25" s="111" customFormat="1" x14ac:dyDescent="0.2">
      <c r="A1851" s="101">
        <v>46263</v>
      </c>
      <c r="B1851" s="91" t="s">
        <v>2131</v>
      </c>
      <c r="C1851" s="102" t="s">
        <v>2132</v>
      </c>
      <c r="D1851" s="103" t="s">
        <v>26</v>
      </c>
      <c r="E1851" s="91" t="s">
        <v>2133</v>
      </c>
      <c r="F1851" s="91" t="s">
        <v>2138</v>
      </c>
      <c r="G1851" s="91" t="s">
        <v>109</v>
      </c>
      <c r="H1851" s="104" t="str">
        <f t="shared" si="108"/>
        <v>C4011J20</v>
      </c>
      <c r="I1851" s="104"/>
      <c r="J1851" s="106">
        <v>16.34</v>
      </c>
      <c r="K1851" s="106"/>
      <c r="L1851" s="106">
        <v>0</v>
      </c>
      <c r="M1851" s="106">
        <f t="shared" si="109"/>
        <v>0</v>
      </c>
      <c r="N1851" s="106">
        <v>59.9</v>
      </c>
      <c r="O1851" s="106">
        <v>978.75</v>
      </c>
      <c r="P1851" s="107">
        <v>25930</v>
      </c>
      <c r="Q1851" s="107">
        <v>25378988</v>
      </c>
      <c r="R1851" s="102" t="s">
        <v>30</v>
      </c>
      <c r="S1851" s="108"/>
      <c r="T1851" s="109"/>
      <c r="U1851" s="109"/>
      <c r="V1851" s="102"/>
      <c r="W1851" s="109"/>
      <c r="X1851" s="109"/>
      <c r="Y1851" s="110" t="s">
        <v>303</v>
      </c>
    </row>
    <row r="1852" spans="1:25" s="111" customFormat="1" x14ac:dyDescent="0.2">
      <c r="A1852" s="101">
        <v>46263</v>
      </c>
      <c r="B1852" s="91" t="s">
        <v>2131</v>
      </c>
      <c r="C1852" s="102" t="s">
        <v>2132</v>
      </c>
      <c r="D1852" s="103" t="s">
        <v>26</v>
      </c>
      <c r="E1852" s="91" t="s">
        <v>2133</v>
      </c>
      <c r="F1852" s="91" t="s">
        <v>257</v>
      </c>
      <c r="G1852" s="91" t="s">
        <v>258</v>
      </c>
      <c r="H1852" s="104" t="str">
        <f t="shared" si="108"/>
        <v>C4033J20</v>
      </c>
      <c r="I1852" s="104"/>
      <c r="J1852" s="106">
        <v>54.45</v>
      </c>
      <c r="K1852" s="106"/>
      <c r="L1852" s="106">
        <v>0</v>
      </c>
      <c r="M1852" s="106">
        <f t="shared" si="109"/>
        <v>0</v>
      </c>
      <c r="N1852" s="106">
        <v>59.9</v>
      </c>
      <c r="O1852" s="106">
        <v>3261.6</v>
      </c>
      <c r="P1852" s="107">
        <v>25930</v>
      </c>
      <c r="Q1852" s="107">
        <v>84573288</v>
      </c>
      <c r="R1852" s="102" t="s">
        <v>30</v>
      </c>
      <c r="S1852" s="108"/>
      <c r="T1852" s="109"/>
      <c r="U1852" s="109"/>
      <c r="V1852" s="102"/>
      <c r="W1852" s="109"/>
      <c r="X1852" s="109"/>
      <c r="Y1852" s="110" t="s">
        <v>303</v>
      </c>
    </row>
    <row r="1853" spans="1:25" s="111" customFormat="1" x14ac:dyDescent="0.2">
      <c r="A1853" s="101">
        <v>46263</v>
      </c>
      <c r="B1853" s="91" t="s">
        <v>2131</v>
      </c>
      <c r="C1853" s="102" t="s">
        <v>2132</v>
      </c>
      <c r="D1853" s="103" t="s">
        <v>26</v>
      </c>
      <c r="E1853" s="91" t="s">
        <v>2133</v>
      </c>
      <c r="F1853" s="91" t="s">
        <v>771</v>
      </c>
      <c r="G1853" s="91" t="s">
        <v>563</v>
      </c>
      <c r="H1853" s="104" t="str">
        <f t="shared" si="108"/>
        <v>F5441J20</v>
      </c>
      <c r="I1853" s="104"/>
      <c r="J1853" s="106">
        <v>70.790000000000006</v>
      </c>
      <c r="K1853" s="106"/>
      <c r="L1853" s="106">
        <v>0</v>
      </c>
      <c r="M1853" s="106">
        <f t="shared" si="109"/>
        <v>0</v>
      </c>
      <c r="N1853" s="106">
        <v>77.7</v>
      </c>
      <c r="O1853" s="106">
        <v>5500.29</v>
      </c>
      <c r="P1853" s="107">
        <v>25930</v>
      </c>
      <c r="Q1853" s="107">
        <v>142622520</v>
      </c>
      <c r="R1853" s="102" t="s">
        <v>30</v>
      </c>
      <c r="S1853" s="108"/>
      <c r="T1853" s="109"/>
      <c r="U1853" s="109"/>
      <c r="V1853" s="102"/>
      <c r="W1853" s="109"/>
      <c r="X1853" s="109"/>
      <c r="Y1853" s="110" t="s">
        <v>303</v>
      </c>
    </row>
    <row r="1854" spans="1:25" s="111" customFormat="1" x14ac:dyDescent="0.2">
      <c r="A1854" s="101">
        <v>46263</v>
      </c>
      <c r="B1854" s="91" t="s">
        <v>2131</v>
      </c>
      <c r="C1854" s="102" t="s">
        <v>2132</v>
      </c>
      <c r="D1854" s="103" t="s">
        <v>26</v>
      </c>
      <c r="E1854" s="91" t="s">
        <v>2133</v>
      </c>
      <c r="F1854" s="91" t="s">
        <v>889</v>
      </c>
      <c r="G1854" s="91" t="s">
        <v>563</v>
      </c>
      <c r="H1854" s="104" t="str">
        <f t="shared" si="108"/>
        <v>F5441J20</v>
      </c>
      <c r="I1854" s="104"/>
      <c r="J1854" s="106">
        <v>130.68</v>
      </c>
      <c r="K1854" s="106"/>
      <c r="L1854" s="106">
        <v>0</v>
      </c>
      <c r="M1854" s="106">
        <f t="shared" si="109"/>
        <v>0</v>
      </c>
      <c r="N1854" s="106">
        <v>77.7</v>
      </c>
      <c r="O1854" s="106">
        <v>10153.67</v>
      </c>
      <c r="P1854" s="107">
        <v>25930</v>
      </c>
      <c r="Q1854" s="107">
        <v>263284663</v>
      </c>
      <c r="R1854" s="102" t="s">
        <v>30</v>
      </c>
      <c r="S1854" s="108"/>
      <c r="T1854" s="109"/>
      <c r="U1854" s="109"/>
      <c r="V1854" s="102"/>
      <c r="W1854" s="109"/>
      <c r="X1854" s="109"/>
      <c r="Y1854" s="110" t="s">
        <v>303</v>
      </c>
    </row>
    <row r="1855" spans="1:25" s="111" customFormat="1" x14ac:dyDescent="0.2">
      <c r="A1855" s="101">
        <v>46263</v>
      </c>
      <c r="B1855" s="91" t="s">
        <v>2131</v>
      </c>
      <c r="C1855" s="102" t="s">
        <v>2132</v>
      </c>
      <c r="D1855" s="103" t="s">
        <v>26</v>
      </c>
      <c r="E1855" s="91" t="s">
        <v>2133</v>
      </c>
      <c r="F1855" s="91" t="s">
        <v>887</v>
      </c>
      <c r="G1855" s="91" t="s">
        <v>888</v>
      </c>
      <c r="H1855" s="104" t="str">
        <f t="shared" si="108"/>
        <v>F5444J20</v>
      </c>
      <c r="I1855" s="104"/>
      <c r="J1855" s="106">
        <v>54.45</v>
      </c>
      <c r="K1855" s="106"/>
      <c r="L1855" s="106">
        <v>0</v>
      </c>
      <c r="M1855" s="106">
        <f t="shared" si="109"/>
        <v>0</v>
      </c>
      <c r="N1855" s="106">
        <v>77.7</v>
      </c>
      <c r="O1855" s="106">
        <v>4230.8</v>
      </c>
      <c r="P1855" s="107">
        <v>25930</v>
      </c>
      <c r="Q1855" s="107">
        <v>109704644</v>
      </c>
      <c r="R1855" s="102" t="s">
        <v>30</v>
      </c>
      <c r="S1855" s="108"/>
      <c r="T1855" s="109"/>
      <c r="U1855" s="109"/>
      <c r="V1855" s="102"/>
      <c r="W1855" s="109"/>
      <c r="X1855" s="109"/>
      <c r="Y1855" s="110" t="s">
        <v>303</v>
      </c>
    </row>
    <row r="1856" spans="1:25" s="111" customFormat="1" x14ac:dyDescent="0.2">
      <c r="A1856" s="101">
        <v>46263</v>
      </c>
      <c r="B1856" s="91" t="s">
        <v>2139</v>
      </c>
      <c r="C1856" s="102" t="s">
        <v>2140</v>
      </c>
      <c r="D1856" s="103" t="s">
        <v>26</v>
      </c>
      <c r="E1856" s="91" t="s">
        <v>2141</v>
      </c>
      <c r="F1856" s="91" t="s">
        <v>110</v>
      </c>
      <c r="G1856" s="91" t="s">
        <v>111</v>
      </c>
      <c r="H1856" s="104" t="str">
        <f t="shared" si="108"/>
        <v>C4023J20</v>
      </c>
      <c r="I1856" s="104"/>
      <c r="J1856" s="106">
        <v>108.9</v>
      </c>
      <c r="K1856" s="106"/>
      <c r="L1856" s="106">
        <v>0</v>
      </c>
      <c r="M1856" s="106">
        <f t="shared" si="109"/>
        <v>0</v>
      </c>
      <c r="N1856" s="106">
        <v>59.9</v>
      </c>
      <c r="O1856" s="106">
        <v>6523.2</v>
      </c>
      <c r="P1856" s="107">
        <v>25930</v>
      </c>
      <c r="Q1856" s="107">
        <v>169146576</v>
      </c>
      <c r="R1856" s="102" t="s">
        <v>30</v>
      </c>
      <c r="S1856" s="108"/>
      <c r="T1856" s="109"/>
      <c r="U1856" s="109"/>
      <c r="V1856" s="102"/>
      <c r="W1856" s="109"/>
      <c r="X1856" s="109"/>
      <c r="Y1856" s="110" t="s">
        <v>303</v>
      </c>
    </row>
    <row r="1857" spans="1:25" s="111" customFormat="1" x14ac:dyDescent="0.2">
      <c r="A1857" s="101">
        <v>46263</v>
      </c>
      <c r="B1857" s="91" t="s">
        <v>2139</v>
      </c>
      <c r="C1857" s="102" t="s">
        <v>2140</v>
      </c>
      <c r="D1857" s="103" t="s">
        <v>26</v>
      </c>
      <c r="E1857" s="91" t="s">
        <v>2141</v>
      </c>
      <c r="F1857" s="91" t="s">
        <v>122</v>
      </c>
      <c r="G1857" s="91" t="s">
        <v>123</v>
      </c>
      <c r="H1857" s="104" t="str">
        <f t="shared" si="108"/>
        <v>C5100J20</v>
      </c>
      <c r="I1857" s="104"/>
      <c r="J1857" s="106">
        <v>152.46</v>
      </c>
      <c r="K1857" s="106"/>
      <c r="L1857" s="106">
        <v>0</v>
      </c>
      <c r="M1857" s="106">
        <f t="shared" si="109"/>
        <v>0</v>
      </c>
      <c r="N1857" s="106">
        <v>62</v>
      </c>
      <c r="O1857" s="106">
        <v>9452.52</v>
      </c>
      <c r="P1857" s="107">
        <v>25930</v>
      </c>
      <c r="Q1857" s="107">
        <v>245103844</v>
      </c>
      <c r="R1857" s="102" t="s">
        <v>30</v>
      </c>
      <c r="S1857" s="108"/>
      <c r="T1857" s="109"/>
      <c r="U1857" s="109"/>
      <c r="V1857" s="102"/>
      <c r="W1857" s="109"/>
      <c r="X1857" s="109"/>
      <c r="Y1857" s="110" t="s">
        <v>303</v>
      </c>
    </row>
    <row r="1858" spans="1:25" s="111" customFormat="1" x14ac:dyDescent="0.2">
      <c r="A1858" s="101">
        <v>46263</v>
      </c>
      <c r="B1858" s="91" t="s">
        <v>2139</v>
      </c>
      <c r="C1858" s="102" t="s">
        <v>2140</v>
      </c>
      <c r="D1858" s="103" t="s">
        <v>26</v>
      </c>
      <c r="E1858" s="91" t="s">
        <v>2141</v>
      </c>
      <c r="F1858" s="91" t="s">
        <v>768</v>
      </c>
      <c r="G1858" s="91" t="s">
        <v>769</v>
      </c>
      <c r="H1858" s="104" t="str">
        <f t="shared" si="108"/>
        <v>F5113J20</v>
      </c>
      <c r="I1858" s="104"/>
      <c r="J1858" s="106">
        <v>5.45</v>
      </c>
      <c r="K1858" s="106"/>
      <c r="L1858" s="106">
        <v>0</v>
      </c>
      <c r="M1858" s="106">
        <f t="shared" si="109"/>
        <v>0</v>
      </c>
      <c r="N1858" s="106">
        <v>65.099999999999994</v>
      </c>
      <c r="O1858" s="106">
        <v>354.8</v>
      </c>
      <c r="P1858" s="107">
        <v>25930</v>
      </c>
      <c r="Q1858" s="107">
        <v>9199964</v>
      </c>
      <c r="R1858" s="102" t="s">
        <v>30</v>
      </c>
      <c r="S1858" s="108"/>
      <c r="T1858" s="109"/>
      <c r="U1858" s="109"/>
      <c r="V1858" s="102"/>
      <c r="W1858" s="109"/>
      <c r="X1858" s="109"/>
      <c r="Y1858" s="110" t="s">
        <v>303</v>
      </c>
    </row>
    <row r="1859" spans="1:25" s="111" customFormat="1" x14ac:dyDescent="0.2">
      <c r="A1859" s="101">
        <v>46263</v>
      </c>
      <c r="B1859" s="91" t="s">
        <v>2139</v>
      </c>
      <c r="C1859" s="102" t="s">
        <v>2140</v>
      </c>
      <c r="D1859" s="103" t="s">
        <v>26</v>
      </c>
      <c r="E1859" s="91" t="s">
        <v>2141</v>
      </c>
      <c r="F1859" s="91" t="s">
        <v>770</v>
      </c>
      <c r="G1859" s="91" t="s">
        <v>769</v>
      </c>
      <c r="H1859" s="104" t="str">
        <f t="shared" si="108"/>
        <v>F5113J20</v>
      </c>
      <c r="I1859" s="104"/>
      <c r="J1859" s="106">
        <v>49</v>
      </c>
      <c r="K1859" s="106"/>
      <c r="L1859" s="106">
        <v>0</v>
      </c>
      <c r="M1859" s="106">
        <f t="shared" si="109"/>
        <v>0</v>
      </c>
      <c r="N1859" s="106">
        <v>65.099999999999994</v>
      </c>
      <c r="O1859" s="106">
        <v>3189.9</v>
      </c>
      <c r="P1859" s="107">
        <v>25930</v>
      </c>
      <c r="Q1859" s="107">
        <v>82714107</v>
      </c>
      <c r="R1859" s="102" t="s">
        <v>30</v>
      </c>
      <c r="S1859" s="108"/>
      <c r="T1859" s="109"/>
      <c r="U1859" s="109"/>
      <c r="V1859" s="102"/>
      <c r="W1859" s="109"/>
      <c r="X1859" s="109"/>
      <c r="Y1859" s="110" t="s">
        <v>303</v>
      </c>
    </row>
    <row r="1860" spans="1:25" s="111" customFormat="1" x14ac:dyDescent="0.2">
      <c r="A1860" s="101">
        <v>46263</v>
      </c>
      <c r="B1860" s="91" t="s">
        <v>2139</v>
      </c>
      <c r="C1860" s="102" t="s">
        <v>2140</v>
      </c>
      <c r="D1860" s="103" t="s">
        <v>26</v>
      </c>
      <c r="E1860" s="91" t="s">
        <v>2141</v>
      </c>
      <c r="F1860" s="91" t="s">
        <v>887</v>
      </c>
      <c r="G1860" s="91" t="s">
        <v>888</v>
      </c>
      <c r="H1860" s="104" t="str">
        <f t="shared" si="108"/>
        <v>F5444J20</v>
      </c>
      <c r="I1860" s="104"/>
      <c r="J1860" s="106">
        <v>92.56</v>
      </c>
      <c r="K1860" s="106"/>
      <c r="L1860" s="106">
        <v>0</v>
      </c>
      <c r="M1860" s="106">
        <f t="shared" ref="M1860:M1886" si="110">L1860-K1860</f>
        <v>0</v>
      </c>
      <c r="N1860" s="106">
        <v>77.7</v>
      </c>
      <c r="O1860" s="106">
        <v>7191.97</v>
      </c>
      <c r="P1860" s="107">
        <v>25930</v>
      </c>
      <c r="Q1860" s="107">
        <v>186487782</v>
      </c>
      <c r="R1860" s="102" t="s">
        <v>30</v>
      </c>
      <c r="S1860" s="108"/>
      <c r="T1860" s="109"/>
      <c r="U1860" s="109"/>
      <c r="V1860" s="102"/>
      <c r="W1860" s="109"/>
      <c r="X1860" s="109"/>
      <c r="Y1860" s="110" t="s">
        <v>303</v>
      </c>
    </row>
    <row r="1861" spans="1:25" s="111" customFormat="1" x14ac:dyDescent="0.2">
      <c r="A1861" s="101">
        <v>46263</v>
      </c>
      <c r="B1861" s="91" t="s">
        <v>2139</v>
      </c>
      <c r="C1861" s="102" t="s">
        <v>2140</v>
      </c>
      <c r="D1861" s="103" t="s">
        <v>26</v>
      </c>
      <c r="E1861" s="91" t="s">
        <v>2141</v>
      </c>
      <c r="F1861" s="91" t="s">
        <v>1726</v>
      </c>
      <c r="G1861" s="91" t="s">
        <v>888</v>
      </c>
      <c r="H1861" s="104" t="str">
        <f t="shared" si="108"/>
        <v>F5444J20</v>
      </c>
      <c r="I1861" s="104"/>
      <c r="J1861" s="106">
        <v>59.9</v>
      </c>
      <c r="K1861" s="106"/>
      <c r="L1861" s="106">
        <v>0</v>
      </c>
      <c r="M1861" s="106">
        <f t="shared" si="110"/>
        <v>0</v>
      </c>
      <c r="N1861" s="106">
        <v>77.7</v>
      </c>
      <c r="O1861" s="106">
        <v>4654.2700000000004</v>
      </c>
      <c r="P1861" s="107">
        <v>25930</v>
      </c>
      <c r="Q1861" s="107">
        <v>120685221</v>
      </c>
      <c r="R1861" s="102" t="s">
        <v>30</v>
      </c>
      <c r="S1861" s="108"/>
      <c r="T1861" s="109"/>
      <c r="U1861" s="109"/>
      <c r="V1861" s="102"/>
      <c r="W1861" s="109"/>
      <c r="X1861" s="109"/>
      <c r="Y1861" s="110" t="s">
        <v>303</v>
      </c>
    </row>
    <row r="1862" spans="1:25" s="111" customFormat="1" x14ac:dyDescent="0.2">
      <c r="A1862" s="101">
        <v>46263</v>
      </c>
      <c r="B1862" s="91" t="s">
        <v>2139</v>
      </c>
      <c r="C1862" s="102" t="s">
        <v>2140</v>
      </c>
      <c r="D1862" s="103" t="s">
        <v>26</v>
      </c>
      <c r="E1862" s="91" t="s">
        <v>2141</v>
      </c>
      <c r="F1862" s="91" t="s">
        <v>718</v>
      </c>
      <c r="G1862" s="91" t="s">
        <v>719</v>
      </c>
      <c r="H1862" s="104" t="str">
        <f t="shared" si="108"/>
        <v>F5140J20</v>
      </c>
      <c r="I1862" s="104"/>
      <c r="J1862" s="106">
        <v>1.88</v>
      </c>
      <c r="K1862" s="106"/>
      <c r="L1862" s="106">
        <v>0</v>
      </c>
      <c r="M1862" s="106">
        <f t="shared" si="110"/>
        <v>0</v>
      </c>
      <c r="N1862" s="106">
        <v>94.47</v>
      </c>
      <c r="O1862" s="106">
        <v>177.6</v>
      </c>
      <c r="P1862" s="107">
        <v>25930</v>
      </c>
      <c r="Q1862" s="107">
        <v>4605168</v>
      </c>
      <c r="R1862" s="102"/>
      <c r="S1862" s="108"/>
      <c r="T1862" s="109"/>
      <c r="U1862" s="109" t="s">
        <v>30</v>
      </c>
      <c r="V1862" s="102"/>
      <c r="W1862" s="109"/>
      <c r="X1862" s="109"/>
      <c r="Y1862" s="110" t="s">
        <v>303</v>
      </c>
    </row>
    <row r="1863" spans="1:25" s="111" customFormat="1" x14ac:dyDescent="0.2">
      <c r="A1863" s="101">
        <v>46263</v>
      </c>
      <c r="B1863" s="91" t="s">
        <v>2139</v>
      </c>
      <c r="C1863" s="102" t="s">
        <v>2140</v>
      </c>
      <c r="D1863" s="103" t="s">
        <v>26</v>
      </c>
      <c r="E1863" s="91" t="s">
        <v>2141</v>
      </c>
      <c r="F1863" s="91" t="s">
        <v>326</v>
      </c>
      <c r="G1863" s="91" t="s">
        <v>327</v>
      </c>
      <c r="H1863" s="104" t="str">
        <f t="shared" si="108"/>
        <v>F5152J20</v>
      </c>
      <c r="I1863" s="104"/>
      <c r="J1863" s="106">
        <v>1.2</v>
      </c>
      <c r="K1863" s="106"/>
      <c r="L1863" s="106">
        <v>0</v>
      </c>
      <c r="M1863" s="106">
        <f t="shared" si="110"/>
        <v>0</v>
      </c>
      <c r="N1863" s="106">
        <v>131</v>
      </c>
      <c r="O1863" s="106">
        <v>157.19999999999999</v>
      </c>
      <c r="P1863" s="107">
        <v>25930</v>
      </c>
      <c r="Q1863" s="107">
        <v>4076196</v>
      </c>
      <c r="R1863" s="102"/>
      <c r="S1863" s="108"/>
      <c r="T1863" s="109"/>
      <c r="U1863" s="109" t="s">
        <v>30</v>
      </c>
      <c r="V1863" s="102"/>
      <c r="W1863" s="109"/>
      <c r="X1863" s="109"/>
      <c r="Y1863" s="110" t="s">
        <v>303</v>
      </c>
    </row>
    <row r="1864" spans="1:25" s="111" customFormat="1" x14ac:dyDescent="0.2">
      <c r="A1864" s="101">
        <v>46263</v>
      </c>
      <c r="B1864" s="91" t="s">
        <v>2139</v>
      </c>
      <c r="C1864" s="102" t="s">
        <v>2140</v>
      </c>
      <c r="D1864" s="103" t="s">
        <v>26</v>
      </c>
      <c r="E1864" s="91" t="s">
        <v>2141</v>
      </c>
      <c r="F1864" s="91" t="s">
        <v>1554</v>
      </c>
      <c r="G1864" s="91" t="s">
        <v>1555</v>
      </c>
      <c r="H1864" s="104" t="str">
        <f t="shared" si="108"/>
        <v>F5310J20</v>
      </c>
      <c r="I1864" s="104"/>
      <c r="J1864" s="106">
        <v>1.88</v>
      </c>
      <c r="K1864" s="106"/>
      <c r="L1864" s="106">
        <v>0</v>
      </c>
      <c r="M1864" s="106">
        <f t="shared" si="110"/>
        <v>0</v>
      </c>
      <c r="N1864" s="106">
        <v>128.94</v>
      </c>
      <c r="O1864" s="106">
        <v>242.4</v>
      </c>
      <c r="P1864" s="107">
        <v>25930</v>
      </c>
      <c r="Q1864" s="107">
        <v>6285432</v>
      </c>
      <c r="R1864" s="102"/>
      <c r="S1864" s="108"/>
      <c r="T1864" s="109"/>
      <c r="U1864" s="109" t="s">
        <v>30</v>
      </c>
      <c r="V1864" s="102"/>
      <c r="W1864" s="109"/>
      <c r="X1864" s="109"/>
      <c r="Y1864" s="110" t="s">
        <v>303</v>
      </c>
    </row>
    <row r="1865" spans="1:25" s="111" customFormat="1" x14ac:dyDescent="0.2">
      <c r="A1865" s="101">
        <v>46263</v>
      </c>
      <c r="B1865" s="91" t="s">
        <v>2139</v>
      </c>
      <c r="C1865" s="102" t="s">
        <v>2140</v>
      </c>
      <c r="D1865" s="103" t="s">
        <v>26</v>
      </c>
      <c r="E1865" s="91" t="s">
        <v>2141</v>
      </c>
      <c r="F1865" s="91" t="s">
        <v>2124</v>
      </c>
      <c r="G1865" s="91" t="s">
        <v>2125</v>
      </c>
      <c r="H1865" s="104" t="str">
        <f t="shared" si="108"/>
        <v>F5441J20</v>
      </c>
      <c r="I1865" s="104"/>
      <c r="J1865" s="106">
        <v>2.5</v>
      </c>
      <c r="K1865" s="106"/>
      <c r="L1865" s="106">
        <v>0</v>
      </c>
      <c r="M1865" s="106">
        <f t="shared" si="110"/>
        <v>0</v>
      </c>
      <c r="N1865" s="106">
        <v>140.47999999999999</v>
      </c>
      <c r="O1865" s="106">
        <v>351.2</v>
      </c>
      <c r="P1865" s="107">
        <v>25930</v>
      </c>
      <c r="Q1865" s="107">
        <v>9106616</v>
      </c>
      <c r="R1865" s="102"/>
      <c r="S1865" s="108"/>
      <c r="T1865" s="109"/>
      <c r="U1865" s="109" t="s">
        <v>30</v>
      </c>
      <c r="V1865" s="102"/>
      <c r="W1865" s="109"/>
      <c r="X1865" s="109"/>
      <c r="Y1865" s="110" t="s">
        <v>303</v>
      </c>
    </row>
    <row r="1866" spans="1:25" s="111" customFormat="1" x14ac:dyDescent="0.2">
      <c r="A1866" s="101">
        <v>46263</v>
      </c>
      <c r="B1866" s="91" t="s">
        <v>2139</v>
      </c>
      <c r="C1866" s="102" t="s">
        <v>2140</v>
      </c>
      <c r="D1866" s="103" t="s">
        <v>26</v>
      </c>
      <c r="E1866" s="91" t="s">
        <v>2141</v>
      </c>
      <c r="F1866" s="91" t="s">
        <v>2124</v>
      </c>
      <c r="G1866" s="91" t="s">
        <v>2125</v>
      </c>
      <c r="H1866" s="104" t="str">
        <f t="shared" si="108"/>
        <v>F5441J20</v>
      </c>
      <c r="I1866" s="104"/>
      <c r="J1866" s="106">
        <v>2.5</v>
      </c>
      <c r="K1866" s="106"/>
      <c r="L1866" s="106">
        <v>0</v>
      </c>
      <c r="M1866" s="106">
        <f t="shared" si="110"/>
        <v>0</v>
      </c>
      <c r="N1866" s="106">
        <v>140.47999999999999</v>
      </c>
      <c r="O1866" s="106">
        <v>351.2</v>
      </c>
      <c r="P1866" s="107">
        <v>25930</v>
      </c>
      <c r="Q1866" s="107">
        <v>9106616</v>
      </c>
      <c r="R1866" s="102"/>
      <c r="S1866" s="108"/>
      <c r="T1866" s="109"/>
      <c r="U1866" s="109" t="s">
        <v>30</v>
      </c>
      <c r="V1866" s="102"/>
      <c r="W1866" s="109"/>
      <c r="X1866" s="109"/>
      <c r="Y1866" s="110" t="s">
        <v>303</v>
      </c>
    </row>
    <row r="1867" spans="1:25" s="111" customFormat="1" x14ac:dyDescent="0.2">
      <c r="A1867" s="101">
        <v>46263</v>
      </c>
      <c r="B1867" s="91" t="s">
        <v>2139</v>
      </c>
      <c r="C1867" s="102" t="s">
        <v>2140</v>
      </c>
      <c r="D1867" s="103" t="s">
        <v>26</v>
      </c>
      <c r="E1867" s="91" t="s">
        <v>2141</v>
      </c>
      <c r="F1867" s="91" t="s">
        <v>2142</v>
      </c>
      <c r="G1867" s="91" t="s">
        <v>2143</v>
      </c>
      <c r="H1867" s="104" t="str">
        <f t="shared" si="108"/>
        <v>F5444J20</v>
      </c>
      <c r="I1867" s="104"/>
      <c r="J1867" s="106">
        <v>1.6</v>
      </c>
      <c r="K1867" s="106"/>
      <c r="L1867" s="106">
        <v>0</v>
      </c>
      <c r="M1867" s="106">
        <f t="shared" si="110"/>
        <v>0</v>
      </c>
      <c r="N1867" s="106">
        <v>143</v>
      </c>
      <c r="O1867" s="106">
        <v>228.8</v>
      </c>
      <c r="P1867" s="107">
        <v>25930</v>
      </c>
      <c r="Q1867" s="107">
        <v>5932784</v>
      </c>
      <c r="R1867" s="102"/>
      <c r="S1867" s="108"/>
      <c r="T1867" s="109"/>
      <c r="U1867" s="109" t="s">
        <v>30</v>
      </c>
      <c r="V1867" s="102"/>
      <c r="W1867" s="109"/>
      <c r="X1867" s="109"/>
      <c r="Y1867" s="110" t="s">
        <v>303</v>
      </c>
    </row>
    <row r="1868" spans="1:25" s="111" customFormat="1" x14ac:dyDescent="0.2">
      <c r="A1868" s="101">
        <v>46263</v>
      </c>
      <c r="B1868" s="91" t="s">
        <v>2139</v>
      </c>
      <c r="C1868" s="102" t="s">
        <v>2140</v>
      </c>
      <c r="D1868" s="103" t="s">
        <v>26</v>
      </c>
      <c r="E1868" s="91" t="s">
        <v>2141</v>
      </c>
      <c r="F1868" s="91" t="s">
        <v>2142</v>
      </c>
      <c r="G1868" s="91" t="s">
        <v>2143</v>
      </c>
      <c r="H1868" s="104" t="str">
        <f t="shared" si="108"/>
        <v>F5444J20</v>
      </c>
      <c r="I1868" s="104"/>
      <c r="J1868" s="106">
        <v>1.6</v>
      </c>
      <c r="K1868" s="106"/>
      <c r="L1868" s="106">
        <v>0</v>
      </c>
      <c r="M1868" s="106">
        <f t="shared" si="110"/>
        <v>0</v>
      </c>
      <c r="N1868" s="106">
        <v>143</v>
      </c>
      <c r="O1868" s="106">
        <v>228.8</v>
      </c>
      <c r="P1868" s="107">
        <v>25930</v>
      </c>
      <c r="Q1868" s="107">
        <v>5932784</v>
      </c>
      <c r="R1868" s="102"/>
      <c r="S1868" s="108"/>
      <c r="T1868" s="109"/>
      <c r="U1868" s="109" t="s">
        <v>30</v>
      </c>
      <c r="V1868" s="102"/>
      <c r="W1868" s="109"/>
      <c r="X1868" s="109"/>
      <c r="Y1868" s="110" t="s">
        <v>303</v>
      </c>
    </row>
    <row r="1869" spans="1:25" s="111" customFormat="1" x14ac:dyDescent="0.2">
      <c r="A1869" s="101">
        <v>46263</v>
      </c>
      <c r="B1869" s="91" t="s">
        <v>2139</v>
      </c>
      <c r="C1869" s="102" t="s">
        <v>2140</v>
      </c>
      <c r="D1869" s="103" t="s">
        <v>26</v>
      </c>
      <c r="E1869" s="91" t="s">
        <v>2141</v>
      </c>
      <c r="F1869" s="91" t="s">
        <v>330</v>
      </c>
      <c r="G1869" s="91" t="s">
        <v>331</v>
      </c>
      <c r="H1869" s="104" t="str">
        <f t="shared" si="108"/>
        <v>C4033J20</v>
      </c>
      <c r="I1869" s="104"/>
      <c r="J1869" s="106">
        <v>1.88</v>
      </c>
      <c r="K1869" s="106"/>
      <c r="L1869" s="106">
        <v>0</v>
      </c>
      <c r="M1869" s="106">
        <f t="shared" si="110"/>
        <v>0</v>
      </c>
      <c r="N1869" s="106">
        <v>94.47</v>
      </c>
      <c r="O1869" s="106">
        <v>177.6</v>
      </c>
      <c r="P1869" s="107">
        <v>25930</v>
      </c>
      <c r="Q1869" s="107">
        <v>4605168</v>
      </c>
      <c r="R1869" s="102"/>
      <c r="S1869" s="108"/>
      <c r="T1869" s="109"/>
      <c r="U1869" s="109" t="s">
        <v>30</v>
      </c>
      <c r="V1869" s="102"/>
      <c r="W1869" s="109"/>
      <c r="X1869" s="109"/>
      <c r="Y1869" s="110" t="s">
        <v>303</v>
      </c>
    </row>
    <row r="1870" spans="1:25" s="111" customFormat="1" x14ac:dyDescent="0.2">
      <c r="A1870" s="101">
        <v>46263</v>
      </c>
      <c r="B1870" s="91" t="s">
        <v>2139</v>
      </c>
      <c r="C1870" s="102" t="s">
        <v>2140</v>
      </c>
      <c r="D1870" s="103" t="s">
        <v>26</v>
      </c>
      <c r="E1870" s="91" t="s">
        <v>2141</v>
      </c>
      <c r="F1870" s="91" t="s">
        <v>1486</v>
      </c>
      <c r="G1870" s="91" t="s">
        <v>1487</v>
      </c>
      <c r="H1870" s="104" t="str">
        <f t="shared" ref="H1870:H1886" si="111">IF(LEN(G1870)=13,LEFT(G1870,5)&amp;MID(G1870,SEARCH("-J",G1870)+1,3),LEFT(G1870,5)&amp;"J20")</f>
        <v>C6046J20</v>
      </c>
      <c r="I1870" s="104"/>
      <c r="J1870" s="106">
        <v>1.2</v>
      </c>
      <c r="K1870" s="106"/>
      <c r="L1870" s="106">
        <v>0</v>
      </c>
      <c r="M1870" s="106">
        <f t="shared" si="110"/>
        <v>0</v>
      </c>
      <c r="N1870" s="106">
        <v>96</v>
      </c>
      <c r="O1870" s="106">
        <v>115.2</v>
      </c>
      <c r="P1870" s="107">
        <v>25930</v>
      </c>
      <c r="Q1870" s="107">
        <v>2987136</v>
      </c>
      <c r="R1870" s="102"/>
      <c r="S1870" s="108"/>
      <c r="T1870" s="109"/>
      <c r="U1870" s="109" t="s">
        <v>30</v>
      </c>
      <c r="V1870" s="102"/>
      <c r="W1870" s="109"/>
      <c r="X1870" s="109"/>
      <c r="Y1870" s="110" t="s">
        <v>303</v>
      </c>
    </row>
    <row r="1871" spans="1:25" s="111" customFormat="1" x14ac:dyDescent="0.2">
      <c r="A1871" s="101">
        <v>46263</v>
      </c>
      <c r="B1871" s="91" t="s">
        <v>2139</v>
      </c>
      <c r="C1871" s="102" t="s">
        <v>2140</v>
      </c>
      <c r="D1871" s="103" t="s">
        <v>26</v>
      </c>
      <c r="E1871" s="91" t="s">
        <v>2141</v>
      </c>
      <c r="F1871" s="91" t="s">
        <v>1486</v>
      </c>
      <c r="G1871" s="91" t="s">
        <v>1487</v>
      </c>
      <c r="H1871" s="104" t="str">
        <f t="shared" si="111"/>
        <v>C6046J20</v>
      </c>
      <c r="I1871" s="104"/>
      <c r="J1871" s="106">
        <v>1.2</v>
      </c>
      <c r="K1871" s="106"/>
      <c r="L1871" s="106">
        <v>0</v>
      </c>
      <c r="M1871" s="106">
        <f t="shared" si="110"/>
        <v>0</v>
      </c>
      <c r="N1871" s="106">
        <v>96</v>
      </c>
      <c r="O1871" s="106">
        <v>115.2</v>
      </c>
      <c r="P1871" s="107">
        <v>25930</v>
      </c>
      <c r="Q1871" s="107">
        <v>2987136</v>
      </c>
      <c r="R1871" s="102"/>
      <c r="S1871" s="108"/>
      <c r="T1871" s="109"/>
      <c r="U1871" s="109" t="s">
        <v>30</v>
      </c>
      <c r="V1871" s="102"/>
      <c r="W1871" s="109"/>
      <c r="X1871" s="109"/>
      <c r="Y1871" s="110" t="s">
        <v>303</v>
      </c>
    </row>
    <row r="1872" spans="1:25" s="111" customFormat="1" x14ac:dyDescent="0.2">
      <c r="A1872" s="101">
        <v>46263</v>
      </c>
      <c r="B1872" s="91" t="s">
        <v>2139</v>
      </c>
      <c r="C1872" s="102" t="s">
        <v>2140</v>
      </c>
      <c r="D1872" s="103" t="s">
        <v>26</v>
      </c>
      <c r="E1872" s="91" t="s">
        <v>2141</v>
      </c>
      <c r="F1872" s="91" t="s">
        <v>1473</v>
      </c>
      <c r="G1872" s="91" t="s">
        <v>1474</v>
      </c>
      <c r="H1872" s="104" t="str">
        <f t="shared" si="111"/>
        <v>F5113J20</v>
      </c>
      <c r="I1872" s="104"/>
      <c r="J1872" s="106">
        <v>1.2</v>
      </c>
      <c r="K1872" s="106"/>
      <c r="L1872" s="106">
        <v>0</v>
      </c>
      <c r="M1872" s="106">
        <f t="shared" si="110"/>
        <v>0</v>
      </c>
      <c r="N1872" s="106">
        <v>131</v>
      </c>
      <c r="O1872" s="106">
        <v>157.19999999999999</v>
      </c>
      <c r="P1872" s="107">
        <v>25930</v>
      </c>
      <c r="Q1872" s="107">
        <v>4076196</v>
      </c>
      <c r="R1872" s="102"/>
      <c r="S1872" s="108"/>
      <c r="T1872" s="109"/>
      <c r="U1872" s="109" t="s">
        <v>30</v>
      </c>
      <c r="V1872" s="102"/>
      <c r="W1872" s="109"/>
      <c r="X1872" s="109"/>
      <c r="Y1872" s="110" t="s">
        <v>303</v>
      </c>
    </row>
    <row r="1873" spans="1:25" s="111" customFormat="1" x14ac:dyDescent="0.2">
      <c r="A1873" s="101">
        <v>46263</v>
      </c>
      <c r="B1873" s="91" t="s">
        <v>2139</v>
      </c>
      <c r="C1873" s="102" t="s">
        <v>2140</v>
      </c>
      <c r="D1873" s="103" t="s">
        <v>26</v>
      </c>
      <c r="E1873" s="91" t="s">
        <v>2141</v>
      </c>
      <c r="F1873" s="91" t="s">
        <v>1523</v>
      </c>
      <c r="G1873" s="91" t="s">
        <v>1524</v>
      </c>
      <c r="H1873" s="104" t="str">
        <f t="shared" si="111"/>
        <v>F5113J20</v>
      </c>
      <c r="I1873" s="104"/>
      <c r="J1873" s="106">
        <v>1.88</v>
      </c>
      <c r="K1873" s="106"/>
      <c r="L1873" s="106">
        <v>0</v>
      </c>
      <c r="M1873" s="106">
        <f t="shared" si="110"/>
        <v>0</v>
      </c>
      <c r="N1873" s="106">
        <v>128.94</v>
      </c>
      <c r="O1873" s="106">
        <v>242.4</v>
      </c>
      <c r="P1873" s="107">
        <v>25930</v>
      </c>
      <c r="Q1873" s="107">
        <v>6285432</v>
      </c>
      <c r="R1873" s="102"/>
      <c r="S1873" s="108"/>
      <c r="T1873" s="109"/>
      <c r="U1873" s="109" t="s">
        <v>30</v>
      </c>
      <c r="V1873" s="102"/>
      <c r="W1873" s="109"/>
      <c r="X1873" s="109"/>
      <c r="Y1873" s="110" t="s">
        <v>303</v>
      </c>
    </row>
    <row r="1874" spans="1:25" s="111" customFormat="1" x14ac:dyDescent="0.2">
      <c r="A1874" s="101">
        <v>46263</v>
      </c>
      <c r="B1874" s="91" t="s">
        <v>2139</v>
      </c>
      <c r="C1874" s="102" t="s">
        <v>2140</v>
      </c>
      <c r="D1874" s="103" t="s">
        <v>26</v>
      </c>
      <c r="E1874" s="91" t="s">
        <v>2141</v>
      </c>
      <c r="F1874" s="91" t="s">
        <v>1473</v>
      </c>
      <c r="G1874" s="91" t="s">
        <v>1474</v>
      </c>
      <c r="H1874" s="104" t="str">
        <f t="shared" si="111"/>
        <v>F5113J20</v>
      </c>
      <c r="I1874" s="104"/>
      <c r="J1874" s="106">
        <v>1.2</v>
      </c>
      <c r="K1874" s="106"/>
      <c r="L1874" s="106">
        <v>0</v>
      </c>
      <c r="M1874" s="106">
        <f t="shared" si="110"/>
        <v>0</v>
      </c>
      <c r="N1874" s="106">
        <v>131</v>
      </c>
      <c r="O1874" s="106">
        <v>157.19999999999999</v>
      </c>
      <c r="P1874" s="107">
        <v>25930</v>
      </c>
      <c r="Q1874" s="107">
        <v>4076196</v>
      </c>
      <c r="R1874" s="102"/>
      <c r="S1874" s="108"/>
      <c r="T1874" s="109"/>
      <c r="U1874" s="109" t="s">
        <v>30</v>
      </c>
      <c r="V1874" s="102"/>
      <c r="W1874" s="109"/>
      <c r="X1874" s="109"/>
      <c r="Y1874" s="110" t="s">
        <v>303</v>
      </c>
    </row>
    <row r="1875" spans="1:25" s="111" customFormat="1" x14ac:dyDescent="0.2">
      <c r="A1875" s="101">
        <v>46263</v>
      </c>
      <c r="B1875" s="91" t="s">
        <v>2139</v>
      </c>
      <c r="C1875" s="102" t="s">
        <v>2140</v>
      </c>
      <c r="D1875" s="103" t="s">
        <v>26</v>
      </c>
      <c r="E1875" s="91" t="s">
        <v>2141</v>
      </c>
      <c r="F1875" s="91" t="s">
        <v>837</v>
      </c>
      <c r="G1875" s="91" t="s">
        <v>838</v>
      </c>
      <c r="H1875" s="104" t="str">
        <f t="shared" si="111"/>
        <v>C4033J20</v>
      </c>
      <c r="I1875" s="104"/>
      <c r="J1875" s="106">
        <v>0.88</v>
      </c>
      <c r="K1875" s="106"/>
      <c r="L1875" s="106">
        <v>0</v>
      </c>
      <c r="M1875" s="106">
        <f t="shared" si="110"/>
        <v>0</v>
      </c>
      <c r="N1875" s="106">
        <v>107.39</v>
      </c>
      <c r="O1875" s="106">
        <v>94.5</v>
      </c>
      <c r="P1875" s="107">
        <v>25930</v>
      </c>
      <c r="Q1875" s="107">
        <v>2450385</v>
      </c>
      <c r="R1875" s="102"/>
      <c r="S1875" s="108"/>
      <c r="T1875" s="109"/>
      <c r="U1875" s="109" t="s">
        <v>30</v>
      </c>
      <c r="V1875" s="102"/>
      <c r="W1875" s="109"/>
      <c r="X1875" s="109"/>
      <c r="Y1875" s="110" t="s">
        <v>303</v>
      </c>
    </row>
    <row r="1876" spans="1:25" s="111" customFormat="1" x14ac:dyDescent="0.2">
      <c r="A1876" s="101">
        <v>46263</v>
      </c>
      <c r="B1876" s="91" t="s">
        <v>2139</v>
      </c>
      <c r="C1876" s="102" t="s">
        <v>2140</v>
      </c>
      <c r="D1876" s="103" t="s">
        <v>26</v>
      </c>
      <c r="E1876" s="91" t="s">
        <v>2141</v>
      </c>
      <c r="F1876" s="91" t="s">
        <v>945</v>
      </c>
      <c r="G1876" s="91" t="s">
        <v>946</v>
      </c>
      <c r="H1876" s="104" t="str">
        <f t="shared" si="111"/>
        <v>C5100J20</v>
      </c>
      <c r="I1876" s="104"/>
      <c r="J1876" s="106">
        <v>1.76</v>
      </c>
      <c r="K1876" s="106"/>
      <c r="L1876" s="106">
        <v>0</v>
      </c>
      <c r="M1876" s="106">
        <f t="shared" si="110"/>
        <v>0</v>
      </c>
      <c r="N1876" s="106">
        <v>107.39</v>
      </c>
      <c r="O1876" s="106">
        <v>189</v>
      </c>
      <c r="P1876" s="107">
        <v>25930</v>
      </c>
      <c r="Q1876" s="107">
        <v>4900770</v>
      </c>
      <c r="R1876" s="102"/>
      <c r="S1876" s="108"/>
      <c r="T1876" s="109"/>
      <c r="U1876" s="109" t="s">
        <v>30</v>
      </c>
      <c r="V1876" s="102"/>
      <c r="W1876" s="109"/>
      <c r="X1876" s="109"/>
      <c r="Y1876" s="110" t="s">
        <v>303</v>
      </c>
    </row>
    <row r="1877" spans="1:25" s="111" customFormat="1" x14ac:dyDescent="0.2">
      <c r="A1877" s="101">
        <v>46263</v>
      </c>
      <c r="B1877" s="91" t="s">
        <v>2139</v>
      </c>
      <c r="C1877" s="102" t="s">
        <v>2140</v>
      </c>
      <c r="D1877" s="103" t="s">
        <v>26</v>
      </c>
      <c r="E1877" s="91" t="s">
        <v>2141</v>
      </c>
      <c r="F1877" s="91" t="s">
        <v>98</v>
      </c>
      <c r="G1877" s="91" t="s">
        <v>99</v>
      </c>
      <c r="H1877" s="104" t="str">
        <f t="shared" si="111"/>
        <v>C5820J20</v>
      </c>
      <c r="I1877" s="104"/>
      <c r="J1877" s="106">
        <v>1.88</v>
      </c>
      <c r="K1877" s="106"/>
      <c r="L1877" s="106">
        <v>0</v>
      </c>
      <c r="M1877" s="106">
        <f t="shared" si="110"/>
        <v>0</v>
      </c>
      <c r="N1877" s="106">
        <v>96.06</v>
      </c>
      <c r="O1877" s="106">
        <v>180.6</v>
      </c>
      <c r="P1877" s="107">
        <v>25930</v>
      </c>
      <c r="Q1877" s="107">
        <v>4682958</v>
      </c>
      <c r="R1877" s="102"/>
      <c r="S1877" s="108"/>
      <c r="T1877" s="109"/>
      <c r="U1877" s="109" t="s">
        <v>30</v>
      </c>
      <c r="V1877" s="102"/>
      <c r="W1877" s="109"/>
      <c r="X1877" s="109"/>
      <c r="Y1877" s="110" t="s">
        <v>303</v>
      </c>
    </row>
    <row r="1878" spans="1:25" s="111" customFormat="1" x14ac:dyDescent="0.2">
      <c r="A1878" s="101">
        <v>46263</v>
      </c>
      <c r="B1878" s="91" t="s">
        <v>2144</v>
      </c>
      <c r="C1878" s="102" t="s">
        <v>2145</v>
      </c>
      <c r="D1878" s="103" t="s">
        <v>26</v>
      </c>
      <c r="E1878" s="91" t="s">
        <v>2146</v>
      </c>
      <c r="F1878" s="91" t="s">
        <v>203</v>
      </c>
      <c r="G1878" s="91" t="s">
        <v>204</v>
      </c>
      <c r="H1878" s="104" t="str">
        <f t="shared" si="111"/>
        <v>F5132J20</v>
      </c>
      <c r="I1878" s="104"/>
      <c r="J1878" s="106">
        <v>54.45</v>
      </c>
      <c r="K1878" s="106"/>
      <c r="L1878" s="106">
        <v>0</v>
      </c>
      <c r="M1878" s="106">
        <f t="shared" si="110"/>
        <v>0</v>
      </c>
      <c r="N1878" s="106">
        <v>65.099999999999994</v>
      </c>
      <c r="O1878" s="106">
        <v>3544.7</v>
      </c>
      <c r="P1878" s="107">
        <v>25930</v>
      </c>
      <c r="Q1878" s="107">
        <v>91914071</v>
      </c>
      <c r="R1878" s="102" t="s">
        <v>30</v>
      </c>
      <c r="S1878" s="108"/>
      <c r="T1878" s="109"/>
      <c r="U1878" s="109"/>
      <c r="V1878" s="102"/>
      <c r="W1878" s="109"/>
      <c r="X1878" s="109"/>
      <c r="Y1878" s="110" t="s">
        <v>31</v>
      </c>
    </row>
    <row r="1879" spans="1:25" s="111" customFormat="1" x14ac:dyDescent="0.2">
      <c r="A1879" s="101">
        <v>46263</v>
      </c>
      <c r="B1879" s="91" t="s">
        <v>2144</v>
      </c>
      <c r="C1879" s="102" t="s">
        <v>2145</v>
      </c>
      <c r="D1879" s="103" t="s">
        <v>26</v>
      </c>
      <c r="E1879" s="91" t="s">
        <v>2146</v>
      </c>
      <c r="F1879" s="91" t="s">
        <v>1518</v>
      </c>
      <c r="G1879" s="91" t="s">
        <v>1519</v>
      </c>
      <c r="H1879" s="104" t="str">
        <f t="shared" si="111"/>
        <v>F4044J30</v>
      </c>
      <c r="I1879" s="104"/>
      <c r="J1879" s="106">
        <v>54.45</v>
      </c>
      <c r="K1879" s="106"/>
      <c r="L1879" s="106">
        <v>0</v>
      </c>
      <c r="M1879" s="106">
        <f t="shared" si="110"/>
        <v>0</v>
      </c>
      <c r="N1879" s="106">
        <v>78.8</v>
      </c>
      <c r="O1879" s="106">
        <v>4290.7</v>
      </c>
      <c r="P1879" s="107">
        <v>25930</v>
      </c>
      <c r="Q1879" s="107">
        <v>111257851</v>
      </c>
      <c r="R1879" s="102" t="s">
        <v>30</v>
      </c>
      <c r="S1879" s="108"/>
      <c r="T1879" s="109"/>
      <c r="U1879" s="109"/>
      <c r="V1879" s="102"/>
      <c r="W1879" s="109"/>
      <c r="X1879" s="109"/>
      <c r="Y1879" s="110" t="s">
        <v>31</v>
      </c>
    </row>
    <row r="1880" spans="1:25" s="111" customFormat="1" x14ac:dyDescent="0.2">
      <c r="A1880" s="101">
        <v>46263</v>
      </c>
      <c r="B1880" s="91" t="s">
        <v>2144</v>
      </c>
      <c r="C1880" s="102" t="s">
        <v>2145</v>
      </c>
      <c r="D1880" s="103" t="s">
        <v>26</v>
      </c>
      <c r="E1880" s="91" t="s">
        <v>2146</v>
      </c>
      <c r="F1880" s="91" t="s">
        <v>465</v>
      </c>
      <c r="G1880" s="91" t="s">
        <v>466</v>
      </c>
      <c r="H1880" s="104" t="str">
        <f t="shared" si="111"/>
        <v>F4011J20</v>
      </c>
      <c r="I1880" s="104"/>
      <c r="J1880" s="106">
        <v>54.45</v>
      </c>
      <c r="K1880" s="106"/>
      <c r="L1880" s="106">
        <v>0</v>
      </c>
      <c r="M1880" s="106">
        <f t="shared" si="110"/>
        <v>0</v>
      </c>
      <c r="N1880" s="106">
        <v>63</v>
      </c>
      <c r="O1880" s="106">
        <v>3430.4</v>
      </c>
      <c r="P1880" s="107">
        <v>25930</v>
      </c>
      <c r="Q1880" s="107">
        <v>88950272</v>
      </c>
      <c r="R1880" s="102" t="s">
        <v>30</v>
      </c>
      <c r="S1880" s="108"/>
      <c r="T1880" s="109"/>
      <c r="U1880" s="109"/>
      <c r="V1880" s="102"/>
      <c r="W1880" s="109"/>
      <c r="X1880" s="109"/>
      <c r="Y1880" s="110" t="s">
        <v>31</v>
      </c>
    </row>
    <row r="1881" spans="1:25" s="111" customFormat="1" x14ac:dyDescent="0.2">
      <c r="A1881" s="101">
        <v>46263</v>
      </c>
      <c r="B1881" s="91" t="s">
        <v>2144</v>
      </c>
      <c r="C1881" s="102" t="s">
        <v>2145</v>
      </c>
      <c r="D1881" s="103" t="s">
        <v>26</v>
      </c>
      <c r="E1881" s="91" t="s">
        <v>2146</v>
      </c>
      <c r="F1881" s="91" t="s">
        <v>1909</v>
      </c>
      <c r="G1881" s="91" t="s">
        <v>1910</v>
      </c>
      <c r="H1881" s="104" t="str">
        <f t="shared" si="111"/>
        <v>F5115J20</v>
      </c>
      <c r="I1881" s="104"/>
      <c r="J1881" s="106">
        <v>54.45</v>
      </c>
      <c r="K1881" s="106"/>
      <c r="L1881" s="106">
        <v>0</v>
      </c>
      <c r="M1881" s="106">
        <f t="shared" si="110"/>
        <v>0</v>
      </c>
      <c r="N1881" s="106">
        <v>71.400000000000006</v>
      </c>
      <c r="O1881" s="106">
        <v>3887.7</v>
      </c>
      <c r="P1881" s="107">
        <v>25930</v>
      </c>
      <c r="Q1881" s="107">
        <v>100808061</v>
      </c>
      <c r="R1881" s="102" t="s">
        <v>30</v>
      </c>
      <c r="S1881" s="108"/>
      <c r="T1881" s="109"/>
      <c r="U1881" s="109"/>
      <c r="V1881" s="102"/>
      <c r="W1881" s="109"/>
      <c r="X1881" s="109"/>
      <c r="Y1881" s="110" t="s">
        <v>31</v>
      </c>
    </row>
    <row r="1882" spans="1:25" s="111" customFormat="1" x14ac:dyDescent="0.2">
      <c r="A1882" s="101">
        <v>46263</v>
      </c>
      <c r="B1882" s="91" t="s">
        <v>2144</v>
      </c>
      <c r="C1882" s="102" t="s">
        <v>2145</v>
      </c>
      <c r="D1882" s="103" t="s">
        <v>26</v>
      </c>
      <c r="E1882" s="91" t="s">
        <v>2146</v>
      </c>
      <c r="F1882" s="91" t="s">
        <v>205</v>
      </c>
      <c r="G1882" s="91" t="s">
        <v>206</v>
      </c>
      <c r="H1882" s="104" t="str">
        <f t="shared" si="111"/>
        <v>F5141J20</v>
      </c>
      <c r="I1882" s="104"/>
      <c r="J1882" s="106">
        <v>54.45</v>
      </c>
      <c r="K1882" s="106"/>
      <c r="L1882" s="106">
        <v>0</v>
      </c>
      <c r="M1882" s="106">
        <f t="shared" si="110"/>
        <v>0</v>
      </c>
      <c r="N1882" s="106">
        <v>60.9</v>
      </c>
      <c r="O1882" s="106">
        <v>3316</v>
      </c>
      <c r="P1882" s="107">
        <v>25930</v>
      </c>
      <c r="Q1882" s="107">
        <v>85983880</v>
      </c>
      <c r="R1882" s="102" t="s">
        <v>30</v>
      </c>
      <c r="S1882" s="108"/>
      <c r="T1882" s="109"/>
      <c r="U1882" s="109"/>
      <c r="V1882" s="102"/>
      <c r="W1882" s="109"/>
      <c r="X1882" s="109"/>
      <c r="Y1882" s="110" t="s">
        <v>31</v>
      </c>
    </row>
    <row r="1883" spans="1:25" s="111" customFormat="1" x14ac:dyDescent="0.2">
      <c r="A1883" s="101">
        <v>46263</v>
      </c>
      <c r="B1883" s="91" t="s">
        <v>2144</v>
      </c>
      <c r="C1883" s="102" t="s">
        <v>2145</v>
      </c>
      <c r="D1883" s="103" t="s">
        <v>26</v>
      </c>
      <c r="E1883" s="91" t="s">
        <v>2146</v>
      </c>
      <c r="F1883" s="91" t="s">
        <v>88</v>
      </c>
      <c r="G1883" s="91" t="s">
        <v>89</v>
      </c>
      <c r="H1883" s="104" t="str">
        <f t="shared" si="111"/>
        <v>F5131J20</v>
      </c>
      <c r="I1883" s="104"/>
      <c r="J1883" s="106">
        <v>54.45</v>
      </c>
      <c r="K1883" s="106"/>
      <c r="L1883" s="106">
        <v>0</v>
      </c>
      <c r="M1883" s="106">
        <f t="shared" si="110"/>
        <v>0</v>
      </c>
      <c r="N1883" s="106">
        <v>63</v>
      </c>
      <c r="O1883" s="106">
        <v>3430.4</v>
      </c>
      <c r="P1883" s="107">
        <v>25930</v>
      </c>
      <c r="Q1883" s="107">
        <v>88950272</v>
      </c>
      <c r="R1883" s="102" t="s">
        <v>30</v>
      </c>
      <c r="S1883" s="108"/>
      <c r="T1883" s="109"/>
      <c r="U1883" s="109"/>
      <c r="V1883" s="102"/>
      <c r="W1883" s="109"/>
      <c r="X1883" s="109"/>
      <c r="Y1883" s="110" t="s">
        <v>31</v>
      </c>
    </row>
    <row r="1884" spans="1:25" s="111" customFormat="1" x14ac:dyDescent="0.2">
      <c r="A1884" s="101">
        <v>46263</v>
      </c>
      <c r="B1884" s="91" t="s">
        <v>2144</v>
      </c>
      <c r="C1884" s="102" t="s">
        <v>2145</v>
      </c>
      <c r="D1884" s="103" t="s">
        <v>26</v>
      </c>
      <c r="E1884" s="91" t="s">
        <v>2146</v>
      </c>
      <c r="F1884" s="91" t="s">
        <v>1204</v>
      </c>
      <c r="G1884" s="91" t="s">
        <v>283</v>
      </c>
      <c r="H1884" s="104" t="str">
        <f t="shared" si="111"/>
        <v>F5100J20</v>
      </c>
      <c r="I1884" s="104"/>
      <c r="J1884" s="106">
        <v>54.45</v>
      </c>
      <c r="K1884" s="106"/>
      <c r="L1884" s="106">
        <v>0</v>
      </c>
      <c r="M1884" s="106">
        <f t="shared" si="110"/>
        <v>0</v>
      </c>
      <c r="N1884" s="106">
        <v>65.099999999999994</v>
      </c>
      <c r="O1884" s="106">
        <v>3544.7</v>
      </c>
      <c r="P1884" s="107">
        <v>25930</v>
      </c>
      <c r="Q1884" s="107">
        <v>91914071</v>
      </c>
      <c r="R1884" s="102" t="s">
        <v>30</v>
      </c>
      <c r="S1884" s="108"/>
      <c r="T1884" s="109"/>
      <c r="U1884" s="109"/>
      <c r="V1884" s="102"/>
      <c r="W1884" s="109"/>
      <c r="X1884" s="109"/>
      <c r="Y1884" s="110" t="s">
        <v>31</v>
      </c>
    </row>
    <row r="1885" spans="1:25" s="111" customFormat="1" x14ac:dyDescent="0.2">
      <c r="A1885" s="101">
        <v>46263</v>
      </c>
      <c r="B1885" s="91" t="s">
        <v>2144</v>
      </c>
      <c r="C1885" s="102" t="s">
        <v>2145</v>
      </c>
      <c r="D1885" s="103" t="s">
        <v>26</v>
      </c>
      <c r="E1885" s="91" t="s">
        <v>2146</v>
      </c>
      <c r="F1885" s="91" t="s">
        <v>270</v>
      </c>
      <c r="G1885" s="91" t="s">
        <v>271</v>
      </c>
      <c r="H1885" s="104" t="str">
        <f t="shared" si="111"/>
        <v>F4044J20</v>
      </c>
      <c r="I1885" s="104"/>
      <c r="J1885" s="106">
        <v>27.22</v>
      </c>
      <c r="K1885" s="106"/>
      <c r="L1885" s="106">
        <v>0</v>
      </c>
      <c r="M1885" s="106">
        <f t="shared" si="110"/>
        <v>0</v>
      </c>
      <c r="N1885" s="106">
        <v>63</v>
      </c>
      <c r="O1885" s="106">
        <v>1714.88</v>
      </c>
      <c r="P1885" s="107">
        <v>25930</v>
      </c>
      <c r="Q1885" s="107">
        <v>44466838</v>
      </c>
      <c r="R1885" s="102" t="s">
        <v>30</v>
      </c>
      <c r="S1885" s="108"/>
      <c r="T1885" s="109"/>
      <c r="U1885" s="109"/>
      <c r="V1885" s="102"/>
      <c r="W1885" s="109"/>
      <c r="X1885" s="109"/>
      <c r="Y1885" s="110" t="s">
        <v>31</v>
      </c>
    </row>
    <row r="1886" spans="1:25" s="111" customFormat="1" x14ac:dyDescent="0.2">
      <c r="A1886" s="101">
        <v>46263</v>
      </c>
      <c r="B1886" s="91" t="s">
        <v>2144</v>
      </c>
      <c r="C1886" s="102" t="s">
        <v>2145</v>
      </c>
      <c r="D1886" s="103" t="s">
        <v>26</v>
      </c>
      <c r="E1886" s="91" t="s">
        <v>2146</v>
      </c>
      <c r="F1886" s="91" t="s">
        <v>388</v>
      </c>
      <c r="G1886" s="91" t="s">
        <v>271</v>
      </c>
      <c r="H1886" s="104" t="str">
        <f t="shared" si="111"/>
        <v>F4044J20</v>
      </c>
      <c r="I1886" s="104"/>
      <c r="J1886" s="106">
        <v>27.23</v>
      </c>
      <c r="K1886" s="106"/>
      <c r="L1886" s="106">
        <v>0</v>
      </c>
      <c r="M1886" s="106">
        <f t="shared" si="110"/>
        <v>0</v>
      </c>
      <c r="N1886" s="106">
        <v>63</v>
      </c>
      <c r="O1886" s="106">
        <v>1715.52</v>
      </c>
      <c r="P1886" s="107">
        <v>25930</v>
      </c>
      <c r="Q1886" s="107">
        <v>44483434</v>
      </c>
      <c r="R1886" s="102" t="s">
        <v>30</v>
      </c>
      <c r="S1886" s="108"/>
      <c r="T1886" s="109"/>
      <c r="U1886" s="109"/>
      <c r="V1886" s="102"/>
      <c r="W1886" s="109"/>
      <c r="X1886" s="109"/>
      <c r="Y1886" s="110" t="s">
        <v>31</v>
      </c>
    </row>
  </sheetData>
  <autoFilter ref="A12:Z1886" xr:uid="{00000000-0001-0000-0000-000000000000}"/>
  <mergeCells count="20">
    <mergeCell ref="Y10:Y11"/>
    <mergeCell ref="N10:N11"/>
    <mergeCell ref="O10:O11"/>
    <mergeCell ref="P10:P11"/>
    <mergeCell ref="Q10:Q11"/>
    <mergeCell ref="R10:W10"/>
    <mergeCell ref="X10:X11"/>
    <mergeCell ref="M10:M11"/>
    <mergeCell ref="A10:A11"/>
    <mergeCell ref="C10:C11"/>
    <mergeCell ref="E10:E11"/>
    <mergeCell ref="F10:F11"/>
    <mergeCell ref="G10:G11"/>
    <mergeCell ref="D10:D11"/>
    <mergeCell ref="B10:B11"/>
    <mergeCell ref="H10:H11"/>
    <mergeCell ref="J10:J11"/>
    <mergeCell ref="K10:K11"/>
    <mergeCell ref="L10:L11"/>
    <mergeCell ref="I10:I11"/>
  </mergeCells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E59E-6D7A-46E6-BE8E-B665CCF0E4AD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cáo</vt:lpstr>
      <vt:lpstr>Dữ liệu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HU02</dc:creator>
  <cp:lastModifiedBy>HU02</cp:lastModifiedBy>
  <dcterms:created xsi:type="dcterms:W3CDTF">2026-09-28T06:48:59Z</dcterms:created>
  <dcterms:modified xsi:type="dcterms:W3CDTF">2026-10-22T01:41:33Z</dcterms:modified>
</cp:coreProperties>
</file>