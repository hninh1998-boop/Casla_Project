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43DD5115-7C54-4CA5-960C-18ADA3FD03DB}" xr6:coauthVersionLast="47" xr6:coauthVersionMax="47" xr10:uidLastSave="{00000000-0000-0000-0000-000000000000}"/>
  <bookViews>
    <workbookView xWindow="1920" yWindow="1920" windowWidth="17280" windowHeight="8880" activeTab="1" xr2:uid="{30A0F429-68F4-4E08-A4A0-D80D07410D59}"/>
  </bookViews>
  <sheets>
    <sheet name="1" sheetId="2" r:id="rId1"/>
    <sheet name="Sheet1" sheetId="3" r:id="rId2"/>
  </sheets>
  <definedNames>
    <definedName name="_xlnm.Print_Titles" localSheetId="0">'1'!$8:$9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2" l="1"/>
  <c r="Q21" i="2"/>
  <c r="P21" i="2"/>
  <c r="O21" i="2"/>
  <c r="N21" i="2"/>
  <c r="M21" i="2"/>
  <c r="L21" i="2"/>
  <c r="K21" i="2"/>
  <c r="J21" i="2"/>
  <c r="I21" i="2"/>
  <c r="H21" i="2"/>
  <c r="G21" i="2"/>
  <c r="F21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R13" i="2"/>
  <c r="Q13" i="2"/>
  <c r="P13" i="2"/>
  <c r="O13" i="2"/>
  <c r="K13" i="2"/>
  <c r="J13" i="2"/>
  <c r="I13" i="2"/>
  <c r="H13" i="2"/>
  <c r="G13" i="2"/>
  <c r="F13" i="2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S13" i="3"/>
  <c r="R13" i="3"/>
  <c r="Q13" i="3"/>
  <c r="P13" i="3"/>
  <c r="L13" i="3"/>
  <c r="K13" i="3"/>
  <c r="J13" i="3"/>
  <c r="I13" i="3"/>
  <c r="H13" i="3"/>
  <c r="G13" i="3"/>
</calcChain>
</file>

<file path=xl/sharedStrings.xml><?xml version="1.0" encoding="utf-8"?>
<sst xmlns="http://schemas.openxmlformats.org/spreadsheetml/2006/main" count="196" uniqueCount="83">
  <si>
    <t>A</t>
  </si>
  <si>
    <t/>
  </si>
  <si>
    <t xml:space="preserve">  -   -</t>
  </si>
  <si>
    <t>ANC</t>
  </si>
  <si>
    <t>ANCCL1</t>
  </si>
  <si>
    <t>ANCCL10001</t>
  </si>
  <si>
    <t>1.1.001</t>
  </si>
  <si>
    <t>ANCCL10002</t>
  </si>
  <si>
    <t>1.1.002</t>
  </si>
  <si>
    <t>ANCCL10003</t>
  </si>
  <si>
    <t>1.1.003</t>
  </si>
  <si>
    <t>ANCCL2</t>
  </si>
  <si>
    <t>ANCCL20001</t>
  </si>
  <si>
    <t>1.4.001</t>
  </si>
  <si>
    <t>ANCCL20002</t>
  </si>
  <si>
    <t>1.4.002</t>
  </si>
  <si>
    <t>ANCCL20003</t>
  </si>
  <si>
    <t>1.4.003</t>
  </si>
  <si>
    <t>TL KH</t>
  </si>
  <si>
    <t>CK.KHLK</t>
  </si>
  <si>
    <t>CK.GTCL</t>
  </si>
  <si>
    <t xml:space="preserve">                    </t>
  </si>
  <si>
    <t>BMMCL00113</t>
  </si>
  <si>
    <t>2.1.113</t>
  </si>
  <si>
    <t>Người lập biểu                                                                  Kế toán trưởng                                                                  Giám đốc</t>
  </si>
  <si>
    <t>Cộng</t>
  </si>
  <si>
    <t xml:space="preserve">                              Máy thu hồi biên phế tái sử dụng; HĐ 155</t>
  </si>
  <si>
    <t>2.1.263</t>
  </si>
  <si>
    <t>BMMCL00263</t>
  </si>
  <si>
    <t xml:space="preserve">                              Máy chặt thủy lực; HĐ 48</t>
  </si>
  <si>
    <t>2.1.262</t>
  </si>
  <si>
    <t>BMMCL00262</t>
  </si>
  <si>
    <t xml:space="preserve">                              Máy dập cúc, HĐ 00000010</t>
  </si>
  <si>
    <t>2.1.261</t>
  </si>
  <si>
    <t>BMMCL00261</t>
  </si>
  <si>
    <t xml:space="preserve">                              Máy may lập trình khổ nhỏ Jack JK-T1906 GH</t>
  </si>
  <si>
    <t xml:space="preserve">                              Dây chuyền máy kéo sợi Polypropylene số 1 (TK102914708152)</t>
  </si>
  <si>
    <t>2.1.002</t>
  </si>
  <si>
    <t>BMMCL00002</t>
  </si>
  <si>
    <t xml:space="preserve">                              Máy dệt kim BK 6/50 số 31</t>
  </si>
  <si>
    <t>2.1.001</t>
  </si>
  <si>
    <t>BMMCL00001</t>
  </si>
  <si>
    <t xml:space="preserve">               Máy móc thiết bị chính- NM Casla 1</t>
  </si>
  <si>
    <t>BMMCL</t>
  </si>
  <si>
    <t xml:space="preserve">                              Nhà xưởng số 03</t>
  </si>
  <si>
    <t xml:space="preserve">                              Nhà xưởng số 02</t>
  </si>
  <si>
    <t xml:space="preserve">                              Nhà xưởng số 01</t>
  </si>
  <si>
    <t xml:space="preserve">                  Nhà cửa vật kiến trúc- NM Casla 2</t>
  </si>
  <si>
    <t xml:space="preserve">                              Nhà xưởng sản xuất số 3 (1617M2) (sợi quai)</t>
  </si>
  <si>
    <t xml:space="preserve">                              Nhà xưởng sản xuất số 2 (7216M2) (dệt quai, cắt quai, kho BTP)</t>
  </si>
  <si>
    <t xml:space="preserve">                              Nhà xưởng sản xuất số 1 (6600 M2) (in lưới, dán túi, tráng, cắt dập, chia cuộn, chia viền)</t>
  </si>
  <si>
    <t xml:space="preserve">                  Nhà cửa vật kiến trúc- NM Casla 1</t>
  </si>
  <si>
    <t xml:space="preserve">         Nhà cửa vật kiến trúc</t>
  </si>
  <si>
    <t xml:space="preserve">   Tài sản hữu hình</t>
  </si>
  <si>
    <t>CK.N.Giá</t>
  </si>
  <si>
    <t>Giảm.GTCL</t>
  </si>
  <si>
    <t>Giảm.HMLK</t>
  </si>
  <si>
    <t>Giảm.Ngiá</t>
  </si>
  <si>
    <t>Tăng.GTCL</t>
  </si>
  <si>
    <t>Tăng.HMLK</t>
  </si>
  <si>
    <t>Tăng.NGgiá</t>
  </si>
  <si>
    <t>ĐK.GTCL</t>
  </si>
  <si>
    <t>ĐK.HMLK</t>
  </si>
  <si>
    <t>ĐK.N.Giá</t>
  </si>
  <si>
    <t>Số dư cuối kỳ</t>
  </si>
  <si>
    <t>KH Tkỳ</t>
  </si>
  <si>
    <t>Giảm trong kỳ</t>
  </si>
  <si>
    <t>Tăng trong kỳ</t>
  </si>
  <si>
    <t>Số đầu kỳ</t>
  </si>
  <si>
    <t>Ngày SD</t>
  </si>
  <si>
    <t>Tên TSCĐ</t>
  </si>
  <si>
    <t>Số thẻ</t>
  </si>
  <si>
    <t>Mã</t>
  </si>
  <si>
    <t xml:space="preserve">Tài khoản 21 - </t>
  </si>
  <si>
    <t>Báo cáo chi tiết tài sản cố định</t>
  </si>
  <si>
    <t>Địa chỉ : Khu CN Châu Sơn, P. Châu Sơn, TP. Phủ Lý, Tỉnh Hà Nam, Việt Nam</t>
  </si>
  <si>
    <t>Công ty Cổ phần CASLA</t>
  </si>
  <si>
    <t>xxx</t>
  </si>
  <si>
    <t xml:space="preserve"> Ngày   Tháng    Năm  2025                          </t>
  </si>
  <si>
    <t>Từ ngày 01/01/2024 Đến ngày 31/05/2025</t>
  </si>
  <si>
    <t>Mã tài sản</t>
  </si>
  <si>
    <t xml:space="preserve">Tên tài sản </t>
  </si>
  <si>
    <t>BÁO CÁO TÌNH HÌNH TĂNG GIẢM TÀI SẢN 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</si>
</sst>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0.00\ ;[Red]\(###\ ###\ ##0.00\)\ ;\ "/>
    <numFmt numFmtId="165" formatCode="###\ ###\ ###\ ###\ ;[Red]\(###\ ###\ ###\ ###\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9.1999999999999993"/>
      <color indexed="10"/>
      <name val="Times New Roman"/>
      <family val="1"/>
    </font>
    <font>
      <b/>
      <sz val="10"/>
      <name val="Times New Roman"/>
      <family val="1"/>
    </font>
    <font>
      <b/>
      <sz val="9.1"/>
      <name val="Times New Roman"/>
      <family val="1"/>
    </font>
    <font>
      <b/>
      <sz val="12"/>
      <color indexed="10"/>
      <name val="Times New Roman"/>
      <family val="1"/>
    </font>
    <font>
      <sz val="11"/>
      <name val="Arial"/>
      <family val="2"/>
    </font>
    <font>
      <b/>
      <sz val="11"/>
      <name val="Times New Roman"/>
      <family val="1"/>
    </font>
    <font>
      <sz val="14"/>
      <name val="Arial"/>
      <family val="2"/>
    </font>
    <font>
      <b/>
      <sz val="16"/>
      <color indexed="10"/>
      <name val="Times New Roman"/>
      <family val="1"/>
    </font>
    <font>
      <sz val="16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4">
    <xf numFmtId="0" fontId="0" fillId="0" borderId="0" xfId="0"/>
    <xf numFmtId="0" fontId="2" fillId="0" borderId="0" xfId="1"/>
    <xf numFmtId="165" fontId="3" fillId="0" borderId="0" xfId="1" applyNumberFormat="1" applyFont="1"/>
    <xf numFmtId="164" fontId="3" fillId="0" borderId="0" xfId="1" applyNumberFormat="1" applyFont="1"/>
    <xf numFmtId="14" fontId="3" fillId="0" borderId="0" xfId="1" applyNumberFormat="1" applyFont="1"/>
    <xf numFmtId="0" fontId="3" fillId="0" borderId="0" xfId="1" applyFont="1"/>
    <xf numFmtId="165" fontId="5" fillId="0" borderId="1" xfId="1" applyNumberFormat="1" applyFont="1" applyBorder="1"/>
    <xf numFmtId="164" fontId="5" fillId="0" borderId="1" xfId="1" applyNumberFormat="1" applyFont="1" applyBorder="1"/>
    <xf numFmtId="14" fontId="5" fillId="0" borderId="1" xfId="1" applyNumberFormat="1" applyFont="1" applyBorder="1"/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165" fontId="3" fillId="0" borderId="1" xfId="1" applyNumberFormat="1" applyFont="1" applyBorder="1"/>
    <xf numFmtId="164" fontId="3" fillId="0" borderId="1" xfId="1" applyNumberFormat="1" applyFont="1" applyBorder="1"/>
    <xf numFmtId="14" fontId="3" fillId="0" borderId="1" xfId="1" applyNumberFormat="1" applyFont="1" applyBorder="1"/>
    <xf numFmtId="0" fontId="3" fillId="0" borderId="1" xfId="1" applyFont="1" applyBorder="1"/>
    <xf numFmtId="0" fontId="1" fillId="0" borderId="0" xfId="1" applyFont="1"/>
    <xf numFmtId="165" fontId="6" fillId="0" borderId="1" xfId="1" applyNumberFormat="1" applyFont="1" applyBorder="1"/>
    <xf numFmtId="164" fontId="6" fillId="0" borderId="1" xfId="1" applyNumberFormat="1" applyFont="1" applyBorder="1"/>
    <xf numFmtId="14" fontId="6" fillId="0" borderId="1" xfId="1" applyNumberFormat="1" applyFont="1" applyBorder="1"/>
    <xf numFmtId="0" fontId="6" fillId="0" borderId="1" xfId="1" applyFont="1" applyBorder="1"/>
    <xf numFmtId="165" fontId="4" fillId="0" borderId="1" xfId="1" applyNumberFormat="1" applyFont="1" applyBorder="1" applyAlignment="1">
      <alignment horizontal="center" vertical="center" wrapText="1"/>
    </xf>
    <xf numFmtId="0" fontId="3" fillId="0" borderId="4" xfId="1" applyFont="1" applyBorder="1"/>
    <xf numFmtId="0" fontId="6" fillId="0" borderId="4" xfId="1" applyFont="1" applyBorder="1"/>
    <xf numFmtId="0" fontId="5" fillId="0" borderId="4" xfId="1" applyFont="1" applyBorder="1" applyAlignment="1">
      <alignment horizontal="center"/>
    </xf>
    <xf numFmtId="0" fontId="2" fillId="0" borderId="3" xfId="1" applyBorder="1"/>
    <xf numFmtId="0" fontId="1" fillId="0" borderId="3" xfId="1" applyFont="1" applyBorder="1"/>
    <xf numFmtId="0" fontId="9" fillId="0" borderId="0" xfId="1" applyFont="1"/>
    <xf numFmtId="0" fontId="10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5" xfId="1" applyBorder="1" applyAlignment="1">
      <alignment horizontal="center"/>
    </xf>
    <xf numFmtId="0" fontId="2" fillId="0" borderId="6" xfId="1" applyBorder="1" applyAlignment="1">
      <alignment horizontal="center"/>
    </xf>
    <xf numFmtId="0" fontId="7" fillId="0" borderId="1" xfId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15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16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14" fillId="0" borderId="2" xfId="1" applyFont="1" applyBorder="1" applyAlignment="1">
      <alignment horizontal="center"/>
    </xf>
    <xf numFmtId="0" fontId="2" fillId="0" borderId="2" xfId="1" applyBorder="1" applyAlignment="1">
      <alignment horizontal="center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right" vertical="center"/>
    </xf>
    <xf numFmtId="0" fontId="2" fillId="0" borderId="0" xfId="1" applyAlignment="1">
      <alignment vertical="center"/>
    </xf>
    <xf numFmtId="165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3" fillId="0" borderId="2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Bình thường" xfId="0" builtinId="0"/>
    <cellStyle name="Normal 2" xfId="1" xr:uid="{886D6BCE-AE83-4CE2-991D-91701167106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38CE-27A8-40E5-8C40-AD1D69DB89B6}">
  <sheetPr>
    <pageSetUpPr autoPageBreaks="0"/>
  </sheetPr>
  <dimension ref="A1:R37"/>
  <sheetViews>
    <sheetView showGridLines="0" workbookViewId="0">
      <pane ySplit="9" topLeftCell="A12" activePane="bottomLeft" state="frozen"/>
      <selection pane="bottomLeft" activeCell="C33" sqref="A1:XFD1048576"/>
    </sheetView>
  </sheetViews>
  <sheetFormatPr defaultColWidth="9.109375" defaultRowHeight="13.2" x14ac:dyDescent="0.25"/>
  <cols>
    <col min="1" max="1" width="12.33203125" style="5" bestFit="1" customWidth="1"/>
    <col min="2" max="2" width="6.109375" style="5" bestFit="1" customWidth="1"/>
    <col min="3" max="3" width="77.5546875" style="5" customWidth="1"/>
    <col min="4" max="4" width="8.6640625" style="4" bestFit="1" customWidth="1"/>
    <col min="5" max="5" width="6.109375" style="3" bestFit="1" customWidth="1"/>
    <col min="6" max="6" width="14.88671875" style="2" bestFit="1" customWidth="1"/>
    <col min="7" max="7" width="13.88671875" style="2" bestFit="1" customWidth="1"/>
    <col min="8" max="9" width="14.88671875" style="2" bestFit="1" customWidth="1"/>
    <col min="10" max="10" width="12.6640625" style="2" bestFit="1" customWidth="1"/>
    <col min="11" max="11" width="14.88671875" style="2" bestFit="1" customWidth="1"/>
    <col min="12" max="12" width="13.88671875" style="2" bestFit="1" customWidth="1"/>
    <col min="13" max="13" width="9.44140625" style="2" bestFit="1" customWidth="1"/>
    <col min="14" max="14" width="11.6640625" style="2" bestFit="1" customWidth="1"/>
    <col min="15" max="15" width="13.88671875" style="2" bestFit="1" customWidth="1"/>
    <col min="16" max="18" width="14.88671875" style="2" bestFit="1" customWidth="1"/>
    <col min="19" max="16384" width="9.109375" style="1"/>
  </cols>
  <sheetData>
    <row r="1" spans="1:18" x14ac:dyDescent="0.25">
      <c r="A1" s="59" t="s">
        <v>76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8" x14ac:dyDescent="0.25">
      <c r="A2" s="61" t="s">
        <v>75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4" spans="1:18" ht="15.6" x14ac:dyDescent="0.3">
      <c r="A4" s="62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</row>
    <row r="5" spans="1:18" x14ac:dyDescent="0.25">
      <c r="A5" s="59" t="s">
        <v>79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</row>
    <row r="6" spans="1:18" x14ac:dyDescent="0.25">
      <c r="A6" s="63" t="s">
        <v>73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</row>
    <row r="8" spans="1:18" x14ac:dyDescent="0.25">
      <c r="A8" s="56" t="s">
        <v>72</v>
      </c>
      <c r="B8" s="48" t="s">
        <v>71</v>
      </c>
      <c r="C8" s="56" t="s">
        <v>70</v>
      </c>
      <c r="D8" s="57" t="s">
        <v>69</v>
      </c>
      <c r="E8" s="58" t="s">
        <v>18</v>
      </c>
      <c r="F8" s="33" t="s">
        <v>68</v>
      </c>
      <c r="G8" s="34"/>
      <c r="H8" s="34"/>
      <c r="I8" s="33" t="s">
        <v>67</v>
      </c>
      <c r="J8" s="34"/>
      <c r="K8" s="34"/>
      <c r="L8" s="33" t="s">
        <v>66</v>
      </c>
      <c r="M8" s="34"/>
      <c r="N8" s="34"/>
      <c r="O8" s="55" t="s">
        <v>65</v>
      </c>
      <c r="P8" s="33" t="s">
        <v>64</v>
      </c>
      <c r="Q8" s="34"/>
      <c r="R8" s="34"/>
    </row>
    <row r="9" spans="1:18" ht="22.8" x14ac:dyDescent="0.25">
      <c r="A9" s="50"/>
      <c r="B9" s="49"/>
      <c r="C9" s="50"/>
      <c r="D9" s="51"/>
      <c r="E9" s="52"/>
      <c r="F9" s="20" t="s">
        <v>63</v>
      </c>
      <c r="G9" s="20" t="s">
        <v>62</v>
      </c>
      <c r="H9" s="20" t="s">
        <v>61</v>
      </c>
      <c r="I9" s="20" t="s">
        <v>60</v>
      </c>
      <c r="J9" s="20" t="s">
        <v>59</v>
      </c>
      <c r="K9" s="20" t="s">
        <v>58</v>
      </c>
      <c r="L9" s="20" t="s">
        <v>57</v>
      </c>
      <c r="M9" s="20" t="s">
        <v>56</v>
      </c>
      <c r="N9" s="20" t="s">
        <v>55</v>
      </c>
      <c r="O9" s="35"/>
      <c r="P9" s="20" t="s">
        <v>54</v>
      </c>
      <c r="Q9" s="20" t="s">
        <v>19</v>
      </c>
      <c r="R9" s="20" t="s">
        <v>20</v>
      </c>
    </row>
    <row r="10" spans="1:18" x14ac:dyDescent="0.25">
      <c r="A10" s="14"/>
      <c r="B10" s="14"/>
      <c r="C10" s="14"/>
      <c r="D10" s="13"/>
      <c r="E10" s="12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s="15" customFormat="1" x14ac:dyDescent="0.25">
      <c r="A11" s="19" t="s">
        <v>0</v>
      </c>
      <c r="B11" s="19" t="s">
        <v>1</v>
      </c>
      <c r="C11" s="19" t="s">
        <v>53</v>
      </c>
      <c r="D11" s="18" t="s">
        <v>2</v>
      </c>
      <c r="E11" s="17">
        <v>0</v>
      </c>
      <c r="F11" s="16">
        <v>182752724744</v>
      </c>
      <c r="G11" s="16">
        <v>47319931810</v>
      </c>
      <c r="H11" s="16">
        <v>135432792934</v>
      </c>
      <c r="I11" s="16">
        <v>152372093442</v>
      </c>
      <c r="J11" s="16">
        <v>21951284</v>
      </c>
      <c r="K11" s="16">
        <v>152350142158</v>
      </c>
      <c r="L11" s="16">
        <v>1538347832</v>
      </c>
      <c r="M11" s="16">
        <v>0</v>
      </c>
      <c r="N11" s="16">
        <v>0</v>
      </c>
      <c r="O11" s="16">
        <v>23968181904</v>
      </c>
      <c r="P11" s="16">
        <v>333586470354</v>
      </c>
      <c r="Q11" s="16">
        <v>94832943710</v>
      </c>
      <c r="R11" s="16">
        <v>238753526644</v>
      </c>
    </row>
    <row r="12" spans="1:18" s="15" customFormat="1" x14ac:dyDescent="0.25">
      <c r="A12" s="19" t="s">
        <v>3</v>
      </c>
      <c r="B12" s="19" t="s">
        <v>1</v>
      </c>
      <c r="C12" s="19" t="s">
        <v>52</v>
      </c>
      <c r="D12" s="18" t="s">
        <v>2</v>
      </c>
      <c r="E12" s="17">
        <v>0</v>
      </c>
      <c r="F12" s="16" t="s">
        <v>77</v>
      </c>
      <c r="G12" s="16" t="s">
        <v>77</v>
      </c>
      <c r="H12" s="16" t="s">
        <v>77</v>
      </c>
      <c r="I12" s="16" t="s">
        <v>77</v>
      </c>
      <c r="J12" s="16" t="s">
        <v>77</v>
      </c>
      <c r="K12" s="16" t="s">
        <v>77</v>
      </c>
      <c r="L12" s="16" t="s">
        <v>77</v>
      </c>
      <c r="M12" s="16">
        <v>0</v>
      </c>
      <c r="N12" s="16">
        <v>0</v>
      </c>
      <c r="O12" s="16" t="s">
        <v>77</v>
      </c>
      <c r="P12" s="16" t="s">
        <v>77</v>
      </c>
      <c r="Q12" s="16" t="s">
        <v>77</v>
      </c>
      <c r="R12" s="16" t="s">
        <v>77</v>
      </c>
    </row>
    <row r="13" spans="1:18" s="15" customFormat="1" x14ac:dyDescent="0.25">
      <c r="A13" s="19" t="s">
        <v>4</v>
      </c>
      <c r="B13" s="19" t="s">
        <v>1</v>
      </c>
      <c r="C13" s="19" t="s">
        <v>51</v>
      </c>
      <c r="D13" s="18" t="s">
        <v>2</v>
      </c>
      <c r="E13" s="17">
        <v>0</v>
      </c>
      <c r="F13" s="16">
        <f>+SUM(F14:F16)</f>
        <v>29681968396</v>
      </c>
      <c r="G13" s="16">
        <f t="shared" ref="G13:K13" si="0">+SUM(G14:G16)</f>
        <v>11146696167</v>
      </c>
      <c r="H13" s="16">
        <f t="shared" si="0"/>
        <v>18535272229</v>
      </c>
      <c r="I13" s="16">
        <f t="shared" si="0"/>
        <v>0</v>
      </c>
      <c r="J13" s="16">
        <f t="shared" si="0"/>
        <v>0</v>
      </c>
      <c r="K13" s="16">
        <f t="shared" si="0"/>
        <v>0</v>
      </c>
      <c r="L13" s="16">
        <v>0</v>
      </c>
      <c r="M13" s="16">
        <v>0</v>
      </c>
      <c r="N13" s="16">
        <v>0</v>
      </c>
      <c r="O13" s="16">
        <f t="shared" ref="O13:R13" si="1">+SUM(O14:O16)</f>
        <v>3710246040</v>
      </c>
      <c r="P13" s="16">
        <f t="shared" si="1"/>
        <v>29681968396</v>
      </c>
      <c r="Q13" s="16">
        <f t="shared" si="1"/>
        <v>18567188247</v>
      </c>
      <c r="R13" s="16">
        <f t="shared" si="1"/>
        <v>11114780149</v>
      </c>
    </row>
    <row r="14" spans="1:18" x14ac:dyDescent="0.25">
      <c r="A14" s="14" t="s">
        <v>5</v>
      </c>
      <c r="B14" s="14" t="s">
        <v>6</v>
      </c>
      <c r="C14" s="14" t="s">
        <v>50</v>
      </c>
      <c r="D14" s="13">
        <v>43920</v>
      </c>
      <c r="E14" s="12">
        <v>0</v>
      </c>
      <c r="F14" s="11">
        <v>11103440790</v>
      </c>
      <c r="G14" s="11">
        <v>4169759877</v>
      </c>
      <c r="H14" s="11">
        <v>6933680913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1387930095</v>
      </c>
      <c r="P14" s="11">
        <v>11103440790</v>
      </c>
      <c r="Q14" s="11">
        <v>6945620067</v>
      </c>
      <c r="R14" s="11">
        <v>4157820723</v>
      </c>
    </row>
    <row r="15" spans="1:18" x14ac:dyDescent="0.25">
      <c r="A15" s="14" t="s">
        <v>7</v>
      </c>
      <c r="B15" s="14" t="s">
        <v>8</v>
      </c>
      <c r="C15" s="14" t="s">
        <v>49</v>
      </c>
      <c r="D15" s="13">
        <v>43920</v>
      </c>
      <c r="E15" s="12">
        <v>0</v>
      </c>
      <c r="F15" s="11">
        <v>13618904063</v>
      </c>
      <c r="G15" s="11">
        <v>5114411006</v>
      </c>
      <c r="H15" s="11">
        <v>8504493057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1702363005</v>
      </c>
      <c r="P15" s="11">
        <v>13618904063</v>
      </c>
      <c r="Q15" s="11">
        <v>8519137016</v>
      </c>
      <c r="R15" s="11">
        <v>5099767047</v>
      </c>
    </row>
    <row r="16" spans="1:18" x14ac:dyDescent="0.25">
      <c r="A16" s="14" t="s">
        <v>9</v>
      </c>
      <c r="B16" s="14" t="s">
        <v>10</v>
      </c>
      <c r="C16" s="14" t="s">
        <v>48</v>
      </c>
      <c r="D16" s="13">
        <v>43920</v>
      </c>
      <c r="E16" s="12">
        <v>0</v>
      </c>
      <c r="F16" s="11">
        <v>4959623543</v>
      </c>
      <c r="G16" s="11">
        <v>1862525284</v>
      </c>
      <c r="H16" s="11">
        <v>3097098259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619952940</v>
      </c>
      <c r="P16" s="11">
        <v>4959623543</v>
      </c>
      <c r="Q16" s="11">
        <v>3102431164</v>
      </c>
      <c r="R16" s="11">
        <v>1857192379</v>
      </c>
    </row>
    <row r="17" spans="1:18" s="15" customFormat="1" x14ac:dyDescent="0.25">
      <c r="A17" s="19" t="s">
        <v>11</v>
      </c>
      <c r="B17" s="19" t="s">
        <v>1</v>
      </c>
      <c r="C17" s="19" t="s">
        <v>47</v>
      </c>
      <c r="D17" s="18" t="s">
        <v>2</v>
      </c>
      <c r="E17" s="17">
        <v>0</v>
      </c>
      <c r="F17" s="16">
        <f>+SUM(F18:F20)</f>
        <v>44875668853</v>
      </c>
      <c r="G17" s="16">
        <f t="shared" ref="G17:R17" si="2">+SUM(G18:G20)</f>
        <v>6520929869</v>
      </c>
      <c r="H17" s="16">
        <f t="shared" si="2"/>
        <v>38354738984</v>
      </c>
      <c r="I17" s="16">
        <f t="shared" si="2"/>
        <v>0</v>
      </c>
      <c r="J17" s="16">
        <f t="shared" si="2"/>
        <v>0</v>
      </c>
      <c r="K17" s="16">
        <f t="shared" si="2"/>
        <v>0</v>
      </c>
      <c r="L17" s="16">
        <f t="shared" si="2"/>
        <v>0</v>
      </c>
      <c r="M17" s="16">
        <f t="shared" si="2"/>
        <v>0</v>
      </c>
      <c r="N17" s="16">
        <f t="shared" si="2"/>
        <v>0</v>
      </c>
      <c r="O17" s="16">
        <f t="shared" si="2"/>
        <v>5609458605</v>
      </c>
      <c r="P17" s="16">
        <f t="shared" si="2"/>
        <v>44875668853</v>
      </c>
      <c r="Q17" s="16">
        <f t="shared" si="2"/>
        <v>17739847079</v>
      </c>
      <c r="R17" s="16">
        <f t="shared" si="2"/>
        <v>27135821774</v>
      </c>
    </row>
    <row r="18" spans="1:18" x14ac:dyDescent="0.25">
      <c r="A18" s="14" t="s">
        <v>12</v>
      </c>
      <c r="B18" s="14" t="s">
        <v>13</v>
      </c>
      <c r="C18" s="14" t="s">
        <v>46</v>
      </c>
      <c r="D18" s="13">
        <v>44713</v>
      </c>
      <c r="E18" s="12">
        <v>0</v>
      </c>
      <c r="F18" s="11">
        <v>11518313999</v>
      </c>
      <c r="G18" s="11">
        <v>1665885122</v>
      </c>
      <c r="H18" s="11">
        <v>9852428877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1439789250</v>
      </c>
      <c r="P18" s="11">
        <v>11518313999</v>
      </c>
      <c r="Q18" s="11">
        <v>4545463622</v>
      </c>
      <c r="R18" s="11">
        <v>6972850377</v>
      </c>
    </row>
    <row r="19" spans="1:18" x14ac:dyDescent="0.25">
      <c r="A19" s="14" t="s">
        <v>14</v>
      </c>
      <c r="B19" s="14" t="s">
        <v>15</v>
      </c>
      <c r="C19" s="14" t="s">
        <v>45</v>
      </c>
      <c r="D19" s="13">
        <v>44713</v>
      </c>
      <c r="E19" s="12">
        <v>0</v>
      </c>
      <c r="F19" s="11">
        <v>16832287553</v>
      </c>
      <c r="G19" s="11">
        <v>2439401485</v>
      </c>
      <c r="H19" s="11">
        <v>14392886068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2104035945</v>
      </c>
      <c r="P19" s="11">
        <v>16832287553</v>
      </c>
      <c r="Q19" s="11">
        <v>6647473375</v>
      </c>
      <c r="R19" s="11">
        <v>10184814178</v>
      </c>
    </row>
    <row r="20" spans="1:18" x14ac:dyDescent="0.25">
      <c r="A20" s="14" t="s">
        <v>16</v>
      </c>
      <c r="B20" s="14" t="s">
        <v>17</v>
      </c>
      <c r="C20" s="14" t="s">
        <v>44</v>
      </c>
      <c r="D20" s="13">
        <v>44713</v>
      </c>
      <c r="E20" s="12">
        <v>0</v>
      </c>
      <c r="F20" s="11">
        <v>16525067301</v>
      </c>
      <c r="G20" s="11">
        <v>2415643262</v>
      </c>
      <c r="H20" s="11">
        <v>14109424039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2065633410</v>
      </c>
      <c r="P20" s="11">
        <v>16525067301</v>
      </c>
      <c r="Q20" s="11">
        <v>6546910082</v>
      </c>
      <c r="R20" s="11">
        <v>9978157219</v>
      </c>
    </row>
    <row r="21" spans="1:18" s="15" customFormat="1" x14ac:dyDescent="0.25">
      <c r="A21" s="19" t="s">
        <v>43</v>
      </c>
      <c r="B21" s="19" t="s">
        <v>1</v>
      </c>
      <c r="C21" s="19" t="s">
        <v>42</v>
      </c>
      <c r="D21" s="18" t="s">
        <v>2</v>
      </c>
      <c r="E21" s="17">
        <v>0</v>
      </c>
      <c r="F21" s="16">
        <f>+SUM(F22:F27)</f>
        <v>6304989637</v>
      </c>
      <c r="G21" s="16">
        <f t="shared" ref="G21:R21" si="3">+SUM(G22:G27)</f>
        <v>3276927782</v>
      </c>
      <c r="H21" s="16">
        <f t="shared" si="3"/>
        <v>3028061855</v>
      </c>
      <c r="I21" s="16">
        <f t="shared" si="3"/>
        <v>319000000</v>
      </c>
      <c r="J21" s="16">
        <f t="shared" si="3"/>
        <v>41452235</v>
      </c>
      <c r="K21" s="16">
        <f t="shared" si="3"/>
        <v>277547765</v>
      </c>
      <c r="L21" s="16">
        <f t="shared" si="3"/>
        <v>34545455</v>
      </c>
      <c r="M21" s="16">
        <f t="shared" si="3"/>
        <v>0</v>
      </c>
      <c r="N21" s="16">
        <f t="shared" si="3"/>
        <v>0</v>
      </c>
      <c r="O21" s="16">
        <f t="shared" si="3"/>
        <v>1026398885</v>
      </c>
      <c r="P21" s="16">
        <f t="shared" si="3"/>
        <v>6589444182</v>
      </c>
      <c r="Q21" s="16">
        <f t="shared" si="3"/>
        <v>5303037812</v>
      </c>
      <c r="R21" s="16">
        <f t="shared" si="3"/>
        <v>1286406370</v>
      </c>
    </row>
    <row r="22" spans="1:18" x14ac:dyDescent="0.25">
      <c r="A22" s="14" t="s">
        <v>41</v>
      </c>
      <c r="B22" s="14" t="s">
        <v>40</v>
      </c>
      <c r="C22" s="14" t="s">
        <v>39</v>
      </c>
      <c r="D22" s="13">
        <v>43920</v>
      </c>
      <c r="E22" s="12">
        <v>0</v>
      </c>
      <c r="F22" s="11">
        <v>85106909</v>
      </c>
      <c r="G22" s="11">
        <v>45658331</v>
      </c>
      <c r="H22" s="11">
        <v>39448578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15197655</v>
      </c>
      <c r="P22" s="11">
        <v>85106909</v>
      </c>
      <c r="Q22" s="11">
        <v>76053641</v>
      </c>
      <c r="R22" s="11">
        <v>9053268</v>
      </c>
    </row>
    <row r="23" spans="1:18" x14ac:dyDescent="0.25">
      <c r="A23" s="14" t="s">
        <v>38</v>
      </c>
      <c r="B23" s="14" t="s">
        <v>37</v>
      </c>
      <c r="C23" s="14" t="s">
        <v>36</v>
      </c>
      <c r="D23" s="13">
        <v>43920</v>
      </c>
      <c r="E23" s="12">
        <v>0</v>
      </c>
      <c r="F23" s="11">
        <v>6185337273</v>
      </c>
      <c r="G23" s="11">
        <v>3207871751</v>
      </c>
      <c r="H23" s="11">
        <v>2977465522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966458955</v>
      </c>
      <c r="P23" s="11">
        <v>6185337273</v>
      </c>
      <c r="Q23" s="11">
        <v>5140789661</v>
      </c>
      <c r="R23" s="11">
        <v>1044547612</v>
      </c>
    </row>
    <row r="24" spans="1:18" x14ac:dyDescent="0.25">
      <c r="A24" s="14" t="s">
        <v>22</v>
      </c>
      <c r="B24" s="14" t="s">
        <v>23</v>
      </c>
      <c r="C24" s="14" t="s">
        <v>35</v>
      </c>
      <c r="D24" s="13">
        <v>43950</v>
      </c>
      <c r="E24" s="12">
        <v>0</v>
      </c>
      <c r="F24" s="11">
        <v>34545455</v>
      </c>
      <c r="G24" s="11">
        <v>23397700</v>
      </c>
      <c r="H24" s="11">
        <v>11147755</v>
      </c>
      <c r="I24" s="11">
        <v>0</v>
      </c>
      <c r="J24" s="11">
        <v>0</v>
      </c>
      <c r="K24" s="11">
        <v>0</v>
      </c>
      <c r="L24" s="11">
        <v>34545455</v>
      </c>
      <c r="M24" s="11">
        <v>0</v>
      </c>
      <c r="N24" s="11">
        <v>0</v>
      </c>
      <c r="O24" s="11">
        <v>3290040</v>
      </c>
      <c r="P24" s="11">
        <v>0</v>
      </c>
      <c r="Q24" s="11">
        <v>3290040</v>
      </c>
      <c r="R24" s="11">
        <v>-3290040</v>
      </c>
    </row>
    <row r="25" spans="1:18" x14ac:dyDescent="0.25">
      <c r="A25" s="14" t="s">
        <v>34</v>
      </c>
      <c r="B25" s="14" t="s">
        <v>33</v>
      </c>
      <c r="C25" s="14" t="s">
        <v>32</v>
      </c>
      <c r="D25" s="13">
        <v>45446</v>
      </c>
      <c r="E25" s="12">
        <v>0</v>
      </c>
      <c r="F25" s="11">
        <v>0</v>
      </c>
      <c r="G25" s="11">
        <v>0</v>
      </c>
      <c r="H25" s="11">
        <v>0</v>
      </c>
      <c r="I25" s="11">
        <v>134000000</v>
      </c>
      <c r="J25" s="11">
        <v>18487036</v>
      </c>
      <c r="K25" s="11">
        <v>115512964</v>
      </c>
      <c r="L25" s="11">
        <v>0</v>
      </c>
      <c r="M25" s="11">
        <v>0</v>
      </c>
      <c r="N25" s="11">
        <v>0</v>
      </c>
      <c r="O25" s="11">
        <v>18487036</v>
      </c>
      <c r="P25" s="11">
        <v>134000000</v>
      </c>
      <c r="Q25" s="11">
        <v>36974072</v>
      </c>
      <c r="R25" s="11">
        <v>97025928</v>
      </c>
    </row>
    <row r="26" spans="1:18" x14ac:dyDescent="0.25">
      <c r="A26" s="14" t="s">
        <v>31</v>
      </c>
      <c r="B26" s="14" t="s">
        <v>30</v>
      </c>
      <c r="C26" s="14" t="s">
        <v>29</v>
      </c>
      <c r="D26" s="13">
        <v>45454</v>
      </c>
      <c r="E26" s="12">
        <v>0</v>
      </c>
      <c r="F26" s="11">
        <v>0</v>
      </c>
      <c r="G26" s="11">
        <v>0</v>
      </c>
      <c r="H26" s="11">
        <v>0</v>
      </c>
      <c r="I26" s="11">
        <v>125000000</v>
      </c>
      <c r="J26" s="11">
        <v>16782406</v>
      </c>
      <c r="K26" s="11">
        <v>108217594</v>
      </c>
      <c r="L26" s="11">
        <v>0</v>
      </c>
      <c r="M26" s="11">
        <v>0</v>
      </c>
      <c r="N26" s="11">
        <v>0</v>
      </c>
      <c r="O26" s="11">
        <v>16782406</v>
      </c>
      <c r="P26" s="11">
        <v>125000000</v>
      </c>
      <c r="Q26" s="11">
        <v>33564812</v>
      </c>
      <c r="R26" s="11">
        <v>91435188</v>
      </c>
    </row>
    <row r="27" spans="1:18" ht="12" customHeight="1" x14ac:dyDescent="0.25">
      <c r="A27" s="14" t="s">
        <v>28</v>
      </c>
      <c r="B27" s="14" t="s">
        <v>27</v>
      </c>
      <c r="C27" s="14" t="s">
        <v>26</v>
      </c>
      <c r="D27" s="13">
        <v>45523</v>
      </c>
      <c r="E27" s="12">
        <v>0</v>
      </c>
      <c r="F27" s="11">
        <v>0</v>
      </c>
      <c r="G27" s="11">
        <v>0</v>
      </c>
      <c r="H27" s="11">
        <v>0</v>
      </c>
      <c r="I27" s="11">
        <v>60000000</v>
      </c>
      <c r="J27" s="11">
        <v>6182793</v>
      </c>
      <c r="K27" s="11">
        <v>53817207</v>
      </c>
      <c r="L27" s="11">
        <v>0</v>
      </c>
      <c r="M27" s="11">
        <v>0</v>
      </c>
      <c r="N27" s="11">
        <v>0</v>
      </c>
      <c r="O27" s="11">
        <v>6182793</v>
      </c>
      <c r="P27" s="11">
        <v>60000000</v>
      </c>
      <c r="Q27" s="11">
        <v>12365586</v>
      </c>
      <c r="R27" s="11">
        <v>47634414</v>
      </c>
    </row>
    <row r="28" spans="1:18" x14ac:dyDescent="0.25">
      <c r="A28" s="14"/>
      <c r="B28" s="14"/>
      <c r="C28" s="14"/>
      <c r="D28" s="13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5">
      <c r="A29" s="10" t="s">
        <v>25</v>
      </c>
      <c r="B29" s="9"/>
      <c r="C29" s="9"/>
      <c r="D29" s="8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1" spans="1:18" x14ac:dyDescent="0.25">
      <c r="A31" s="53" t="s">
        <v>78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</row>
    <row r="32" spans="1:18" x14ac:dyDescent="0.25">
      <c r="A32" s="29" t="s">
        <v>24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7" spans="1:18" x14ac:dyDescent="0.25">
      <c r="A37" s="29" t="s">
        <v>21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</sheetData>
  <mergeCells count="18">
    <mergeCell ref="A1:R1"/>
    <mergeCell ref="A2:R2"/>
    <mergeCell ref="A4:R4"/>
    <mergeCell ref="A5:R5"/>
    <mergeCell ref="A6:R6"/>
    <mergeCell ref="A31:R31"/>
    <mergeCell ref="A32:R32"/>
    <mergeCell ref="A37:R37"/>
    <mergeCell ref="I8:K8"/>
    <mergeCell ref="L8:N8"/>
    <mergeCell ref="O8:O9"/>
    <mergeCell ref="P8:R8"/>
    <mergeCell ref="F8:H8"/>
    <mergeCell ref="A8:A9"/>
    <mergeCell ref="B8:B9"/>
    <mergeCell ref="C8:C9"/>
    <mergeCell ref="D8:D9"/>
    <mergeCell ref="E8:E9"/>
  </mergeCells>
  <pageMargins left="1.0416666666666666E-2" right="6.9444444444444441E-3" top="1.0416666666666666E-2" bottom="6.9444444444444441E-3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4379-B650-4F34-A8B9-D604B43D5647}">
  <dimension ref="A1:S37"/>
  <sheetViews>
    <sheetView tabSelected="1" topLeftCell="B1" zoomScale="91" workbookViewId="0">
      <selection activeCell="H39" sqref="H39"/>
    </sheetView>
  </sheetViews>
  <sheetFormatPr defaultColWidth="9.109375" defaultRowHeight="13.2" x14ac:dyDescent="0.25"/>
  <cols>
    <col min="1" max="1" width="0" style="1" hidden="1" customWidth="1"/>
    <col min="2" max="2" width="12.33203125" style="5" bestFit="1" customWidth="1"/>
    <col min="3" max="3" width="6.109375" style="5" hidden="1" customWidth="1"/>
    <col min="4" max="4" width="77.5546875" style="5" customWidth="1"/>
    <col min="5" max="5" width="8.6640625" style="4" bestFit="1" customWidth="1"/>
    <col min="6" max="6" width="6.109375" style="3" hidden="1" customWidth="1"/>
    <col min="7" max="7" width="14.88671875" style="2" bestFit="1" customWidth="1"/>
    <col min="8" max="8" width="13.88671875" style="2" bestFit="1" customWidth="1"/>
    <col min="9" max="10" width="14.88671875" style="2" bestFit="1" customWidth="1"/>
    <col min="11" max="11" width="12.6640625" style="2" bestFit="1" customWidth="1"/>
    <col min="12" max="12" width="14.88671875" style="2" bestFit="1" customWidth="1"/>
    <col min="13" max="13" width="13.88671875" style="2" bestFit="1" customWidth="1"/>
    <col min="14" max="14" width="9.44140625" style="2" bestFit="1" customWidth="1"/>
    <col min="15" max="15" width="11.6640625" style="2" bestFit="1" customWidth="1"/>
    <col min="16" max="16" width="13.88671875" style="2" bestFit="1" customWidth="1"/>
    <col min="17" max="19" width="14.88671875" style="2" bestFit="1" customWidth="1"/>
    <col min="20" max="16384" width="9.109375" style="1"/>
  </cols>
  <sheetData>
    <row r="1" spans="1:19" ht="18" x14ac:dyDescent="0.35">
      <c r="B1" s="38" t="s">
        <v>76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x14ac:dyDescent="0.25">
      <c r="B2" s="40" t="s">
        <v>75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4" spans="1:19" ht="20.399999999999999" x14ac:dyDescent="0.35">
      <c r="B4" s="42" t="s">
        <v>82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 ht="13.8" x14ac:dyDescent="0.25">
      <c r="B5" s="44" t="s">
        <v>79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</row>
    <row r="6" spans="1:19" ht="13.8" x14ac:dyDescent="0.25">
      <c r="B6" s="46" t="s">
        <v>73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</row>
    <row r="8" spans="1:19" x14ac:dyDescent="0.25">
      <c r="A8" s="31"/>
      <c r="B8" s="47" t="s">
        <v>80</v>
      </c>
      <c r="C8" s="48" t="s">
        <v>71</v>
      </c>
      <c r="D8" s="50" t="s">
        <v>81</v>
      </c>
      <c r="E8" s="51" t="s">
        <v>69</v>
      </c>
      <c r="F8" s="52" t="s">
        <v>18</v>
      </c>
      <c r="G8" s="33" t="s">
        <v>68</v>
      </c>
      <c r="H8" s="34"/>
      <c r="I8" s="34"/>
      <c r="J8" s="33" t="s">
        <v>67</v>
      </c>
      <c r="K8" s="34"/>
      <c r="L8" s="34"/>
      <c r="M8" s="33" t="s">
        <v>66</v>
      </c>
      <c r="N8" s="34"/>
      <c r="O8" s="34"/>
      <c r="P8" s="35" t="s">
        <v>65</v>
      </c>
      <c r="Q8" s="33" t="s">
        <v>64</v>
      </c>
      <c r="R8" s="34"/>
      <c r="S8" s="34"/>
    </row>
    <row r="9" spans="1:19" ht="22.8" x14ac:dyDescent="0.25">
      <c r="A9" s="32"/>
      <c r="B9" s="47"/>
      <c r="C9" s="49"/>
      <c r="D9" s="50"/>
      <c r="E9" s="51"/>
      <c r="F9" s="52"/>
      <c r="G9" s="20" t="s">
        <v>63</v>
      </c>
      <c r="H9" s="20" t="s">
        <v>62</v>
      </c>
      <c r="I9" s="20" t="s">
        <v>61</v>
      </c>
      <c r="J9" s="20" t="s">
        <v>60</v>
      </c>
      <c r="K9" s="20" t="s">
        <v>59</v>
      </c>
      <c r="L9" s="20" t="s">
        <v>58</v>
      </c>
      <c r="M9" s="20" t="s">
        <v>57</v>
      </c>
      <c r="N9" s="20" t="s">
        <v>56</v>
      </c>
      <c r="O9" s="20" t="s">
        <v>55</v>
      </c>
      <c r="P9" s="35"/>
      <c r="Q9" s="20" t="s">
        <v>54</v>
      </c>
      <c r="R9" s="20" t="s">
        <v>19</v>
      </c>
      <c r="S9" s="20" t="s">
        <v>20</v>
      </c>
    </row>
    <row r="10" spans="1:19" hidden="1" x14ac:dyDescent="0.25">
      <c r="A10" s="24"/>
      <c r="B10" s="21"/>
      <c r="C10" s="14"/>
      <c r="D10" s="14"/>
      <c r="E10" s="13"/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s="15" customFormat="1" hidden="1" x14ac:dyDescent="0.25">
      <c r="A11" s="25"/>
      <c r="B11" s="22" t="s">
        <v>0</v>
      </c>
      <c r="C11" s="19" t="s">
        <v>1</v>
      </c>
      <c r="D11" s="19" t="s">
        <v>53</v>
      </c>
      <c r="E11" s="18" t="s">
        <v>2</v>
      </c>
      <c r="F11" s="17">
        <v>0</v>
      </c>
      <c r="G11" s="16">
        <v>182752724744</v>
      </c>
      <c r="H11" s="16">
        <v>47319931810</v>
      </c>
      <c r="I11" s="16">
        <v>135432792934</v>
      </c>
      <c r="J11" s="16">
        <v>152372093442</v>
      </c>
      <c r="K11" s="16">
        <v>21951284</v>
      </c>
      <c r="L11" s="16">
        <v>152350142158</v>
      </c>
      <c r="M11" s="16">
        <v>1538347832</v>
      </c>
      <c r="N11" s="16">
        <v>0</v>
      </c>
      <c r="O11" s="16">
        <v>0</v>
      </c>
      <c r="P11" s="16">
        <v>23968181904</v>
      </c>
      <c r="Q11" s="16">
        <v>333586470354</v>
      </c>
      <c r="R11" s="16">
        <v>94832943710</v>
      </c>
      <c r="S11" s="16">
        <v>238753526644</v>
      </c>
    </row>
    <row r="12" spans="1:19" s="15" customFormat="1" hidden="1" x14ac:dyDescent="0.25">
      <c r="A12" s="25"/>
      <c r="B12" s="22" t="s">
        <v>3</v>
      </c>
      <c r="C12" s="19" t="s">
        <v>1</v>
      </c>
      <c r="D12" s="19" t="s">
        <v>52</v>
      </c>
      <c r="E12" s="18" t="s">
        <v>2</v>
      </c>
      <c r="F12" s="17">
        <v>0</v>
      </c>
      <c r="G12" s="16" t="s">
        <v>77</v>
      </c>
      <c r="H12" s="16" t="s">
        <v>77</v>
      </c>
      <c r="I12" s="16" t="s">
        <v>77</v>
      </c>
      <c r="J12" s="16" t="s">
        <v>77</v>
      </c>
      <c r="K12" s="16" t="s">
        <v>77</v>
      </c>
      <c r="L12" s="16" t="s">
        <v>77</v>
      </c>
      <c r="M12" s="16" t="s">
        <v>77</v>
      </c>
      <c r="N12" s="16">
        <v>0</v>
      </c>
      <c r="O12" s="16">
        <v>0</v>
      </c>
      <c r="P12" s="16" t="s">
        <v>77</v>
      </c>
      <c r="Q12" s="16" t="s">
        <v>77</v>
      </c>
      <c r="R12" s="16" t="s">
        <v>77</v>
      </c>
      <c r="S12" s="16" t="s">
        <v>77</v>
      </c>
    </row>
    <row r="13" spans="1:19" s="15" customFormat="1" x14ac:dyDescent="0.25">
      <c r="A13" s="25"/>
      <c r="B13" s="22" t="s">
        <v>4</v>
      </c>
      <c r="C13" s="19" t="s">
        <v>1</v>
      </c>
      <c r="D13" s="19" t="s">
        <v>51</v>
      </c>
      <c r="E13" s="18" t="s">
        <v>2</v>
      </c>
      <c r="F13" s="17">
        <v>0</v>
      </c>
      <c r="G13" s="16">
        <f>+SUM(G14:G16)</f>
        <v>29681968396</v>
      </c>
      <c r="H13" s="16">
        <f t="shared" ref="H13:L13" si="0">+SUM(H14:H16)</f>
        <v>11146696167</v>
      </c>
      <c r="I13" s="16">
        <f t="shared" si="0"/>
        <v>18535272229</v>
      </c>
      <c r="J13" s="16">
        <f t="shared" si="0"/>
        <v>0</v>
      </c>
      <c r="K13" s="16">
        <f t="shared" si="0"/>
        <v>0</v>
      </c>
      <c r="L13" s="16">
        <f t="shared" si="0"/>
        <v>0</v>
      </c>
      <c r="M13" s="16">
        <v>0</v>
      </c>
      <c r="N13" s="16">
        <v>0</v>
      </c>
      <c r="O13" s="16">
        <v>0</v>
      </c>
      <c r="P13" s="16">
        <f t="shared" ref="P13:S13" si="1">+SUM(P14:P16)</f>
        <v>3710246040</v>
      </c>
      <c r="Q13" s="16">
        <f t="shared" si="1"/>
        <v>29681968396</v>
      </c>
      <c r="R13" s="16">
        <f t="shared" si="1"/>
        <v>18567188247</v>
      </c>
      <c r="S13" s="16">
        <f t="shared" si="1"/>
        <v>11114780149</v>
      </c>
    </row>
    <row r="14" spans="1:19" x14ac:dyDescent="0.25">
      <c r="A14" s="24"/>
      <c r="B14" s="21" t="s">
        <v>5</v>
      </c>
      <c r="C14" s="14" t="s">
        <v>6</v>
      </c>
      <c r="D14" s="14" t="s">
        <v>50</v>
      </c>
      <c r="E14" s="13">
        <v>43920</v>
      </c>
      <c r="F14" s="12">
        <v>0</v>
      </c>
      <c r="G14" s="11">
        <v>11103440790</v>
      </c>
      <c r="H14" s="11">
        <v>4169759877</v>
      </c>
      <c r="I14" s="11">
        <v>6933680913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1387930095</v>
      </c>
      <c r="Q14" s="11">
        <v>11103440790</v>
      </c>
      <c r="R14" s="11">
        <v>6945620067</v>
      </c>
      <c r="S14" s="11">
        <v>4157820723</v>
      </c>
    </row>
    <row r="15" spans="1:19" x14ac:dyDescent="0.25">
      <c r="A15" s="24"/>
      <c r="B15" s="21" t="s">
        <v>7</v>
      </c>
      <c r="C15" s="14" t="s">
        <v>8</v>
      </c>
      <c r="D15" s="14" t="s">
        <v>49</v>
      </c>
      <c r="E15" s="13">
        <v>43920</v>
      </c>
      <c r="F15" s="12">
        <v>0</v>
      </c>
      <c r="G15" s="11">
        <v>13618904063</v>
      </c>
      <c r="H15" s="11">
        <v>5114411006</v>
      </c>
      <c r="I15" s="11">
        <v>8504493057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1702363005</v>
      </c>
      <c r="Q15" s="11">
        <v>13618904063</v>
      </c>
      <c r="R15" s="11">
        <v>8519137016</v>
      </c>
      <c r="S15" s="11">
        <v>5099767047</v>
      </c>
    </row>
    <row r="16" spans="1:19" x14ac:dyDescent="0.25">
      <c r="A16" s="24"/>
      <c r="B16" s="21" t="s">
        <v>9</v>
      </c>
      <c r="C16" s="14" t="s">
        <v>10</v>
      </c>
      <c r="D16" s="14" t="s">
        <v>48</v>
      </c>
      <c r="E16" s="13">
        <v>43920</v>
      </c>
      <c r="F16" s="12">
        <v>0</v>
      </c>
      <c r="G16" s="11">
        <v>4959623543</v>
      </c>
      <c r="H16" s="11">
        <v>1862525284</v>
      </c>
      <c r="I16" s="11">
        <v>3097098259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619952940</v>
      </c>
      <c r="Q16" s="11">
        <v>4959623543</v>
      </c>
      <c r="R16" s="11">
        <v>3102431164</v>
      </c>
      <c r="S16" s="11">
        <v>1857192379</v>
      </c>
    </row>
    <row r="17" spans="1:19" s="15" customFormat="1" x14ac:dyDescent="0.25">
      <c r="A17" s="25"/>
      <c r="B17" s="22" t="s">
        <v>11</v>
      </c>
      <c r="C17" s="19" t="s">
        <v>1</v>
      </c>
      <c r="D17" s="19" t="s">
        <v>47</v>
      </c>
      <c r="E17" s="18" t="s">
        <v>2</v>
      </c>
      <c r="F17" s="17">
        <v>0</v>
      </c>
      <c r="G17" s="16">
        <f>+SUM(G18:G20)</f>
        <v>44875668853</v>
      </c>
      <c r="H17" s="16">
        <f t="shared" ref="H17:S17" si="2">+SUM(H18:H20)</f>
        <v>6520929869</v>
      </c>
      <c r="I17" s="16">
        <f t="shared" si="2"/>
        <v>38354738984</v>
      </c>
      <c r="J17" s="16">
        <f t="shared" si="2"/>
        <v>0</v>
      </c>
      <c r="K17" s="16">
        <f t="shared" si="2"/>
        <v>0</v>
      </c>
      <c r="L17" s="16">
        <f t="shared" si="2"/>
        <v>0</v>
      </c>
      <c r="M17" s="16">
        <f t="shared" si="2"/>
        <v>0</v>
      </c>
      <c r="N17" s="16">
        <f t="shared" si="2"/>
        <v>0</v>
      </c>
      <c r="O17" s="16">
        <f t="shared" si="2"/>
        <v>0</v>
      </c>
      <c r="P17" s="16">
        <f t="shared" si="2"/>
        <v>5609458605</v>
      </c>
      <c r="Q17" s="16">
        <f t="shared" si="2"/>
        <v>44875668853</v>
      </c>
      <c r="R17" s="16">
        <f t="shared" si="2"/>
        <v>17739847079</v>
      </c>
      <c r="S17" s="16">
        <f t="shared" si="2"/>
        <v>27135821774</v>
      </c>
    </row>
    <row r="18" spans="1:19" x14ac:dyDescent="0.25">
      <c r="A18" s="24"/>
      <c r="B18" s="21" t="s">
        <v>12</v>
      </c>
      <c r="C18" s="14" t="s">
        <v>13</v>
      </c>
      <c r="D18" s="14" t="s">
        <v>46</v>
      </c>
      <c r="E18" s="13">
        <v>44713</v>
      </c>
      <c r="F18" s="12">
        <v>0</v>
      </c>
      <c r="G18" s="11">
        <v>11518313999</v>
      </c>
      <c r="H18" s="11">
        <v>1665885122</v>
      </c>
      <c r="I18" s="11">
        <v>9852428877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1439789250</v>
      </c>
      <c r="Q18" s="11">
        <v>11518313999</v>
      </c>
      <c r="R18" s="11">
        <v>4545463622</v>
      </c>
      <c r="S18" s="11">
        <v>6972850377</v>
      </c>
    </row>
    <row r="19" spans="1:19" x14ac:dyDescent="0.25">
      <c r="A19" s="24"/>
      <c r="B19" s="21" t="s">
        <v>14</v>
      </c>
      <c r="C19" s="14" t="s">
        <v>15</v>
      </c>
      <c r="D19" s="14" t="s">
        <v>45</v>
      </c>
      <c r="E19" s="13">
        <v>44713</v>
      </c>
      <c r="F19" s="12">
        <v>0</v>
      </c>
      <c r="G19" s="11">
        <v>16832287553</v>
      </c>
      <c r="H19" s="11">
        <v>2439401485</v>
      </c>
      <c r="I19" s="11">
        <v>14392886068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2104035945</v>
      </c>
      <c r="Q19" s="11">
        <v>16832287553</v>
      </c>
      <c r="R19" s="11">
        <v>6647473375</v>
      </c>
      <c r="S19" s="11">
        <v>10184814178</v>
      </c>
    </row>
    <row r="20" spans="1:19" x14ac:dyDescent="0.25">
      <c r="A20" s="24"/>
      <c r="B20" s="21" t="s">
        <v>16</v>
      </c>
      <c r="C20" s="14" t="s">
        <v>17</v>
      </c>
      <c r="D20" s="14" t="s">
        <v>44</v>
      </c>
      <c r="E20" s="13">
        <v>44713</v>
      </c>
      <c r="F20" s="12">
        <v>0</v>
      </c>
      <c r="G20" s="11">
        <v>16525067301</v>
      </c>
      <c r="H20" s="11">
        <v>2415643262</v>
      </c>
      <c r="I20" s="11">
        <v>14109424039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2065633410</v>
      </c>
      <c r="Q20" s="11">
        <v>16525067301</v>
      </c>
      <c r="R20" s="11">
        <v>6546910082</v>
      </c>
      <c r="S20" s="11">
        <v>9978157219</v>
      </c>
    </row>
    <row r="21" spans="1:19" s="15" customFormat="1" x14ac:dyDescent="0.25">
      <c r="A21" s="25"/>
      <c r="B21" s="22" t="s">
        <v>43</v>
      </c>
      <c r="C21" s="19" t="s">
        <v>1</v>
      </c>
      <c r="D21" s="19" t="s">
        <v>42</v>
      </c>
      <c r="E21" s="18" t="s">
        <v>2</v>
      </c>
      <c r="F21" s="17">
        <v>0</v>
      </c>
      <c r="G21" s="16">
        <f>+SUM(G22:G27)</f>
        <v>6304989637</v>
      </c>
      <c r="H21" s="16">
        <f t="shared" ref="H21:S21" si="3">+SUM(H22:H27)</f>
        <v>3276927782</v>
      </c>
      <c r="I21" s="16">
        <f t="shared" si="3"/>
        <v>3028061855</v>
      </c>
      <c r="J21" s="16">
        <f t="shared" si="3"/>
        <v>319000000</v>
      </c>
      <c r="K21" s="16">
        <f t="shared" si="3"/>
        <v>41452235</v>
      </c>
      <c r="L21" s="16">
        <f t="shared" si="3"/>
        <v>277547765</v>
      </c>
      <c r="M21" s="16">
        <f t="shared" si="3"/>
        <v>34545455</v>
      </c>
      <c r="N21" s="16">
        <f t="shared" si="3"/>
        <v>0</v>
      </c>
      <c r="O21" s="16">
        <f t="shared" si="3"/>
        <v>0</v>
      </c>
      <c r="P21" s="16">
        <f t="shared" si="3"/>
        <v>1026398885</v>
      </c>
      <c r="Q21" s="16">
        <f t="shared" si="3"/>
        <v>6589444182</v>
      </c>
      <c r="R21" s="16">
        <f t="shared" si="3"/>
        <v>5303037812</v>
      </c>
      <c r="S21" s="16">
        <f t="shared" si="3"/>
        <v>1286406370</v>
      </c>
    </row>
    <row r="22" spans="1:19" x14ac:dyDescent="0.25">
      <c r="A22" s="24"/>
      <c r="B22" s="21" t="s">
        <v>41</v>
      </c>
      <c r="C22" s="14" t="s">
        <v>40</v>
      </c>
      <c r="D22" s="14" t="s">
        <v>39</v>
      </c>
      <c r="E22" s="13">
        <v>43920</v>
      </c>
      <c r="F22" s="12">
        <v>0</v>
      </c>
      <c r="G22" s="11">
        <v>85106909</v>
      </c>
      <c r="H22" s="11">
        <v>45658331</v>
      </c>
      <c r="I22" s="11">
        <v>39448578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15197655</v>
      </c>
      <c r="Q22" s="11">
        <v>85106909</v>
      </c>
      <c r="R22" s="11">
        <v>76053641</v>
      </c>
      <c r="S22" s="11">
        <v>9053268</v>
      </c>
    </row>
    <row r="23" spans="1:19" x14ac:dyDescent="0.25">
      <c r="A23" s="24"/>
      <c r="B23" s="21" t="s">
        <v>38</v>
      </c>
      <c r="C23" s="14" t="s">
        <v>37</v>
      </c>
      <c r="D23" s="14" t="s">
        <v>36</v>
      </c>
      <c r="E23" s="13">
        <v>43920</v>
      </c>
      <c r="F23" s="12">
        <v>0</v>
      </c>
      <c r="G23" s="11">
        <v>6185337273</v>
      </c>
      <c r="H23" s="11">
        <v>3207871751</v>
      </c>
      <c r="I23" s="11">
        <v>2977465522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966458955</v>
      </c>
      <c r="Q23" s="11">
        <v>6185337273</v>
      </c>
      <c r="R23" s="11">
        <v>5140789661</v>
      </c>
      <c r="S23" s="11">
        <v>1044547612</v>
      </c>
    </row>
    <row r="24" spans="1:19" x14ac:dyDescent="0.25">
      <c r="A24" s="24"/>
      <c r="B24" s="21" t="s">
        <v>22</v>
      </c>
      <c r="C24" s="14" t="s">
        <v>23</v>
      </c>
      <c r="D24" s="14" t="s">
        <v>35</v>
      </c>
      <c r="E24" s="13">
        <v>43950</v>
      </c>
      <c r="F24" s="12">
        <v>0</v>
      </c>
      <c r="G24" s="11">
        <v>34545455</v>
      </c>
      <c r="H24" s="11">
        <v>23397700</v>
      </c>
      <c r="I24" s="11">
        <v>11147755</v>
      </c>
      <c r="J24" s="11">
        <v>0</v>
      </c>
      <c r="K24" s="11">
        <v>0</v>
      </c>
      <c r="L24" s="11">
        <v>0</v>
      </c>
      <c r="M24" s="11">
        <v>34545455</v>
      </c>
      <c r="N24" s="11">
        <v>0</v>
      </c>
      <c r="O24" s="11">
        <v>0</v>
      </c>
      <c r="P24" s="11">
        <v>3290040</v>
      </c>
      <c r="Q24" s="11">
        <v>0</v>
      </c>
      <c r="R24" s="11">
        <v>3290040</v>
      </c>
      <c r="S24" s="11">
        <v>-3290040</v>
      </c>
    </row>
    <row r="25" spans="1:19" x14ac:dyDescent="0.25">
      <c r="A25" s="24"/>
      <c r="B25" s="21" t="s">
        <v>34</v>
      </c>
      <c r="C25" s="14" t="s">
        <v>33</v>
      </c>
      <c r="D25" s="14" t="s">
        <v>32</v>
      </c>
      <c r="E25" s="13">
        <v>45446</v>
      </c>
      <c r="F25" s="12">
        <v>0</v>
      </c>
      <c r="G25" s="11">
        <v>0</v>
      </c>
      <c r="H25" s="11">
        <v>0</v>
      </c>
      <c r="I25" s="11">
        <v>0</v>
      </c>
      <c r="J25" s="11">
        <v>134000000</v>
      </c>
      <c r="K25" s="11">
        <v>18487036</v>
      </c>
      <c r="L25" s="11">
        <v>115512964</v>
      </c>
      <c r="M25" s="11">
        <v>0</v>
      </c>
      <c r="N25" s="11">
        <v>0</v>
      </c>
      <c r="O25" s="11">
        <v>0</v>
      </c>
      <c r="P25" s="11">
        <v>18487036</v>
      </c>
      <c r="Q25" s="11">
        <v>134000000</v>
      </c>
      <c r="R25" s="11">
        <v>36974072</v>
      </c>
      <c r="S25" s="11">
        <v>97025928</v>
      </c>
    </row>
    <row r="26" spans="1:19" x14ac:dyDescent="0.25">
      <c r="A26" s="24"/>
      <c r="B26" s="21" t="s">
        <v>31</v>
      </c>
      <c r="C26" s="14" t="s">
        <v>30</v>
      </c>
      <c r="D26" s="14" t="s">
        <v>29</v>
      </c>
      <c r="E26" s="13">
        <v>45454</v>
      </c>
      <c r="F26" s="12">
        <v>0</v>
      </c>
      <c r="G26" s="11">
        <v>0</v>
      </c>
      <c r="H26" s="11">
        <v>0</v>
      </c>
      <c r="I26" s="11">
        <v>0</v>
      </c>
      <c r="J26" s="11">
        <v>125000000</v>
      </c>
      <c r="K26" s="11">
        <v>16782406</v>
      </c>
      <c r="L26" s="11">
        <v>108217594</v>
      </c>
      <c r="M26" s="11">
        <v>0</v>
      </c>
      <c r="N26" s="11">
        <v>0</v>
      </c>
      <c r="O26" s="11">
        <v>0</v>
      </c>
      <c r="P26" s="11">
        <v>16782406</v>
      </c>
      <c r="Q26" s="11">
        <v>125000000</v>
      </c>
      <c r="R26" s="11">
        <v>33564812</v>
      </c>
      <c r="S26" s="11">
        <v>91435188</v>
      </c>
    </row>
    <row r="27" spans="1:19" ht="12" customHeight="1" x14ac:dyDescent="0.25">
      <c r="A27" s="24"/>
      <c r="B27" s="21" t="s">
        <v>28</v>
      </c>
      <c r="C27" s="14" t="s">
        <v>27</v>
      </c>
      <c r="D27" s="14" t="s">
        <v>26</v>
      </c>
      <c r="E27" s="13">
        <v>45523</v>
      </c>
      <c r="F27" s="12">
        <v>0</v>
      </c>
      <c r="G27" s="11">
        <v>0</v>
      </c>
      <c r="H27" s="11">
        <v>0</v>
      </c>
      <c r="I27" s="11">
        <v>0</v>
      </c>
      <c r="J27" s="11">
        <v>60000000</v>
      </c>
      <c r="K27" s="11">
        <v>6182793</v>
      </c>
      <c r="L27" s="11">
        <v>53817207</v>
      </c>
      <c r="M27" s="11">
        <v>0</v>
      </c>
      <c r="N27" s="11">
        <v>0</v>
      </c>
      <c r="O27" s="11">
        <v>0</v>
      </c>
      <c r="P27" s="11">
        <v>6182793</v>
      </c>
      <c r="Q27" s="11">
        <v>60000000</v>
      </c>
      <c r="R27" s="11">
        <v>12365586</v>
      </c>
      <c r="S27" s="11">
        <v>47634414</v>
      </c>
    </row>
    <row r="28" spans="1:19" x14ac:dyDescent="0.25">
      <c r="A28" s="24"/>
      <c r="B28" s="21"/>
      <c r="C28" s="14"/>
      <c r="D28" s="14"/>
      <c r="E28" s="13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25">
      <c r="A29" s="24"/>
      <c r="B29" s="23" t="s">
        <v>25</v>
      </c>
      <c r="C29" s="9"/>
      <c r="D29" s="9"/>
      <c r="E29" s="8"/>
      <c r="F29" s="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1" spans="1:19" s="26" customFormat="1" ht="13.8" x14ac:dyDescent="0.25">
      <c r="B31" s="36" t="s">
        <v>78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</row>
    <row r="32" spans="1:19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4" spans="2:19" s="26" customFormat="1" ht="13.8" x14ac:dyDescent="0.25">
      <c r="B34" s="27" t="s">
        <v>24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</row>
    <row r="37" spans="2:19" x14ac:dyDescent="0.25">
      <c r="B37" s="29" t="s">
        <v>21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</row>
  </sheetData>
  <mergeCells count="19">
    <mergeCell ref="B1:S1"/>
    <mergeCell ref="B2:S2"/>
    <mergeCell ref="B4:S4"/>
    <mergeCell ref="B5:S5"/>
    <mergeCell ref="B6:S6"/>
    <mergeCell ref="B34:S34"/>
    <mergeCell ref="B37:S37"/>
    <mergeCell ref="A8:A9"/>
    <mergeCell ref="G8:I8"/>
    <mergeCell ref="J8:L8"/>
    <mergeCell ref="M8:O8"/>
    <mergeCell ref="P8:P9"/>
    <mergeCell ref="Q8:S8"/>
    <mergeCell ref="B31:S31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2</vt:i4>
      </vt:variant>
      <vt:variant>
        <vt:lpstr>Phạm vi Có tên</vt:lpstr>
      </vt:variant>
      <vt:variant>
        <vt:i4>1</vt:i4>
      </vt:variant>
    </vt:vector>
  </HeadingPairs>
  <TitlesOfParts>
    <vt:vector size="3" baseType="lpstr">
      <vt:lpstr>1</vt:lpstr>
      <vt:lpstr>Sheet1</vt:lpstr>
      <vt:lpstr>'1'!Print_Titles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KSACC8</dc:creator>
  <cp:lastModifiedBy>Khiêm Đức</cp:lastModifiedBy>
  <dcterms:created xsi:type="dcterms:W3CDTF">2025-06-28T06:46:26Z</dcterms:created>
  <dcterms:modified xsi:type="dcterms:W3CDTF">2026-07-04T11:28:28Z</dcterms:modified>
</cp:coreProperties>
</file>