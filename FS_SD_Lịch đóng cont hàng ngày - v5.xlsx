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U AN ERP\THANH VIEN\03. PHÒNG BAN\21. PHÒNG CNTT\1. Báo cáo phát triển do nội bộ ERP thực hiện - Copy\FS\"/>
    </mc:Choice>
  </mc:AlternateContent>
  <xr:revisionPtr revIDLastSave="0" documentId="13_ncr:1_{54BD35DF-433B-4AA8-B5E8-4C4DDECE7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<sst xmlns="http://schemas.openxmlformats.org/spreadsheetml/2006/main" count="132" uniqueCount="119">
  <si>
    <t>Giờ gọi cont về NM</t>
  </si>
  <si>
    <t>SỐ CONT</t>
  </si>
  <si>
    <t>SỐ CHÌ</t>
  </si>
  <si>
    <t>Ngày tàu chạy</t>
  </si>
  <si>
    <t>Phương thức đóng hàng &amp; phối thùng</t>
  </si>
  <si>
    <t>Đóng dấu thùng</t>
  </si>
  <si>
    <t>Số SO</t>
  </si>
  <si>
    <t>Item</t>
  </si>
  <si>
    <t>SỐ KH</t>
  </si>
  <si>
    <t>TÊN TÚI</t>
  </si>
  <si>
    <t>Kích thước túi</t>
  </si>
  <si>
    <t>SỐ LƯỢNG theo KHSX</t>
  </si>
  <si>
    <t>Người phụ trách cont</t>
  </si>
  <si>
    <t>Thời gian cắt máng</t>
  </si>
  <si>
    <t>Địa điểm đóng hàng</t>
  </si>
  <si>
    <t>Cont</t>
  </si>
  <si>
    <t>Số lệnh xuất hàng
(DO)</t>
  </si>
  <si>
    <t>Tare weight</t>
  </si>
  <si>
    <t xml:space="preserve">Booking </t>
  </si>
  <si>
    <t>STT</t>
  </si>
  <si>
    <t>Tên trường (SAP field)</t>
  </si>
  <si>
    <t>Mô tả logic</t>
  </si>
  <si>
    <t xml:space="preserve">Điền text </t>
  </si>
  <si>
    <t>Số cont</t>
  </si>
  <si>
    <t>Số chì</t>
  </si>
  <si>
    <t>Lấy field text "Số seal" trên header text của DO</t>
  </si>
  <si>
    <t xml:space="preserve">Ngày tàu chạy </t>
  </si>
  <si>
    <t>Lấy field text "Ghi chú khác" trên header text của DO</t>
  </si>
  <si>
    <t xml:space="preserve">Phương thức đóng hàng &amp; phối thùng </t>
  </si>
  <si>
    <t>Lấy field text "Ghi chú giao hàng" trên header text của DO</t>
  </si>
  <si>
    <t xml:space="preserve">Đóng dấu thùng </t>
  </si>
  <si>
    <t xml:space="preserve">Số SO </t>
  </si>
  <si>
    <t>Lấy các SO thỏa mãn điều kiện lọc trên parameter và: 
'+ Check CDS view I_SALESORDER - SALESORDERTYPE = TA
+ Check CDS view: i_salesorderpartner, check field CUSTOMER &lt;&gt; "6710" OR "6720" thì giữa SO và SO item. Nếu CUSTOMER = "6710" OR "6720" thì remove line SO và SO item đó</t>
  </si>
  <si>
    <t>Số KH</t>
  </si>
  <si>
    <t>Lấy giá trị từ cột 7/8</t>
  </si>
  <si>
    <t xml:space="preserve">Mã hàng </t>
  </si>
  <si>
    <t xml:space="preserve">Tên hàng </t>
  </si>
  <si>
    <t>Lấy SALESORDERITEMTEXT</t>
  </si>
  <si>
    <t>Bước 1: Check CDS view I_CLFNCHARACTERISTIC, check CHARACTERISTIC = Z_KICHTHUOC, lấy CHARCINTERNALID và TIMEINTERVALNUMBER
Bước 2: CDS view I_CLFNOBJECTCHARCVALUE, Classtype = 001, CLFNOBJECTID = mã thành phẩm cột (4), CLFNOBJECTTABLE = MARA,  CHARCINTERNALID =  CHARCINTERNALID  lấy được ở bước 1, TIMEINTERVALNUMBER=TIMEINTERVALNUMBER lấy được ở bước 1, lấy trường CHARCVALUE</t>
  </si>
  <si>
    <t>Số lượng theo KHSX</t>
  </si>
  <si>
    <t xml:space="preserve">Thời gian cắt máng </t>
  </si>
  <si>
    <t>Lấy field text "Cut-off time" trên header text của DO</t>
  </si>
  <si>
    <t xml:space="preserve">Địa điểm đóng hàng </t>
  </si>
  <si>
    <t xml:space="preserve">Số lệnh xuất hàng </t>
  </si>
  <si>
    <t xml:space="preserve">Số lượng trên lệnh xuất hàng </t>
  </si>
  <si>
    <t>Từ cột 20 và cột item 8, vào CDS view I_OUTBOUNDDELIVERYITEM lấy field ACTUALDELIVERYQUANTITY</t>
  </si>
  <si>
    <t xml:space="preserve">Số lượng chưa lên lệnh xuất hàng </t>
  </si>
  <si>
    <t xml:space="preserve">Số lượng trên lệnh xuất hàng  </t>
  </si>
  <si>
    <t xml:space="preserve">Số lượng chưa lên lệch xuất hàng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</si>
  <si>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</si>
  <si>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</si>
  <si>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</si>
  <si>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</si>
  <si>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</si>
  <si>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</si>
  <si>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</si>
  <si>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</si>
  <si>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</si>
  <si>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</si>
  <si>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</si>
  <si>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</si>
  <si>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</si>
  <si>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</si>
  <si>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</si>
  <si>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</si>
  <si>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</si>
  <si>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</si>
  <si>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</si>
  <si>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</si>
  <si>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</si>
  <si>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</si>
  <si>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Parameter</t>
  </si>
  <si>
    <t>Plant</t>
  </si>
  <si>
    <t>Sales order</t>
  </si>
  <si>
    <t xml:space="preserve">Outbound delivery </t>
  </si>
  <si>
    <t xml:space="preserve">Tuần giao hàng </t>
  </si>
  <si>
    <t>Từ cột 7, vào CDS view  I_SALESORDERITEM lấy REQUESTEDDELIVERYDATE</t>
  </si>
  <si>
    <t>Ngày giao hàng dự kiến</t>
  </si>
  <si>
    <t xml:space="preserve">Từ cột 7, vào check CDS view I_SALESORDERITEM - DELIVERYSTATUS
+ Nếu DELIVERYSTATUS = B hoặc C
=&gt;CDS view: I_OUTBOUNDDELIVERYITEM, lấy outbounddelivery và outbounddeliveryitem thỏa mãn điều kiện:
ORIGINSDDOCUMENT = SO cột (1)
SDDOCUMENTITEM= So item cột (2)
GOODMOVEMENTTYPE = 601
MATERIAL = mã thành phẩm cột (4)
ACTUALDELIVERYQUANTITY &gt;0
Nếu nhiều REFERENCESDDOCUMENT chung 1 OUTBOUNDDELIVERY =&gt; Merge cột 20
+ Nếu DELIVERYSTATUS = A 
=&gt; Để trống </t>
  </si>
  <si>
    <t>Từ số SO/Item ở (1) và (2) vào CDS view I_SALESORDERSCHEDULELINE lọc theo Sales Order, Sales Order Item, ISCONFIRMEDDELIVSCHEDLINE = "X", DELIVBLOCKREASONFORSCHEDLINE = null, lấy tổng SCHEDULELINEORDERQUANTITY của các line thỏa mãn điều kiện</t>
  </si>
  <si>
    <r>
      <t xml:space="preserve">Từ cột 7, vào I_SALESORDERITEM lấy SALESORDERITEM </t>
    </r>
    <r>
      <rPr>
        <sz val="11"/>
        <color rgb="FFFF0000"/>
        <rFont val="Aptos Narrow"/>
        <family val="2"/>
        <scheme val="minor"/>
      </rPr>
      <t>với điều kiện SALESORDERITEMCATEGORY = TAN/CBXN</t>
    </r>
  </si>
  <si>
    <t>Từ cột 7, vào I_SALESORDERITEM lấy MATERIAL theo SO, SO item và SALESORDERITEMCATEGORY = TAN/CBXN</t>
  </si>
  <si>
    <t xml:space="preserve">Header </t>
  </si>
  <si>
    <t>PHÒNG KD-XNK</t>
  </si>
  <si>
    <t>Fixed text</t>
  </si>
  <si>
    <t xml:space="preserve">CÔNG TY CP CASABLANCA </t>
  </si>
  <si>
    <t>NHÀ MÁY TÂN DĨNH</t>
  </si>
  <si>
    <t xml:space="preserve">Từ cột 20, check CDS view I_OUTBOUNDDELIVERYITEM, lấy field PLANT
Từ field PLANT vào I_CNSLDTNPLANTT lấy field PLANTNAME
</t>
  </si>
  <si>
    <t>Từ SO cột 7, check CDS view I_SALESORDER lấy SALESORGANIZATION
Từ SALESORGANIZATION vào I_COMPANYCODE - COMPANYCODE lấy COMPANYCODENAME</t>
  </si>
  <si>
    <t xml:space="preserve">Ngày đóng cont </t>
  </si>
  <si>
    <t>Tuần giao hàng dự kiến</t>
  </si>
  <si>
    <t>Kế hoạch đóng cont</t>
  </si>
  <si>
    <t>(23)</t>
  </si>
  <si>
    <t xml:space="preserve">Bỏ </t>
  </si>
  <si>
    <t>Trạng thái OD</t>
  </si>
  <si>
    <t>Từ cột 20 vào CDS view I_OUTBOUNDDELIVERY lấy field OVERALLGOODSMOVEMENTSTATUS
+ OVERALLGOODSMOVEMENTSTATUS = A =&gt; Not yet
+ OVERALLGOODSMOVEMENTSTATUS = B =&gt; In progress
+ OVERALLGOODSMOVEMENTSTATUS = C =&gt; Complete</t>
  </si>
  <si>
    <t xml:space="preserve">Lấy field text "Ngày giờ xuất hàng" trên header text của DO </t>
  </si>
  <si>
    <t xml:space="preserve">SO item </t>
  </si>
  <si>
    <t xml:space="preserve">Cho phép sửa </t>
  </si>
  <si>
    <r>
      <t xml:space="preserve">Từ cột DO số 20 vào CDS view I_DELIVERYDOCUMENT với điều kiện:
+ DELIVERYDOCUMENT = số DO
+ DELIVERYDOCUMENTTYPE = LF
1. Nếu OVERALLGOODSMOVEMENTSTATUS = C
=&gt; lấy ACTUALGOODSMOVEMENTDATE
2. Nếu OVERALLGOODSMOVEMENTSTATUS = A
=&gt; lấy PLANNEDGOODSISSUEDATE
</t>
    </r>
    <r>
      <rPr>
        <b/>
        <sz val="11"/>
        <color theme="1"/>
        <rFont val="Aptos Narrow"/>
        <family val="2"/>
        <scheme val="minor"/>
      </rPr>
      <t xml:space="preserve">Note TH2: Nếu user điền text trên app sẽ ưu tiên lấy ngày điền text </t>
    </r>
  </si>
  <si>
    <t>Ghi chú khác</t>
  </si>
  <si>
    <t>(24)</t>
  </si>
  <si>
    <t>Ngày đóng cont</t>
  </si>
  <si>
    <t>Lấy field "phân loại PVTT" trên header text OD</t>
  </si>
  <si>
    <t xml:space="preserve">Lấy field text "Shipping instructions" trên header text DO </t>
  </si>
  <si>
    <t xml:space="preserve"> Từ SO cột 7, vào I_SALESORDERPARTNER lấy field FULLNAME với điều kiện PARTNERFUNCTION = "ZE"
</t>
  </si>
  <si>
    <t>Lấy field text "Số container" trên header text của DO
Nếu field text "Số container" trống thì lấy field text "Biển số xe"</t>
  </si>
  <si>
    <t>1. Nếu field OPENCONFDDELIVQTYINBASEUNIT &lt;&gt;0, DELIVEREDQUANTITYINBASEUNIT &lt;&gt;0 
=&gt;copy thông tin của item: Số SO, Item, SỐ KH, TÊN TÚI, Kich thước túi, Người phụ trách cont
2. Nếu field  OPENCONFDDELIVQTYINBASEUNIT &lt;&gt;0, DELIVEREDQUANTITYINBASEUNIT = 0 
=&gt; ko copy thêm 1 dòng item nữa
Cột số lượng chưa lên lệnh xuất hàng lấy logic như bên
Note: dòng item copy thêm này giống những SO item chưa ra OD</t>
  </si>
  <si>
    <r>
      <t>Từ cột 7 và cột 8, vào CSD view I_SALESORDERSCHEDULELINE lấy field OPENCONFDDELIVQTYINBASEUNIT</t>
    </r>
    <r>
      <rPr>
        <b/>
        <sz val="11"/>
        <color rgb="FFFF0000"/>
        <rFont val="Aptos Narrow"/>
        <family val="2"/>
        <scheme val="minor"/>
      </rPr>
      <t xml:space="preserve"> với điều kiện ISCONFIRMEDDELIVSCHEDLINE = "X"</t>
    </r>
  </si>
  <si>
    <t>Loại màng</t>
  </si>
  <si>
    <t xml:space="preserve">Loại manh </t>
  </si>
  <si>
    <t>Bước 1: Check CDS view I_CLFNCHARACTERISTIC, check CHARACTERISTIC = Z_LOAIMANG, lấy CHARCINTERNALID và TIMEINTERVALNUMBER
Bước 2: CDS view I_CLFNOBJECTCHARCVALUE, Classtype = 001, CLFNOBJECTID = mã thành phẩm cột (4), CLFNOBJECTTABLE = MARA,  CHARCINTERNALID =  CHARCINTERNALID  lấy được ở bước 1, TIMEINTERVALNUMBER=TIMEINTERVALNUMBER lấy được ở bước 1, lấy trường CHARCVALUE</t>
  </si>
  <si>
    <t>Bước 1: Check CDS view I_CLFNCHARACTERISTIC, check CHARACTERISTIC = Z_LOAIMANH, lấy CHARCINTERNALID và TIMEINTERVALNUMBER
Bước 2: CDS view I_CLFNOBJECTCHARCVALUE, Classtype = 001, CLFNOBJECTID = mã thành phẩm cột (4), CLFNOBJECTTABLE = MARA,  CHARCINTERNALID =  CHARCINTERNALID  lấy được ở bước 1, TIMEINTERVALNUMBER=TIMEINTERVALNUMBER lấy được ở bước 1, lấy trường CHARCVALUE</t>
  </si>
  <si>
    <t xml:space="preserve">Nhà cung cấp vận tải </t>
  </si>
  <si>
    <t>Lấy field text "Nhà cung cấp vận tải" trên header text của DO, text ID Z031</t>
  </si>
  <si>
    <t xml:space="preserve">Loại túi </t>
  </si>
  <si>
    <t>Bước 1: Check CDS view I_CLFNCHARACTERISTIC, check CHARACTERISTIC = Z_LOAITUI, lấy CHARCINTERNALID và TIMEINTERVALNUMBER
Bước 2: CDS view I_CLFNOBJECTCHARCVALUE, Classtype = 001, CLFNOBJECTID = mã thành phẩm cột (4), CLFNOBJECTTABLE = MARA,  CHARCINTERNALID =  CHARCINTERNALID  lấy được ở bước 1, TIMEINTERVALNUMBER=TIMEINTERVALNUMBER lấy được ở bước 1, lấy trường CHARCVALUE</t>
  </si>
  <si>
    <t>Ở cột plant vẫn giữ nguyên logic, ko đổi thành 6713</t>
  </si>
  <si>
    <r>
      <t xml:space="preserve">Check CDS view I_OUTBOUNDDELIVERYITEM, lấy field PLANT
Từ field PLANT vào I_CNSLDTNPLANTT lấy field PLANTNAME
</t>
    </r>
    <r>
      <rPr>
        <b/>
        <sz val="11"/>
        <color rgb="FFFF0000"/>
        <rFont val="Aptos Narrow"/>
        <family val="2"/>
        <scheme val="minor"/>
      </rPr>
      <t>Nếu PLANT = 6711, 6712 =&gt; Địa điểm đóng hàng sẽ = 6713 (vẫn cho chỉnh sửa như hiện tại)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</si>
</sst>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b/>
      <sz val="12"/>
      <color rgb="FFFFFFFF"/>
      <name val="Times New Roman"/>
      <family val="1"/>
      <charset val="163"/>
    </font>
    <font>
      <sz val="11"/>
      <color rgb="FFFF0000"/>
      <name val="Aptos Narrow"/>
      <family val="2"/>
      <scheme val="minor"/>
    </font>
    <font>
      <b/>
      <sz val="15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vertical="top"/>
    </xf>
    <xf numFmtId="0" fontId="5" fillId="4" borderId="0" xfId="0" applyFont="1" applyFill="1"/>
    <xf numFmtId="0" fontId="0" fillId="5" borderId="0" xfId="0" applyFill="1"/>
    <xf numFmtId="0" fontId="6" fillId="0" borderId="0" xfId="0" applyFont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1485900</xdr:colOff>
      <xdr:row>19</xdr:row>
      <xdr:rowOff>9526</xdr:rowOff>
    </xdr:from>
    <xdr:to>
      <xdr:col>4</xdr:col>
      <xdr:colOff>3676650</xdr:colOff>
      <xdr:row>19</xdr:row>
      <xdr:rowOff>1087766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2F496-4C73-6713-B23B-FF071C17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2066926"/>
          <a:ext cx="3743325" cy="10782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3931309</xdr:colOff>
      <xdr:row>20</xdr:row>
      <xdr:rowOff>1190625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7CB78C-C0D6-E0BE-FE89-4A96EAC53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3400425"/>
          <a:ext cx="3931309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21</xdr:row>
      <xdr:rowOff>66675</xdr:rowOff>
    </xdr:from>
    <xdr:to>
      <xdr:col>4</xdr:col>
      <xdr:colOff>3209925</xdr:colOff>
      <xdr:row>21</xdr:row>
      <xdr:rowOff>1419842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CF01CA-38E1-159A-EB5F-1B97A7B6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0425" y="4829175"/>
          <a:ext cx="3190875" cy="135316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22</xdr:row>
      <xdr:rowOff>19050</xdr:rowOff>
    </xdr:from>
    <xdr:to>
      <xdr:col>4</xdr:col>
      <xdr:colOff>3571875</xdr:colOff>
      <xdr:row>22</xdr:row>
      <xdr:rowOff>1487126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0E9E04-680F-FD33-422A-A7C7466CA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9475" y="9648825"/>
          <a:ext cx="3533775" cy="146807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36</xdr:row>
      <xdr:rowOff>47625</xdr:rowOff>
    </xdr:from>
    <xdr:to>
      <xdr:col>4</xdr:col>
      <xdr:colOff>3457575</xdr:colOff>
      <xdr:row>36</xdr:row>
      <xdr:rowOff>1175073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FDCDA-E1D6-3A56-FE23-F493076F7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19475" y="12201525"/>
          <a:ext cx="3419475" cy="1127448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40</xdr:row>
      <xdr:rowOff>22772</xdr:rowOff>
    </xdr:from>
    <xdr:to>
      <xdr:col>4</xdr:col>
      <xdr:colOff>3257550</xdr:colOff>
      <xdr:row>40</xdr:row>
      <xdr:rowOff>1325111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2DF212-6A94-BC9E-D392-176A720B1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7100" y="14500772"/>
          <a:ext cx="3171825" cy="130233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47626</xdr:rowOff>
    </xdr:from>
    <xdr:to>
      <xdr:col>4</xdr:col>
      <xdr:colOff>3205032</xdr:colOff>
      <xdr:row>18</xdr:row>
      <xdr:rowOff>885826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FF5451-8A74-A974-458D-399AAC33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1375" y="5124451"/>
          <a:ext cx="3205032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39</xdr:row>
      <xdr:rowOff>66675</xdr:rowOff>
    </xdr:from>
    <xdr:to>
      <xdr:col>4</xdr:col>
      <xdr:colOff>4132307</xdr:colOff>
      <xdr:row>39</xdr:row>
      <xdr:rowOff>914400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20DEE2-8510-FF40-0214-B4599FD5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0425" y="19745325"/>
          <a:ext cx="4113257" cy="847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3143250</xdr:colOff>
      <xdr:row>41</xdr:row>
      <xdr:rowOff>1422162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748FE2-9A7B-D417-EBE1-D19059CB1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81375" y="22374225"/>
          <a:ext cx="3143250" cy="1422162"/>
        </a:xfrm>
        <a:prstGeom prst="rect">
          <a:avLst/>
        </a:prstGeom>
      </xdr:spPr>
    </xdr:pic>
    <xdr:clientData/>
  </xdr:twoCellAnchor>
  <xdr:twoCellAnchor editAs="oneCell">
    <xdr:from>
      <xdr:col>3</xdr:col>
      <xdr:colOff>1543050</xdr:colOff>
      <xdr:row>19</xdr:row>
      <xdr:rowOff>1085851</xdr:rowOff>
    </xdr:from>
    <xdr:to>
      <xdr:col>4</xdr:col>
      <xdr:colOff>3625215</xdr:colOff>
      <xdr:row>19</xdr:row>
      <xdr:rowOff>2457451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7FEC2F2-528B-7749-54B3-DE37AC3F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71850" y="7991476"/>
          <a:ext cx="3634740" cy="13716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38</xdr:row>
      <xdr:rowOff>219076</xdr:rowOff>
    </xdr:from>
    <xdr:to>
      <xdr:col>4</xdr:col>
      <xdr:colOff>4280878</xdr:colOff>
      <xdr:row>38</xdr:row>
      <xdr:rowOff>1666876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555624-6A49-5BDC-F928-6259899A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09950" y="25822276"/>
          <a:ext cx="4252303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A33" workbookViewId="0">
      <selection activeCell="E35" sqref="E35"/>
    </sheetView>
  </sheetViews>
  <sheetFormatPr defaultRowHeight="15" x14ac:dyDescent="0.25"/>
  <cols>
    <col min="4" max="4" width="23.28515625" style="11" customWidth="1"/>
    <col min="5" max="5" width="65.7109375" style="11" customWidth="1"/>
    <col min="6" max="6" width="52.42578125" customWidth="1"/>
    <col min="24" max="24" width="8.5703125" bestFit="1" customWidth="1"/>
  </cols>
  <sheetData>
    <row r="1" spans="1:28" x14ac:dyDescent="0.25">
      <c r="C1" t="s">
        <v>71</v>
      </c>
      <c r="D1" s="11" t="s">
        <v>72</v>
      </c>
    </row>
    <row r="2" spans="1:28" x14ac:dyDescent="0.25">
      <c r="D2" s="11" t="s">
        <v>73</v>
      </c>
    </row>
    <row r="3" spans="1:28" x14ac:dyDescent="0.25">
      <c r="D3" s="11" t="s">
        <v>97</v>
      </c>
    </row>
    <row r="4" spans="1:28" x14ac:dyDescent="0.25">
      <c r="D4" s="11" t="s">
        <v>74</v>
      </c>
    </row>
    <row r="5" spans="1:28" x14ac:dyDescent="0.25">
      <c r="D5" s="11" t="s">
        <v>77</v>
      </c>
    </row>
    <row r="6" spans="1:28" x14ac:dyDescent="0.25">
      <c r="D6" s="11" t="s">
        <v>102</v>
      </c>
    </row>
    <row r="8" spans="1:28" x14ac:dyDescent="0.25">
      <c r="A8" t="s">
        <v>82</v>
      </c>
    </row>
    <row r="9" spans="1:28" ht="40.5" customHeight="1" x14ac:dyDescent="0.25">
      <c r="A9" s="14"/>
      <c r="B9" s="29" t="s">
        <v>83</v>
      </c>
      <c r="C9" s="30"/>
      <c r="D9" s="15"/>
      <c r="E9" s="16" t="s">
        <v>85</v>
      </c>
      <c r="F9" s="17" t="s">
        <v>88</v>
      </c>
    </row>
    <row r="10" spans="1:28" ht="15" customHeight="1" x14ac:dyDescent="0.25">
      <c r="A10" s="14"/>
      <c r="B10" s="14" t="s">
        <v>84</v>
      </c>
      <c r="C10" s="14"/>
      <c r="D10" s="15"/>
      <c r="E10" s="16" t="s">
        <v>86</v>
      </c>
      <c r="F10" s="18" t="s">
        <v>87</v>
      </c>
    </row>
    <row r="14" spans="1:28" ht="51" x14ac:dyDescent="0.2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75</v>
      </c>
      <c r="I14" s="2" t="s">
        <v>6</v>
      </c>
      <c r="J14" s="2" t="s">
        <v>7</v>
      </c>
      <c r="K14" s="3" t="s">
        <v>8</v>
      </c>
      <c r="L14" s="3" t="s">
        <v>35</v>
      </c>
      <c r="M14" s="4" t="s">
        <v>9</v>
      </c>
      <c r="N14" s="25" t="s">
        <v>10</v>
      </c>
      <c r="O14" s="26"/>
      <c r="P14" s="27"/>
      <c r="Q14" s="5" t="s">
        <v>11</v>
      </c>
      <c r="R14" s="1" t="s">
        <v>12</v>
      </c>
      <c r="S14" s="1" t="s">
        <v>13</v>
      </c>
      <c r="T14" s="1" t="s">
        <v>14</v>
      </c>
      <c r="U14" s="6" t="s">
        <v>15</v>
      </c>
      <c r="V14" s="6" t="s">
        <v>17</v>
      </c>
      <c r="W14" s="6" t="s">
        <v>18</v>
      </c>
      <c r="X14" s="7" t="s">
        <v>16</v>
      </c>
      <c r="Y14" s="7" t="s">
        <v>47</v>
      </c>
      <c r="Z14" s="7" t="s">
        <v>48</v>
      </c>
      <c r="AA14" s="7" t="s">
        <v>91</v>
      </c>
      <c r="AB14" s="7" t="s">
        <v>100</v>
      </c>
    </row>
    <row r="15" spans="1:28" s="12" customFormat="1" x14ac:dyDescent="0.25">
      <c r="B15" s="12" t="s">
        <v>49</v>
      </c>
      <c r="C15" s="12" t="s">
        <v>50</v>
      </c>
      <c r="D15" s="13" t="s">
        <v>51</v>
      </c>
      <c r="E15" s="13" t="s">
        <v>52</v>
      </c>
      <c r="F15" s="12" t="s">
        <v>53</v>
      </c>
      <c r="G15" s="12" t="s">
        <v>54</v>
      </c>
      <c r="I15" s="12" t="s">
        <v>55</v>
      </c>
      <c r="J15" s="12" t="s">
        <v>56</v>
      </c>
      <c r="K15" s="12" t="s">
        <v>57</v>
      </c>
      <c r="L15" s="12" t="s">
        <v>58</v>
      </c>
      <c r="M15" s="12" t="s">
        <v>59</v>
      </c>
      <c r="N15" s="28" t="s">
        <v>60</v>
      </c>
      <c r="O15" s="28"/>
      <c r="P15" s="28"/>
      <c r="Q15" s="12" t="s">
        <v>61</v>
      </c>
      <c r="R15" s="12" t="s">
        <v>62</v>
      </c>
      <c r="S15" s="12" t="s">
        <v>63</v>
      </c>
      <c r="T15" s="12" t="s">
        <v>64</v>
      </c>
      <c r="U15" s="12" t="s">
        <v>65</v>
      </c>
      <c r="V15" s="12" t="s">
        <v>66</v>
      </c>
      <c r="W15" s="12" t="s">
        <v>67</v>
      </c>
      <c r="X15" s="12" t="s">
        <v>68</v>
      </c>
      <c r="Y15" s="12" t="s">
        <v>69</v>
      </c>
      <c r="Z15" s="12" t="s">
        <v>70</v>
      </c>
      <c r="AA15" s="12" t="s">
        <v>92</v>
      </c>
      <c r="AB15" s="12" t="s">
        <v>101</v>
      </c>
    </row>
    <row r="17" spans="3:6" ht="38.25" customHeight="1" x14ac:dyDescent="0.25">
      <c r="C17" s="8" t="s">
        <v>19</v>
      </c>
      <c r="D17" s="9" t="s">
        <v>20</v>
      </c>
      <c r="E17" s="10" t="s">
        <v>21</v>
      </c>
    </row>
    <row r="18" spans="3:6" s="11" customFormat="1" ht="120" x14ac:dyDescent="0.25">
      <c r="C18" s="24"/>
      <c r="D18" s="24" t="s">
        <v>89</v>
      </c>
      <c r="E18" s="24" t="s">
        <v>99</v>
      </c>
      <c r="F18" s="20" t="s">
        <v>98</v>
      </c>
    </row>
    <row r="19" spans="3:6" ht="84" customHeight="1" x14ac:dyDescent="0.25">
      <c r="C19" s="23">
        <v>1</v>
      </c>
      <c r="D19" s="24" t="s">
        <v>0</v>
      </c>
      <c r="E19" s="24" t="s">
        <v>96</v>
      </c>
    </row>
    <row r="20" spans="3:6" ht="227.25" customHeight="1" x14ac:dyDescent="0.25">
      <c r="C20" s="23">
        <v>2</v>
      </c>
      <c r="D20" s="24" t="s">
        <v>23</v>
      </c>
      <c r="E20" s="24" t="s">
        <v>106</v>
      </c>
    </row>
    <row r="21" spans="3:6" ht="107.25" customHeight="1" x14ac:dyDescent="0.25">
      <c r="C21">
        <v>3</v>
      </c>
      <c r="D21" s="11" t="s">
        <v>24</v>
      </c>
      <c r="E21" s="11" t="s">
        <v>25</v>
      </c>
    </row>
    <row r="22" spans="3:6" ht="130.5" customHeight="1" x14ac:dyDescent="0.25">
      <c r="C22">
        <v>4</v>
      </c>
      <c r="D22" s="11" t="s">
        <v>26</v>
      </c>
      <c r="E22" s="11" t="s">
        <v>27</v>
      </c>
    </row>
    <row r="23" spans="3:6" ht="134.25" customHeight="1" x14ac:dyDescent="0.25">
      <c r="C23">
        <v>5</v>
      </c>
      <c r="D23" s="11" t="s">
        <v>28</v>
      </c>
      <c r="E23" s="11" t="s">
        <v>29</v>
      </c>
    </row>
    <row r="24" spans="3:6" x14ac:dyDescent="0.25">
      <c r="C24">
        <v>6</v>
      </c>
      <c r="D24" s="11" t="s">
        <v>30</v>
      </c>
      <c r="E24" s="11" t="s">
        <v>22</v>
      </c>
    </row>
    <row r="25" spans="3:6" x14ac:dyDescent="0.25">
      <c r="D25" s="11" t="s">
        <v>90</v>
      </c>
      <c r="E25" s="11" t="s">
        <v>76</v>
      </c>
    </row>
    <row r="26" spans="3:6" ht="75" x14ac:dyDescent="0.25">
      <c r="C26">
        <v>7</v>
      </c>
      <c r="D26" s="11" t="s">
        <v>31</v>
      </c>
      <c r="E26" s="11" t="s">
        <v>32</v>
      </c>
    </row>
    <row r="27" spans="3:6" ht="30" x14ac:dyDescent="0.25">
      <c r="C27">
        <v>8</v>
      </c>
      <c r="D27" s="11" t="s">
        <v>7</v>
      </c>
      <c r="E27" s="11" t="s">
        <v>80</v>
      </c>
    </row>
    <row r="28" spans="3:6" x14ac:dyDescent="0.25">
      <c r="C28">
        <v>9</v>
      </c>
      <c r="D28" s="11" t="s">
        <v>33</v>
      </c>
      <c r="E28" s="11" t="s">
        <v>34</v>
      </c>
    </row>
    <row r="29" spans="3:6" ht="30" x14ac:dyDescent="0.25">
      <c r="C29">
        <v>10</v>
      </c>
      <c r="D29" s="11" t="s">
        <v>35</v>
      </c>
      <c r="E29" s="11" t="s">
        <v>81</v>
      </c>
    </row>
    <row r="30" spans="3:6" x14ac:dyDescent="0.25">
      <c r="C30">
        <v>11</v>
      </c>
      <c r="D30" s="11" t="s">
        <v>36</v>
      </c>
      <c r="E30" s="11" t="s">
        <v>37</v>
      </c>
    </row>
    <row r="31" spans="3:6" ht="105" x14ac:dyDescent="0.25">
      <c r="C31">
        <v>12</v>
      </c>
      <c r="D31" s="11" t="s">
        <v>10</v>
      </c>
      <c r="E31" s="11" t="s">
        <v>38</v>
      </c>
    </row>
    <row r="32" spans="3:6" ht="105" x14ac:dyDescent="0.25">
      <c r="C32" s="31"/>
      <c r="D32" s="32" t="s">
        <v>109</v>
      </c>
      <c r="E32" s="32" t="s">
        <v>111</v>
      </c>
    </row>
    <row r="33" spans="2:7" ht="105" x14ac:dyDescent="0.25">
      <c r="C33" s="31"/>
      <c r="D33" s="32" t="s">
        <v>110</v>
      </c>
      <c r="E33" s="32" t="s">
        <v>112</v>
      </c>
    </row>
    <row r="34" spans="2:7" ht="105" x14ac:dyDescent="0.25">
      <c r="C34" s="21"/>
      <c r="D34" s="22" t="s">
        <v>115</v>
      </c>
      <c r="E34" s="22" t="s">
        <v>116</v>
      </c>
    </row>
    <row r="35" spans="2:7" ht="60" x14ac:dyDescent="0.25">
      <c r="C35">
        <v>13</v>
      </c>
      <c r="D35" s="11" t="s">
        <v>39</v>
      </c>
      <c r="E35" s="11" t="s">
        <v>79</v>
      </c>
      <c r="F35" s="19" t="s">
        <v>93</v>
      </c>
      <c r="G35" s="11"/>
    </row>
    <row r="36" spans="2:7" ht="45" x14ac:dyDescent="0.25">
      <c r="C36" s="23">
        <v>14</v>
      </c>
      <c r="D36" s="24" t="s">
        <v>12</v>
      </c>
      <c r="E36" s="24" t="s">
        <v>105</v>
      </c>
    </row>
    <row r="37" spans="2:7" ht="108" customHeight="1" x14ac:dyDescent="0.25">
      <c r="C37">
        <v>15</v>
      </c>
      <c r="D37" s="11" t="s">
        <v>40</v>
      </c>
      <c r="E37" s="11" t="s">
        <v>41</v>
      </c>
    </row>
    <row r="38" spans="2:7" ht="60" x14ac:dyDescent="0.25">
      <c r="C38" s="21">
        <v>16</v>
      </c>
      <c r="D38" s="22" t="s">
        <v>42</v>
      </c>
      <c r="E38" s="22" t="s">
        <v>118</v>
      </c>
      <c r="F38" s="21" t="s">
        <v>117</v>
      </c>
    </row>
    <row r="39" spans="2:7" ht="150" customHeight="1" x14ac:dyDescent="0.25">
      <c r="B39" s="31"/>
      <c r="C39" s="31"/>
      <c r="D39" s="32" t="s">
        <v>113</v>
      </c>
      <c r="E39" s="32" t="s">
        <v>114</v>
      </c>
    </row>
    <row r="40" spans="2:7" ht="90.75" customHeight="1" x14ac:dyDescent="0.25">
      <c r="C40" s="23">
        <v>17</v>
      </c>
      <c r="D40" s="24" t="s">
        <v>15</v>
      </c>
      <c r="E40" s="24" t="s">
        <v>103</v>
      </c>
    </row>
    <row r="41" spans="2:7" ht="121.5" customHeight="1" x14ac:dyDescent="0.25">
      <c r="C41">
        <v>18</v>
      </c>
      <c r="D41" s="11" t="s">
        <v>17</v>
      </c>
      <c r="E41" s="11" t="s">
        <v>41</v>
      </c>
    </row>
    <row r="42" spans="2:7" ht="137.25" customHeight="1" x14ac:dyDescent="0.25">
      <c r="C42" s="23">
        <v>19</v>
      </c>
      <c r="D42" s="24" t="s">
        <v>18</v>
      </c>
      <c r="E42" s="24" t="s">
        <v>104</v>
      </c>
    </row>
    <row r="43" spans="2:7" ht="195" x14ac:dyDescent="0.25">
      <c r="C43">
        <v>20</v>
      </c>
      <c r="D43" s="11" t="s">
        <v>43</v>
      </c>
      <c r="E43" s="11" t="s">
        <v>78</v>
      </c>
    </row>
    <row r="44" spans="2:7" ht="30" x14ac:dyDescent="0.25">
      <c r="C44">
        <v>21</v>
      </c>
      <c r="D44" s="11" t="s">
        <v>44</v>
      </c>
      <c r="E44" s="11" t="s">
        <v>45</v>
      </c>
    </row>
    <row r="45" spans="2:7" ht="150" x14ac:dyDescent="0.25">
      <c r="C45" s="11">
        <v>22</v>
      </c>
      <c r="D45" s="11" t="s">
        <v>46</v>
      </c>
      <c r="E45" s="11" t="s">
        <v>108</v>
      </c>
      <c r="F45" s="32" t="s">
        <v>107</v>
      </c>
    </row>
    <row r="46" spans="2:7" ht="75" x14ac:dyDescent="0.25">
      <c r="C46" s="23"/>
      <c r="D46" s="23" t="s">
        <v>94</v>
      </c>
      <c r="E46" s="24" t="s">
        <v>95</v>
      </c>
    </row>
    <row r="47" spans="2:7" x14ac:dyDescent="0.25">
      <c r="C47" s="24">
        <v>23</v>
      </c>
      <c r="D47" s="24" t="s">
        <v>91</v>
      </c>
      <c r="E47" s="24" t="s">
        <v>22</v>
      </c>
    </row>
    <row r="48" spans="2:7" x14ac:dyDescent="0.25">
      <c r="C48" s="23">
        <v>24</v>
      </c>
      <c r="D48" s="24" t="s">
        <v>100</v>
      </c>
      <c r="E48" s="24" t="s">
        <v>22</v>
      </c>
    </row>
  </sheetData>
  <mergeCells count="3">
    <mergeCell ref="N14:P14"/>
    <mergeCell ref="N15:P15"/>
    <mergeCell ref="B9:C9"/>
  </mergeCells>
  <conditionalFormatting sqref="K14:L14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  <cfRule type="duplicateValues" dxfId="52" priority="11"/>
    <cfRule type="duplicateValues" dxfId="51" priority="12"/>
    <cfRule type="duplicateValues" dxfId="50" priority="13"/>
    <cfRule type="duplicateValues" dxfId="49" priority="14"/>
    <cfRule type="duplicateValues" dxfId="48" priority="15"/>
    <cfRule type="duplicateValues" dxfId="47" priority="16"/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  <cfRule type="duplicateValues" dxfId="41" priority="22"/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  <cfRule type="duplicateValues" dxfId="29" priority="34"/>
    <cfRule type="duplicateValues" dxfId="28" priority="35"/>
    <cfRule type="duplicateValues" dxfId="27" priority="36"/>
    <cfRule type="duplicateValues" dxfId="26" priority="37"/>
    <cfRule type="duplicateValues" dxfId="25" priority="38"/>
    <cfRule type="duplicateValues" dxfId="24" priority="39"/>
    <cfRule type="duplicateValues" dxfId="23" priority="40"/>
    <cfRule type="duplicateValues" dxfId="22" priority="41"/>
    <cfRule type="duplicateValues" dxfId="21" priority="42"/>
    <cfRule type="duplicateValues" dxfId="20" priority="43"/>
    <cfRule type="duplicateValues" dxfId="19" priority="44"/>
    <cfRule type="duplicateValues" dxfId="18" priority="45"/>
    <cfRule type="duplicateValues" dxfId="17" priority="46"/>
    <cfRule type="duplicateValues" dxfId="16" priority="47"/>
    <cfRule type="duplicateValues" dxfId="15" priority="48"/>
    <cfRule type="duplicateValues" dxfId="14" priority="49"/>
    <cfRule type="duplicateValues" dxfId="13" priority="50"/>
    <cfRule type="duplicateValues" dxfId="12" priority="51"/>
    <cfRule type="duplicateValues" dxfId="11" priority="52"/>
    <cfRule type="duplicateValues" dxfId="10" priority="53"/>
    <cfRule type="duplicateValues" dxfId="9" priority="54"/>
    <cfRule type="duplicateValues" dxfId="8" priority="55"/>
    <cfRule type="duplicateValues" dxfId="7" priority="56"/>
    <cfRule type="duplicateValues" dxfId="6" priority="57"/>
    <cfRule type="duplicateValues" dxfId="5" priority="58"/>
    <cfRule type="duplicateValues" dxfId="4" priority="59"/>
    <cfRule type="duplicateValues" dxfId="3" priority="60"/>
    <cfRule type="duplicateValues" dxfId="2" priority="61"/>
    <cfRule type="duplicateValues" dxfId="1" priority="62"/>
    <cfRule type="duplicateValues" dxfId="0" priority="63"/>
  </conditionalFormatting>
  <pageMargins left="0.7" right="0.7" top="0.75" bottom="0.75" header="0.3" footer="0.3"/>
  <pageSetup paperSize="262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02</dc:creator>
  <cp:lastModifiedBy>ERP 02</cp:lastModifiedBy>
  <dcterms:created xsi:type="dcterms:W3CDTF">2026-07-18T03:58:01Z</dcterms:created>
  <dcterms:modified xsi:type="dcterms:W3CDTF">2026-10-16T02:37:46Z</dcterms:modified>
</cp:coreProperties>
</file>